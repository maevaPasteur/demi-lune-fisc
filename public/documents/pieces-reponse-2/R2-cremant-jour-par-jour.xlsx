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ethode" sheetId="1" state="visible" r:id="rId3"/>
    <sheet name="Sources strict" sheetId="2" state="visible" r:id="rId4"/>
    <sheet name="Sources elargi" sheetId="3" state="visible" r:id="rId5"/>
    <sheet name="Calcul" sheetId="4" state="visible" r:id="rId6"/>
    <sheet name="Libelles et doses" sheetId="5" state="visible" r:id="rId7"/>
    <sheet name="Chiffrage" sheetId="6" state="visible" r:id="rId8"/>
    <sheet name="Sources artic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<sst xmlns="http://schemas.openxmlformats.org/spreadsheetml/2006/main" count="8397" uniqueCount="788">
  <si>
    <t xml:space="preserve">R2-cremant-jour-par-jour.xlsx — bilan matiere du cremant, a formules</t>
  </si>
  <si>
    <t xml:space="preserve">Objet : rendre entierement reproductible, par formule, le decompte du cremant ouvert au service, bouteille par bouteille, journee par journee. Aucune valeur de resultat n'est saisie en dur : tous les totaux, ecarts et montants sont des formules.</t>
  </si>
  <si>
    <t xml:space="preserve">Sources primaires (lecture seule, non modifiees) :</t>
  </si>
  <si>
    <t xml:space="preserve">  - R1-cremant-perimetre-du-service.csv : les 4 libelles et doses du tableau du service p.62 (La Vouivre 6 cl, Pere Gregoire 6 cl, KITTYKIR 6 cl, Cremant au verre 12 cl). Recopie dans l'onglet « Sources strict ».</t>
  </si>
  <si>
    <t xml:space="preserve">  - R1-cremant-jour-par-jour-2022-2023 / 2023-2024 / 2024-2025.csv : memes journees, mais incluant 3 libelles de cremant supplementaires presents en caisse et absents du tableau p.62 (Kir Princier 12 cl, VOUIVRE 6 cl, Cremant/Jura au verre 12 cl). Recopie dans l'onglet « Sources elargi » (colonne « vendu » au pas 0 % et au pas +23,6 %).</t>
  </si>
  <si>
    <t xml:space="preserve">  - Quantites disponibles retenues par le service (reponse du 04/09/2026, p. 84) : 275, 325 et 322 bouteilles de 75 cl.</t>
  </si>
  <si>
    <t xml:space="preserve">  - Bouteilles de cremant vendues scellees (ventes « Cremant du Jura, bouteille »), telles que le service les reconstitue a l'annexe C : 11, 10 et 13. Elles sortent du stock sans etre ouvertes au service.</t>
  </si>
  <si>
    <t xml:space="preserve">  - Prix de vente de la coupe de cremant retenu par le service a l'annexe C (TTC, dose 12 cl) : 3,85 € / 4,79 € / 4,99 €. TVA 20 %.</t>
  </si>
  <si>
    <t xml:space="preserve">Convention de calcul (hypothese explicite, favorable au redevable et NON mesuree) : une bouteille d'effervescent ouverte pour un service n'est pas reportee au lendemain ; le solde du soir est perdu. Chaque journee, le nombre de bouteilles de 75 cl ouvertes est l'arrondi SUPERIEUR du volume verse divise par 75. Le « jete » = bouteilles x 75 cl - verse.</t>
  </si>
  <si>
    <t xml:space="preserve">Cette convention est le seul parametre du calcul. Elle borne le jete par le HAUT : avec report integral d'un jour a l'autre, le nombre de bouteilles ouvertes et le jete s'effondrent (voir onglet « Calcul », lignes « report integral »).</t>
  </si>
  <si>
    <t xml:space="preserve">Deux perimetres sont calcules cote a cote :</t>
  </si>
  <si>
    <t xml:space="preserve">  - STRICT : strictement les 4 libelles/doses du service p.62. C'est la base retenue au principal : elle est compatible avec le stock sur les trois exercices.</t>
  </si>
  <si>
    <t xml:space="preserve">  - ELARGI : + les 3 libelles de cremant que la caisse comporte aussi. Divulgue comme sensibilite favorable ; augmente la consommation reconnue, donc reduit l'ecart.</t>
  </si>
  <si>
    <t xml:space="preserve">Onglet « Calcul » : tous les agregats par SOMME.SI sur les onglets Sources ; ecart = disponible au verre - verse ; jete verifie de deux facons (somme des soldes quotidiens ET sorti - verse).</t>
  </si>
  <si>
    <t xml:space="preserve">Onglet « Libelles et doses » : detaille les 3 libelles ajoutes et chiffre leur apport (+21,1 L) par formule ; verse elargi - apport = verse strict.</t>
  </si>
  <si>
    <t xml:space="preserve">Onglet « Chiffrage » : valorise le jete au prix de vente de la coupe retenu par le service (plancher : le cremant en cocktail vaut davantage au cl).</t>
  </si>
  <si>
    <t xml:space="preserve">Ajouts (vague 4) : onglet « Sources articles » (annexe C, journee x article : quantite, dose p.62, cremant en cl, bouteilles si une bouteille par article) ; sur « Sources strict », colonnes F a O (rang, controle +23,6 %, blocs de 2/3/5/7 journees pour la sensibilite au report) ; sur « Calcul », lignes 38 et suivantes (controle articles = versé, mutualisation 1 880 vs 828, +23,6 % strict, report k = 1/2/3/5/7 et integral, variante 10/10/13 bouteilles scellees) ; sur « Chiffrage », colonnes G a N (fond net du forfait 5 % / 15 %, facteur de levier).</t>
  </si>
  <si>
    <t xml:space="preserve">Bouteilles scellees 11 / 10 / 13 : lues dans l'annexe C (codes 0362 Cremant du Jura, 1897 Crement du Jura, 2018 Cremant Rose : 6+4+1 / 5+5 / 8+5). Le tableau du service p.62 n'en compte que 10 pour l'exercice 1 (6 + 4) ; la variante 10/10/13 est chiffree dans « Calcul ».</t>
  </si>
  <si>
    <t xml:space="preserve">Exercice</t>
  </si>
  <si>
    <t xml:space="preserve">Date</t>
  </si>
  <si>
    <t xml:space="preserve">Cremant servi (cl)</t>
  </si>
  <si>
    <t xml:space="preserve">Bouteilles a ouvrir</t>
  </si>
  <si>
    <t xml:space="preserve">Solde perdu (cl)</t>
  </si>
  <si>
    <t xml:space="preserve">Rang dans l exercice</t>
  </si>
  <si>
    <t xml:space="preserve">Bouteilles a +23,6 % (controle p.85)</t>
  </si>
  <si>
    <t xml:space="preserve">Besoin du bloc de 2 journees (cl)</t>
  </si>
  <si>
    <t xml:space="preserve">Bouteilles du bloc de 2 journees</t>
  </si>
  <si>
    <t xml:space="preserve">Besoin du bloc de 3 journees (cl)</t>
  </si>
  <si>
    <t xml:space="preserve">Bouteilles du bloc de 3 journees</t>
  </si>
  <si>
    <t xml:space="preserve">Besoin du bloc de 5 journees (cl)</t>
  </si>
  <si>
    <t xml:space="preserve">Bouteilles du bloc de 5 journees</t>
  </si>
  <si>
    <t xml:space="preserve">Besoin du bloc de 7 journees (cl)</t>
  </si>
  <si>
    <t xml:space="preserve">Bouteilles du bloc de 7 journees</t>
  </si>
  <si>
    <t xml:space="preserve">2022-2023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</si>
  <si>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</si>
  <si>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</si>
  <si>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</si>
  <si>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</si>
  <si>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</si>
  <si>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</si>
  <si>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</si>
  <si>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</si>
  <si>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</si>
  <si>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</si>
  <si>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</si>
  <si>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</si>
  <si>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</si>
  <si>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</si>
  <si>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</si>
  <si>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</si>
  <si>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</si>
  <si>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</si>
  <si>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</si>
  <si>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</si>
  <si>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</si>
  <si>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</si>
  <si>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</si>
  <si>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</si>
  <si>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</si>
  <si>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</si>
  <si>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</si>
  <si>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</si>
  <si>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</si>
  <si>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</si>
  <si>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</si>
  <si>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</si>
  <si>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</si>
  <si>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</si>
  <si>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</si>
  <si>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</si>
  <si>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</si>
  <si>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</si>
  <si>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</si>
  <si>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</si>
  <si>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</si>
  <si>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</si>
  <si>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</si>
  <si>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</si>
  <si>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</si>
  <si>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</si>
  <si>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</si>
  <si>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</si>
  <si>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</si>
  <si>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</si>
  <si>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</si>
  <si>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</si>
  <si>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</si>
  <si>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</si>
  <si>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</si>
  <si>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</si>
  <si>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</si>
  <si>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</si>
  <si>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</si>
  <si>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</si>
  <si>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</si>
  <si>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</si>
  <si>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</si>
  <si>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</si>
  <si>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</si>
  <si>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</si>
  <si>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</si>
  <si>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</si>
  <si>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</si>
  <si>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</si>
  <si>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</si>
  <si>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</si>
  <si>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</si>
  <si>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</si>
  <si>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</si>
  <si>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</si>
  <si>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</si>
  <si>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</si>
  <si>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</si>
  <si>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</si>
  <si>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</si>
  <si>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</si>
  <si>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</si>
  <si>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</si>
  <si>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</si>
  <si>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</si>
  <si>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</si>
  <si>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</si>
  <si>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</si>
  <si>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</si>
  <si>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</si>
  <si>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</si>
  <si>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</si>
  <si>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</si>
  <si>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</si>
  <si>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</si>
  <si>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</si>
  <si>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</si>
  <si>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</si>
  <si>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</si>
  <si>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</si>
  <si>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</si>
  <si>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</si>
  <si>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</si>
  <si>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</si>
  <si>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</si>
  <si>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</si>
  <si>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</si>
  <si>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</si>
  <si>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</si>
  <si>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</si>
  <si>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</si>
  <si>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</si>
  <si>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</si>
  <si>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</si>
  <si>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</si>
  <si>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</si>
  <si>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</si>
  <si>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</si>
  <si>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</si>
  <si>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</si>
  <si>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</si>
  <si>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</si>
  <si>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</si>
  <si>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</si>
  <si>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</si>
  <si>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</si>
  <si>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</si>
  <si>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</si>
  <si>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</si>
  <si>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</si>
  <si>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</si>
  <si>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</si>
  <si>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</si>
  <si>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</si>
  <si>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</si>
  <si>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</si>
  <si>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</si>
  <si>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</si>
  <si>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</si>
  <si>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</si>
  <si>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</si>
  <si>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</si>
  <si>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</si>
  <si>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</si>
  <si>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</si>
  <si>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</si>
  <si>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</si>
  <si>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</si>
  <si>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</si>
  <si>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</si>
  <si>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</si>
  <si>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</si>
  <si>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</si>
  <si>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</si>
  <si>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</si>
  <si>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</si>
  <si>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</si>
  <si>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</si>
  <si>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</si>
  <si>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</si>
  <si>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</si>
  <si>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</si>
  <si>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</si>
  <si>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</si>
  <si>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</si>
  <si>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</si>
  <si>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</si>
  <si>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</si>
  <si>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</si>
  <si>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</si>
  <si>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</si>
  <si>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</si>
  <si>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</si>
  <si>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</si>
  <si>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</si>
  <si>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</si>
  <si>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2022-12-14</t>
  </si>
  <si>
    <t xml:space="preserve">2022-12-16</t>
  </si>
  <si>
    <t xml:space="preserve">2022-12-17</t>
  </si>
  <si>
    <t xml:space="preserve">2022-12-21</t>
  </si>
  <si>
    <t xml:space="preserve">2022-12-22</t>
  </si>
  <si>
    <t xml:space="preserve">2022-12-23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</si>
  <si>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</si>
  <si>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</si>
  <si>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</si>
  <si>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</si>
  <si>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2023-01-04</t>
  </si>
  <si>
    <t xml:space="preserve">2023-01-06</t>
  </si>
  <si>
    <t xml:space="preserve">2023-01-07</t>
  </si>
  <si>
    <t xml:space="preserve">2023-01-08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</si>
  <si>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</si>
  <si>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</si>
  <si>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</si>
  <si>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</si>
  <si>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2023-03-01</t>
  </si>
  <si>
    <t xml:space="preserve">2023-03-03</t>
  </si>
  <si>
    <t xml:space="preserve">2023-03-04</t>
  </si>
  <si>
    <t xml:space="preserve">2023-03-05</t>
  </si>
  <si>
    <t xml:space="preserve">2023-03-08</t>
  </si>
  <si>
    <t xml:space="preserve">2023-03-10</t>
  </si>
  <si>
    <t xml:space="preserve">2023-03-11</t>
  </si>
  <si>
    <t xml:space="preserve">2023-03-12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</si>
  <si>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</si>
  <si>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</si>
  <si>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</si>
  <si>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</si>
  <si>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</si>
  <si>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2023-03-22</t>
  </si>
  <si>
    <t xml:space="preserve">2023-03-24</t>
  </si>
  <si>
    <t xml:space="preserve">2023-03-25</t>
  </si>
  <si>
    <t xml:space="preserve">2023-03-26</t>
  </si>
  <si>
    <t xml:space="preserve">2023-03-29</t>
  </si>
  <si>
    <t xml:space="preserve">2023-03-30</t>
  </si>
  <si>
    <t xml:space="preserve">2023-03-31</t>
  </si>
  <si>
    <t xml:space="preserve">2023-2024</t>
  </si>
  <si>
    <t xml:space="preserve">2023-04-01</t>
  </si>
  <si>
    <t xml:space="preserve">2023-04-02</t>
  </si>
  <si>
    <t xml:space="preserve">2023-04-06</t>
  </si>
  <si>
    <t xml:space="preserve">2023-04-08</t>
  </si>
  <si>
    <t xml:space="preserve">2023-04-09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</si>
  <si>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</si>
  <si>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</si>
  <si>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</si>
  <si>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</si>
  <si>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</si>
  <si>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</si>
  <si>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</si>
  <si>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</si>
  <si>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</si>
  <si>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</si>
  <si>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2023-04-26</t>
  </si>
  <si>
    <t xml:space="preserve">2023-04-28</t>
  </si>
  <si>
    <t xml:space="preserve">2023-04-29</t>
  </si>
  <si>
    <t xml:space="preserve">2023-04-30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</si>
  <si>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</si>
  <si>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</si>
  <si>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</si>
  <si>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</si>
  <si>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</si>
  <si>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</si>
  <si>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</si>
  <si>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</si>
  <si>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</si>
  <si>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</si>
  <si>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</si>
  <si>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</si>
  <si>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</si>
  <si>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</si>
  <si>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</si>
  <si>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</si>
  <si>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</si>
  <si>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</si>
  <si>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</si>
  <si>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</si>
  <si>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</si>
  <si>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</si>
  <si>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</si>
  <si>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</si>
  <si>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</si>
  <si>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</si>
  <si>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</si>
  <si>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</si>
  <si>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</si>
  <si>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</si>
  <si>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</si>
  <si>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</si>
  <si>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</si>
  <si>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</si>
  <si>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</si>
  <si>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</si>
  <si>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</si>
  <si>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</si>
  <si>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</si>
  <si>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</si>
  <si>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</si>
  <si>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</si>
  <si>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</si>
  <si>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</si>
  <si>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</si>
  <si>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</si>
  <si>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</si>
  <si>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</si>
  <si>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</si>
  <si>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</si>
  <si>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</si>
  <si>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</si>
  <si>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</si>
  <si>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</si>
  <si>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</si>
  <si>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</si>
  <si>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</si>
  <si>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</si>
  <si>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</si>
  <si>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</si>
  <si>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</si>
  <si>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</si>
  <si>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</si>
  <si>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</si>
  <si>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</si>
  <si>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</si>
  <si>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</si>
  <si>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</si>
  <si>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</si>
  <si>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</si>
  <si>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</si>
  <si>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</si>
  <si>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</si>
  <si>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</si>
  <si>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</si>
  <si>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</si>
  <si>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</si>
  <si>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</si>
  <si>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</si>
  <si>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</si>
  <si>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</si>
  <si>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</si>
  <si>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</si>
  <si>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</si>
  <si>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</si>
  <si>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</si>
  <si>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</si>
  <si>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</si>
  <si>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</si>
  <si>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</si>
  <si>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</si>
  <si>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</si>
  <si>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</si>
  <si>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</si>
  <si>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</si>
  <si>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</si>
  <si>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</si>
  <si>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</si>
  <si>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</si>
  <si>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</si>
  <si>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</si>
  <si>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</si>
  <si>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</si>
  <si>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</si>
  <si>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</si>
  <si>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</si>
  <si>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</si>
  <si>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</si>
  <si>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</si>
  <si>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</si>
  <si>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</si>
  <si>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</si>
  <si>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</si>
  <si>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</si>
  <si>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</si>
  <si>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</si>
  <si>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</si>
  <si>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</si>
  <si>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</si>
  <si>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</si>
  <si>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</si>
  <si>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</si>
  <si>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</si>
  <si>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</si>
  <si>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</si>
  <si>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</si>
  <si>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</si>
  <si>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</si>
  <si>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</si>
  <si>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</si>
  <si>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</si>
  <si>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</si>
  <si>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</si>
  <si>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</si>
  <si>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</si>
  <si>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</si>
  <si>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</si>
  <si>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</si>
  <si>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2023-11-15</t>
  </si>
  <si>
    <t xml:space="preserve">2023-11-17</t>
  </si>
  <si>
    <t xml:space="preserve">2023-11-18</t>
  </si>
  <si>
    <t xml:space="preserve">2023-11-19</t>
  </si>
  <si>
    <t xml:space="preserve">2023-11-24</t>
  </si>
  <si>
    <t xml:space="preserve">2023-11-25</t>
  </si>
  <si>
    <t xml:space="preserve">2023-11-26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</si>
  <si>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</si>
  <si>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</si>
  <si>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</si>
  <si>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</si>
  <si>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</si>
  <si>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2023-12-06</t>
  </si>
  <si>
    <t xml:space="preserve">2023-12-08</t>
  </si>
  <si>
    <t xml:space="preserve">2023-12-09</t>
  </si>
  <si>
    <t xml:space="preserve">2023-12-10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</si>
  <si>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</si>
  <si>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</si>
  <si>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</si>
  <si>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</si>
  <si>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</si>
  <si>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2023-12-20</t>
  </si>
  <si>
    <t xml:space="preserve">2023-12-21</t>
  </si>
  <si>
    <t xml:space="preserve">2023-12-22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</si>
  <si>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</si>
  <si>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</si>
  <si>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</si>
  <si>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</si>
  <si>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</si>
  <si>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</si>
  <si>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</si>
  <si>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</si>
  <si>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</si>
  <si>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</si>
  <si>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2024-03-01</t>
  </si>
  <si>
    <t xml:space="preserve">2024-03-02</t>
  </si>
  <si>
    <t xml:space="preserve">2024-03-03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</si>
  <si>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</si>
  <si>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</si>
  <si>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</si>
  <si>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</si>
  <si>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</si>
  <si>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</si>
  <si>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</si>
  <si>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</si>
  <si>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</si>
  <si>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</si>
  <si>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</si>
  <si>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</si>
  <si>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</si>
  <si>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</si>
  <si>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</si>
  <si>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</si>
  <si>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</si>
  <si>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</si>
  <si>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2024-2025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</si>
  <si>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</si>
  <si>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</si>
  <si>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</si>
  <si>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</si>
  <si>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</si>
  <si>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</si>
  <si>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</si>
  <si>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</si>
  <si>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</si>
  <si>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</si>
  <si>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</si>
  <si>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</si>
  <si>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</si>
  <si>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</si>
  <si>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</si>
  <si>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</si>
  <si>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</si>
  <si>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</si>
  <si>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</si>
  <si>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</si>
  <si>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</si>
  <si>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</si>
  <si>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</si>
  <si>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</si>
  <si>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</si>
  <si>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</si>
  <si>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</si>
  <si>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</si>
  <si>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</si>
  <si>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</si>
  <si>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</si>
  <si>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</si>
  <si>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</si>
  <si>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</si>
  <si>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</si>
  <si>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</si>
  <si>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</si>
  <si>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</si>
  <si>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</si>
  <si>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</si>
  <si>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</si>
  <si>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</si>
  <si>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</si>
  <si>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</si>
  <si>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</si>
  <si>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</si>
  <si>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</si>
  <si>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</si>
  <si>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</si>
  <si>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</si>
  <si>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</si>
  <si>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</si>
  <si>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</si>
  <si>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</si>
  <si>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</si>
  <si>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</si>
  <si>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</si>
  <si>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</si>
  <si>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</si>
  <si>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</si>
  <si>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</si>
  <si>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</si>
  <si>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</si>
  <si>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</si>
  <si>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</si>
  <si>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</si>
  <si>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</si>
  <si>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</si>
  <si>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</si>
  <si>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</si>
  <si>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</si>
  <si>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</si>
  <si>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</si>
  <si>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</si>
  <si>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</si>
  <si>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</si>
  <si>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</si>
  <si>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</si>
  <si>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</si>
  <si>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</si>
  <si>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</si>
  <si>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</si>
  <si>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</si>
  <si>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</si>
  <si>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</si>
  <si>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</si>
  <si>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</si>
  <si>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</si>
  <si>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</si>
  <si>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</si>
  <si>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</si>
  <si>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</si>
  <si>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</si>
  <si>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</si>
  <si>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</si>
  <si>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</si>
  <si>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</si>
  <si>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</si>
  <si>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</si>
  <si>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</si>
  <si>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</si>
  <si>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</si>
  <si>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</si>
  <si>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</si>
  <si>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</si>
  <si>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</si>
  <si>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</si>
  <si>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</si>
  <si>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</si>
  <si>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</si>
  <si>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</si>
  <si>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</si>
  <si>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</si>
  <si>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</si>
  <si>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</si>
  <si>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</si>
  <si>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</si>
  <si>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</si>
  <si>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</si>
  <si>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</si>
  <si>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</si>
  <si>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</si>
  <si>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</si>
  <si>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</si>
  <si>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</si>
  <si>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</si>
  <si>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</si>
  <si>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</si>
  <si>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</si>
  <si>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</si>
  <si>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</si>
  <si>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</si>
  <si>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</si>
  <si>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</si>
  <si>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</si>
  <si>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</si>
  <si>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</si>
  <si>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</si>
  <si>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</si>
  <si>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</si>
  <si>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</si>
  <si>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</si>
  <si>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</si>
  <si>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</si>
  <si>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</si>
  <si>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</si>
  <si>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</si>
  <si>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</si>
  <si>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</si>
  <si>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</si>
  <si>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</si>
  <si>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</si>
  <si>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</si>
  <si>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</si>
  <si>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</si>
  <si>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</si>
  <si>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</si>
  <si>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</si>
  <si>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</si>
  <si>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</si>
  <si>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</si>
  <si>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</si>
  <si>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</si>
  <si>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</si>
  <si>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</si>
  <si>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</si>
  <si>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</si>
  <si>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</si>
  <si>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</si>
  <si>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</si>
  <si>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</si>
  <si>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</si>
  <si>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</si>
  <si>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</si>
  <si>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</si>
  <si>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</si>
  <si>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</si>
  <si>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</si>
  <si>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</si>
  <si>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</si>
  <si>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</si>
  <si>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</si>
  <si>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</si>
  <si>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</si>
  <si>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</si>
  <si>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</si>
  <si>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</si>
  <si>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</si>
  <si>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</si>
  <si>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</si>
  <si>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</si>
  <si>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</si>
  <si>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</si>
  <si>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</si>
  <si>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</si>
  <si>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</si>
  <si>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</si>
  <si>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</si>
  <si>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</si>
  <si>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</si>
  <si>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</si>
  <si>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</si>
  <si>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</si>
  <si>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</si>
  <si>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</si>
  <si>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</si>
  <si>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</si>
  <si>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</si>
  <si>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</si>
  <si>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</si>
  <si>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</si>
  <si>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</si>
  <si>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</si>
  <si>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</si>
  <si>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</si>
  <si>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</si>
  <si>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Cremant vendu (cl)</t>
  </si>
  <si>
    <t xml:space="preserve">Bouteilles ouvertes +0%</t>
  </si>
  <si>
    <t xml:space="preserve">Jete +0% (cl)</t>
  </si>
  <si>
    <t xml:space="preserve">Bouteilles +23,6%</t>
  </si>
  <si>
    <t xml:space="preserve">2023-01-05</t>
  </si>
  <si>
    <t xml:space="preserve">2023-03-09</t>
  </si>
  <si>
    <t xml:space="preserve">2024-04-17</t>
  </si>
  <si>
    <t xml:space="preserve">2024-11-17</t>
  </si>
  <si>
    <t xml:space="preserve">BILAN MATIERE DU CREMANT — tout par formule</t>
  </si>
  <si>
    <t xml:space="preserve">Entrees (sources)</t>
  </si>
  <si>
    <t xml:space="preserve">Total</t>
  </si>
  <si>
    <t xml:space="preserve">Bouteilles disponibles (service, p.84)</t>
  </si>
  <si>
    <t xml:space="preserve">dont vendues scellees (annexe C)</t>
  </si>
  <si>
    <t xml:space="preserve">Bouteilles ouvrables au service</t>
  </si>
  <si>
    <t xml:space="preserve">Disponible au verre (L)</t>
  </si>
  <si>
    <t xml:space="preserve">PERIMETRE STRICT (4 libelles du service p.62)</t>
  </si>
  <si>
    <t xml:space="preserve">Journees de service</t>
  </si>
  <si>
    <t xml:space="preserve">Cremant verse (cl)</t>
  </si>
  <si>
    <t xml:space="preserve">Cremant verse (L)</t>
  </si>
  <si>
    <t xml:space="preserve">Bouteilles ouvertes (arrondi sup., 0 %)</t>
  </si>
  <si>
    <t xml:space="preserve">Cremant sorti du stock (L) = bouteilles x 0,75</t>
  </si>
  <si>
    <t xml:space="preserve">Jete le soir (L) = somme des soldes quotidiens</t>
  </si>
  <si>
    <t xml:space="preserve">Jete (controle) = sorti - verse</t>
  </si>
  <si>
    <t xml:space="preserve">Ecart = disponible au verre - verse (L)</t>
  </si>
  <si>
    <t xml:space="preserve">Reste apres fonds = disponible au verre - sorti (L)</t>
  </si>
  <si>
    <t xml:space="preserve">Part de l'ecart expliquee par le jete</t>
  </si>
  <si>
    <t xml:space="preserve">Bouteilles si report integral (arrondi sup. verse/75)</t>
  </si>
  <si>
    <t xml:space="preserve">PERIMETRE ELARGI (+ 3 libelles de cremant de la caisse) — sensibilite divulguee</t>
  </si>
  <si>
    <t xml:space="preserve">Bouteilles ouvertes (0 %)</t>
  </si>
  <si>
    <t xml:space="preserve">Cremant sorti du stock (L)</t>
  </si>
  <si>
    <t xml:space="preserve">Jete le soir (L)</t>
  </si>
  <si>
    <t xml:space="preserve">Reste apres fonds (L)</t>
  </si>
  <si>
    <t xml:space="preserve">Bouteilles ouvertes a +23,6 % (controle p.85)</t>
  </si>
  <si>
    <t xml:space="preserve">Cremant sorti a +23,6 % (L) — a comparer a 666,0 dispo</t>
  </si>
  <si>
    <t xml:space="preserve">Bouteilles si report integral, exercice 1 (266 sans report -&gt; report)</t>
  </si>
  <si>
    <t xml:space="preserve">CONTROLES ET SENSIBILITES (perimetre strict)</t>
  </si>
  <si>
    <t xml:space="preserve">Cremant verse recalcule depuis les articles (cl) [doit = ligne 12]</t>
  </si>
  <si>
    <t xml:space="preserve">Ecart de controle (cl) [doit = 0]</t>
  </si>
  <si>
    <t xml:space="preserve">Une bouteille par article et par jour (objection p.84 non integree)</t>
  </si>
  <si>
    <t xml:space="preserve">Bouteille partagee dans la journee (retenu, = ligne 14)</t>
  </si>
  <si>
    <t xml:space="preserve">Bouteilles economisees par la mutualisation</t>
  </si>
  <si>
    <t xml:space="preserve">Bouteilles a +23,6 % sur le perimetre strict (controle p.85)</t>
  </si>
  <si>
    <t xml:space="preserve">Cremant sorti a +23,6 % (L), a comparer au disponible ligne 8</t>
  </si>
  <si>
    <t xml:space="preserve">Depassement du disponible a +23,6 % (L) [positif = impossible]</t>
  </si>
  <si>
    <t xml:space="preserve">SENSIBILITE AU REPORT D UNE BOUTEILLE ENTAMEE (objection p.62 et 85) : blocs de k journees de service consecutives</t>
  </si>
  <si>
    <t xml:space="preserve">k = 1 : aucun report (retenu) : bouteilles</t>
  </si>
  <si>
    <t xml:space="preserve">k = 1 : fond jete (L)</t>
  </si>
  <si>
    <t xml:space="preserve">k = 1 : reste apres fonds (L)</t>
  </si>
  <si>
    <t xml:space="preserve">k = 2 : bouteilles ouvertes</t>
  </si>
  <si>
    <t xml:space="preserve">k = 2 : fond jete (L) = bouteilles x 0,75 - verse</t>
  </si>
  <si>
    <t xml:space="preserve">k = 2 : reste apres fonds (L) = disponible - sorti</t>
  </si>
  <si>
    <t xml:space="preserve">k = 3 : bouteilles ouvertes</t>
  </si>
  <si>
    <t xml:space="preserve">k = 3 : fond jete (L) = bouteilles x 0,75 - verse</t>
  </si>
  <si>
    <t xml:space="preserve">k = 3 : reste apres fonds (L) = disponible - sorti</t>
  </si>
  <si>
    <t xml:space="preserve">k = 5 : bouteilles ouvertes</t>
  </si>
  <si>
    <t xml:space="preserve">k = 5 : fond jete (L) = bouteilles x 0,75 - verse</t>
  </si>
  <si>
    <t xml:space="preserve">k = 5 : reste apres fonds (L) = disponible - sorti</t>
  </si>
  <si>
    <t xml:space="preserve">k = 7 : bouteilles ouvertes</t>
  </si>
  <si>
    <t xml:space="preserve">k = 7 : fond jete (L) = bouteilles x 0,75 - verse</t>
  </si>
  <si>
    <t xml:space="preserve">k = 7 : reste apres fonds (L) = disponible - sorti</t>
  </si>
  <si>
    <t xml:space="preserve">Report integral (niveau annuel) : bouteilles (= ligne 21)</t>
  </si>
  <si>
    <t xml:space="preserve">Report integral : fond jete (L)</t>
  </si>
  <si>
    <t xml:space="preserve">Report integral : reste apres fonds (L)</t>
  </si>
  <si>
    <t xml:space="preserve">SENSIBILITE AUX BOUTEILLES SCELLEES : 10 / 10 / 13 (tableau p.62 seul, sans la bouteille Cremant Rose code 2018)</t>
  </si>
  <si>
    <t xml:space="preserve">Bouteilles scellees (variante)</t>
  </si>
  <si>
    <t xml:space="preserve">Disponible au verre (L), variante</t>
  </si>
  <si>
    <t xml:space="preserve">Ecart (L), variante</t>
  </si>
  <si>
    <t xml:space="preserve">Reste apres fonds (L), variante</t>
  </si>
  <si>
    <t xml:space="preserve">Part de l'ecart expliquee par le fond, variante</t>
  </si>
  <si>
    <t xml:space="preserve">Libelle de caisse</t>
  </si>
  <si>
    <t xml:space="preserve">Dose cremant (cl)</t>
  </si>
  <si>
    <t xml:space="preserve">Quantite vendue</t>
  </si>
  <si>
    <t xml:space="preserve">Cremant (cl)</t>
  </si>
  <si>
    <t xml:space="preserve">Present p.62 service</t>
  </si>
  <si>
    <t xml:space="preserve">La Vouivre</t>
  </si>
  <si>
    <t xml:space="preserve">oui</t>
  </si>
  <si>
    <t xml:space="preserve">Père Gregoire</t>
  </si>
  <si>
    <t xml:space="preserve">Crémant</t>
  </si>
  <si>
    <t xml:space="preserve">KITTYKIR</t>
  </si>
  <si>
    <t xml:space="preserve">Kir Princier</t>
  </si>
  <si>
    <t xml:space="preserve">non</t>
  </si>
  <si>
    <t xml:space="preserve">VOUIVRE</t>
  </si>
  <si>
    <t xml:space="preserve">Crément / Jura VERRE</t>
  </si>
  <si>
    <t xml:space="preserve">Total cremant tous libelles (L)</t>
  </si>
  <si>
    <t xml:space="preserve">dont libelles ABSENTS du tableau p.62 (ajout) (L)</t>
  </si>
  <si>
    <t xml:space="preserve">Perimetre STRICT du service (L) [= total - ajout]</t>
  </si>
  <si>
    <t xml:space="preserve">(controle : doit valoir 372,9 L ; l'ajout vaut +21,1 L)</t>
  </si>
  <si>
    <t xml:space="preserve">Jete strict (L)</t>
  </si>
  <si>
    <t xml:space="preserve">Prix coupe TTC (12 cl)</t>
  </si>
  <si>
    <t xml:space="preserve">Prix HT /L</t>
  </si>
  <si>
    <t xml:space="preserve">Reduction CA HT (€)</t>
  </si>
  <si>
    <t xml:space="preserve">(info) jete elargi (L)</t>
  </si>
  <si>
    <t xml:space="preserve">Forfait 5 % pertes du service sur le cremant ouvrable (L)</t>
  </si>
  <si>
    <t xml:space="preserve">Fond net du forfait 5 % (L)</t>
  </si>
  <si>
    <t xml:space="preserve">Reduction nette du 5 % (€ HT)</t>
  </si>
  <si>
    <t xml:space="preserve">Forfait 15 % (L)</t>
  </si>
  <si>
    <t xml:space="preserve">Fond net du 15 % (L)</t>
  </si>
  <si>
    <t xml:space="preserve">Reduction nette du 15 % (€ HT)</t>
  </si>
  <si>
    <t xml:space="preserve">Facteur de levier du service (1 + coefficient)</t>
  </si>
  <si>
    <t xml:space="preserve">Effet sur le CA total reconstitue (€ HT, avant abattement)</t>
  </si>
  <si>
    <t xml:space="preserve">Total 3 exercices</t>
  </si>
  <si>
    <t xml:space="preserve">Par an (€ HT)</t>
  </si>
  <si>
    <t xml:space="preserve">Plancher : le cremant en cocktail (La Vouivre, KITTYKIR...) se vend plus cher au cl que la coupe ; la reduction reelle du redressement est au moins ce montant.</t>
  </si>
  <si>
    <t xml:space="preserve">Facteurs de levier 3,94 / 4,02 / 4,10 : CA total reconstitue = CA liquides x (1 + coefficient de revente du service 2,94 / 3,02 / 3,10). Le forfait de 15 % (offerts, pertes, personnel) est applique une fois en fin de methode ; colonnes G a L : ce qui resterait du fond si le service lui opposait ce forfait.</t>
  </si>
  <si>
    <t xml:space="preserve">Libelle (tableau p.62)</t>
  </si>
  <si>
    <t xml:space="preserve">Dose du service (cl)</t>
  </si>
  <si>
    <t xml:space="preserve">Quantite vendue (annexe C)</t>
  </si>
  <si>
    <t xml:space="preserve">Cremant (cl) = dose x quantite</t>
  </si>
  <si>
    <t xml:space="preserve">Bouteilles si une bouteille par article et par jour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</si>
</sst>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28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28.35" hidden="false" customHeight="false" outlineLevel="0" collapsed="false">
      <c r="A5" s="2" t="s">
        <v>3</v>
      </c>
    </row>
    <row r="6" customFormat="false" ht="41.7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8.3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41.75" hidden="false" customHeight="false" outlineLevel="0" collapsed="false">
      <c r="A11" s="2" t="s">
        <v>8</v>
      </c>
    </row>
    <row r="12" customFormat="false" ht="28.3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28.35" hidden="false" customHeight="false" outlineLevel="0" collapsed="false">
      <c r="A15" s="2" t="s">
        <v>11</v>
      </c>
    </row>
    <row r="16" customFormat="false" ht="28.3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28.3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28.35" hidden="false" customHeight="false" outlineLevel="0" collapsed="false">
      <c r="A20" s="2" t="s">
        <v>15</v>
      </c>
    </row>
    <row r="22" customFormat="false" ht="15" hidden="false" customHeight="false" outlineLevel="0" collapsed="false">
      <c r="A22" s="0" t="s">
        <v>16</v>
      </c>
    </row>
    <row r="23" customFormat="false" ht="15" hidden="false" customHeight="false" outlineLevel="0" collapsed="false">
      <c r="A23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28.35" hidden="false" customHeight="false" outlineLevel="0" collapsed="false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customFormat="false" ht="15" hidden="false" customHeight="false" outlineLevel="0" collapsed="false">
      <c r="A2" s="0" t="s">
        <v>33</v>
      </c>
      <c r="B2" s="0" t="s">
        <v>34</v>
      </c>
      <c r="C2" s="0" t="n">
        <v>54</v>
      </c>
      <c r="D2" s="0" t="n">
        <v>1</v>
      </c>
      <c r="E2" s="0" t="n">
        <v>21</v>
      </c>
      <c r="F2" s="0" t="n">
        <f aca="false">COUNTIF($A$2:A2,A2)</f>
        <v>1</v>
      </c>
      <c r="G2" s="0" t="n">
        <f aca="false">ROUNDUP(C2*1.236/75,0)</f>
        <v>1</v>
      </c>
      <c r="H2" s="0" t="n">
        <f aca="false">IF(MOD(F2-1,2)=0,SUMPRODUCT(($A$2:$A$644=A2)*(ROW($A$2:$A$644)&gt;=ROW())*(ROW($A$2:$A$644)&lt;ROW()+2)*$C$2:$C$644),"")</f>
        <v>108</v>
      </c>
      <c r="I2" s="0" t="n">
        <f aca="false">IF(H2="","",ROUNDUP(H2/75,0))</f>
        <v>2</v>
      </c>
      <c r="J2" s="0" t="n">
        <f aca="false">IF(MOD(F2-1,3)=0,SUMPRODUCT(($A$2:$A$644=A2)*(ROW($A$2:$A$644)&gt;=ROW())*(ROW($A$2:$A$644)&lt;ROW()+3)*$C$2:$C$644),"")</f>
        <v>186</v>
      </c>
      <c r="K2" s="0" t="n">
        <f aca="false">IF(J2="","",ROUNDUP(J2/75,0))</f>
        <v>3</v>
      </c>
      <c r="L2" s="0" t="n">
        <f aca="false">IF(MOD(F2-1,5)=0,SUMPRODUCT(($A$2:$A$644=A2)*(ROW($A$2:$A$644)&gt;=ROW())*(ROW($A$2:$A$644)&lt;ROW()+5)*$C$2:$C$644),"")</f>
        <v>258</v>
      </c>
      <c r="M2" s="0" t="n">
        <f aca="false">IF(L2="","",ROUNDUP(L2/75,0))</f>
        <v>4</v>
      </c>
      <c r="N2" s="0" t="n">
        <f aca="false">IF(MOD(F2-1,7)=0,SUMPRODUCT(($A$2:$A$644=A2)*(ROW($A$2:$A$644)&gt;=ROW())*(ROW($A$2:$A$644)&lt;ROW()+7)*$C$2:$C$644),"")</f>
        <v>372</v>
      </c>
      <c r="O2" s="0" t="n">
        <f aca="false">IF(N2="","",ROUNDUP(N2/75,0))</f>
        <v>5</v>
      </c>
    </row>
    <row r="3" customFormat="false" ht="15" hidden="false" customHeight="false" outlineLevel="0" collapsed="false">
      <c r="A3" s="0" t="s">
        <v>33</v>
      </c>
      <c r="B3" s="0" t="s">
        <v>35</v>
      </c>
      <c r="C3" s="0" t="n">
        <v>54</v>
      </c>
      <c r="D3" s="0" t="n">
        <v>1</v>
      </c>
      <c r="E3" s="0" t="n">
        <v>21</v>
      </c>
      <c r="F3" s="0" t="n">
        <f aca="false">COUNTIF($A$2:A3,A3)</f>
        <v>2</v>
      </c>
      <c r="G3" s="0" t="n">
        <f aca="false">ROUNDUP(C3*1.236/75,0)</f>
        <v>1</v>
      </c>
      <c r="H3" s="0" t="str">
        <f aca="false">IF(MOD(F3-1,2)=0,SUMPRODUCT(($A$2:$A$644=A3)*(ROW($A$2:$A$644)&gt;=ROW())*(ROW($A$2:$A$644)&lt;ROW()+2)*$C$2:$C$644),"")</f>
        <v/>
      </c>
      <c r="I3" s="0" t="str">
        <f aca="false">IF(H3="","",ROUNDUP(H3/75,0))</f>
        <v/>
      </c>
      <c r="J3" s="0" t="str">
        <f aca="false">IF(MOD(F3-1,3)=0,SUMPRODUCT(($A$2:$A$644=A3)*(ROW($A$2:$A$644)&gt;=ROW())*(ROW($A$2:$A$644)&lt;ROW()+3)*$C$2:$C$644),"")</f>
        <v/>
      </c>
      <c r="K3" s="0" t="str">
        <f aca="false">IF(J3="","",ROUNDUP(J3/75,0))</f>
        <v/>
      </c>
      <c r="L3" s="0" t="str">
        <f aca="false">IF(MOD(F3-1,5)=0,SUMPRODUCT(($A$2:$A$644=A3)*(ROW($A$2:$A$644)&gt;=ROW())*(ROW($A$2:$A$644)&lt;ROW()+5)*$C$2:$C$644),"")</f>
        <v/>
      </c>
      <c r="M3" s="0" t="str">
        <f aca="false">IF(L3="","",ROUNDUP(L3/75,0))</f>
        <v/>
      </c>
      <c r="N3" s="0" t="str">
        <f aca="false">IF(MOD(F3-1,7)=0,SUMPRODUCT(($A$2:$A$644=A3)*(ROW($A$2:$A$644)&gt;=ROW())*(ROW($A$2:$A$644)&lt;ROW()+7)*$C$2:$C$644),"")</f>
        <v/>
      </c>
      <c r="O3" s="0" t="str">
        <f aca="false">IF(N3="","",ROUNDUP(N3/75,0))</f>
        <v/>
      </c>
    </row>
    <row r="4" customFormat="false" ht="15" hidden="false" customHeight="false" outlineLevel="0" collapsed="false">
      <c r="A4" s="0" t="s">
        <v>33</v>
      </c>
      <c r="B4" s="0" t="s">
        <v>36</v>
      </c>
      <c r="C4" s="0" t="n">
        <v>78</v>
      </c>
      <c r="D4" s="0" t="n">
        <v>2</v>
      </c>
      <c r="E4" s="0" t="n">
        <v>72</v>
      </c>
      <c r="F4" s="0" t="n">
        <f aca="false">COUNTIF($A$2:A4,A4)</f>
        <v>3</v>
      </c>
      <c r="G4" s="0" t="n">
        <f aca="false">ROUNDUP(C4*1.236/75,0)</f>
        <v>2</v>
      </c>
      <c r="H4" s="0" t="n">
        <f aca="false">IF(MOD(F4-1,2)=0,SUMPRODUCT(($A$2:$A$644=A4)*(ROW($A$2:$A$644)&gt;=ROW())*(ROW($A$2:$A$644)&lt;ROW()+2)*$C$2:$C$644),"")</f>
        <v>120</v>
      </c>
      <c r="I4" s="0" t="n">
        <f aca="false">IF(H4="","",ROUNDUP(H4/75,0))</f>
        <v>2</v>
      </c>
      <c r="J4" s="0" t="str">
        <f aca="false">IF(MOD(F4-1,3)=0,SUMPRODUCT(($A$2:$A$644=A4)*(ROW($A$2:$A$644)&gt;=ROW())*(ROW($A$2:$A$644)&lt;ROW()+3)*$C$2:$C$644),"")</f>
        <v/>
      </c>
      <c r="K4" s="0" t="str">
        <f aca="false">IF(J4="","",ROUNDUP(J4/75,0))</f>
        <v/>
      </c>
      <c r="L4" s="0" t="str">
        <f aca="false">IF(MOD(F4-1,5)=0,SUMPRODUCT(($A$2:$A$644=A4)*(ROW($A$2:$A$644)&gt;=ROW())*(ROW($A$2:$A$644)&lt;ROW()+5)*$C$2:$C$644),"")</f>
        <v/>
      </c>
      <c r="M4" s="0" t="str">
        <f aca="false">IF(L4="","",ROUNDUP(L4/75,0))</f>
        <v/>
      </c>
      <c r="N4" s="0" t="str">
        <f aca="false">IF(MOD(F4-1,7)=0,SUMPRODUCT(($A$2:$A$644=A4)*(ROW($A$2:$A$644)&gt;=ROW())*(ROW($A$2:$A$644)&lt;ROW()+7)*$C$2:$C$644),"")</f>
        <v/>
      </c>
      <c r="O4" s="0" t="str">
        <f aca="false">IF(N4="","",ROUNDUP(N4/75,0))</f>
        <v/>
      </c>
    </row>
    <row r="5" customFormat="false" ht="15" hidden="false" customHeight="false" outlineLevel="0" collapsed="false">
      <c r="A5" s="0" t="s">
        <v>33</v>
      </c>
      <c r="B5" s="0" t="s">
        <v>37</v>
      </c>
      <c r="C5" s="0" t="n">
        <v>42</v>
      </c>
      <c r="D5" s="0" t="n">
        <v>1</v>
      </c>
      <c r="E5" s="0" t="n">
        <v>33</v>
      </c>
      <c r="F5" s="0" t="n">
        <f aca="false">COUNTIF($A$2:A5,A5)</f>
        <v>4</v>
      </c>
      <c r="G5" s="0" t="n">
        <f aca="false">ROUNDUP(C5*1.236/75,0)</f>
        <v>1</v>
      </c>
      <c r="H5" s="0" t="str">
        <f aca="false">IF(MOD(F5-1,2)=0,SUMPRODUCT(($A$2:$A$644=A5)*(ROW($A$2:$A$644)&gt;=ROW())*(ROW($A$2:$A$644)&lt;ROW()+2)*$C$2:$C$644),"")</f>
        <v/>
      </c>
      <c r="I5" s="0" t="str">
        <f aca="false">IF(H5="","",ROUNDUP(H5/75,0))</f>
        <v/>
      </c>
      <c r="J5" s="0" t="n">
        <f aca="false">IF(MOD(F5-1,3)=0,SUMPRODUCT(($A$2:$A$644=A5)*(ROW($A$2:$A$644)&gt;=ROW())*(ROW($A$2:$A$644)&lt;ROW()+3)*$C$2:$C$644),"")</f>
        <v>90</v>
      </c>
      <c r="K5" s="0" t="n">
        <f aca="false">IF(J5="","",ROUNDUP(J5/75,0))</f>
        <v>2</v>
      </c>
      <c r="L5" s="0" t="str">
        <f aca="false">IF(MOD(F5-1,5)=0,SUMPRODUCT(($A$2:$A$644=A5)*(ROW($A$2:$A$644)&gt;=ROW())*(ROW($A$2:$A$644)&lt;ROW()+5)*$C$2:$C$644),"")</f>
        <v/>
      </c>
      <c r="M5" s="0" t="str">
        <f aca="false">IF(L5="","",ROUNDUP(L5/75,0))</f>
        <v/>
      </c>
      <c r="N5" s="0" t="str">
        <f aca="false">IF(MOD(F5-1,7)=0,SUMPRODUCT(($A$2:$A$644=A5)*(ROW($A$2:$A$644)&gt;=ROW())*(ROW($A$2:$A$644)&lt;ROW()+7)*$C$2:$C$644),"")</f>
        <v/>
      </c>
      <c r="O5" s="0" t="str">
        <f aca="false">IF(N5="","",ROUNDUP(N5/75,0))</f>
        <v/>
      </c>
    </row>
    <row r="6" customFormat="false" ht="15" hidden="false" customHeight="false" outlineLevel="0" collapsed="false">
      <c r="A6" s="0" t="s">
        <v>33</v>
      </c>
      <c r="B6" s="0" t="s">
        <v>38</v>
      </c>
      <c r="C6" s="0" t="n">
        <v>30</v>
      </c>
      <c r="D6" s="0" t="n">
        <v>1</v>
      </c>
      <c r="E6" s="0" t="n">
        <v>45</v>
      </c>
      <c r="F6" s="0" t="n">
        <f aca="false">COUNTIF($A$2:A6,A6)</f>
        <v>5</v>
      </c>
      <c r="G6" s="0" t="n">
        <f aca="false">ROUNDUP(C6*1.236/75,0)</f>
        <v>1</v>
      </c>
      <c r="H6" s="0" t="n">
        <f aca="false">IF(MOD(F6-1,2)=0,SUMPRODUCT(($A$2:$A$644=A6)*(ROW($A$2:$A$644)&gt;=ROW())*(ROW($A$2:$A$644)&lt;ROW()+2)*$C$2:$C$644),"")</f>
        <v>48</v>
      </c>
      <c r="I6" s="0" t="n">
        <f aca="false">IF(H6="","",ROUNDUP(H6/75,0))</f>
        <v>1</v>
      </c>
      <c r="J6" s="0" t="str">
        <f aca="false">IF(MOD(F6-1,3)=0,SUMPRODUCT(($A$2:$A$644=A6)*(ROW($A$2:$A$644)&gt;=ROW())*(ROW($A$2:$A$644)&lt;ROW()+3)*$C$2:$C$644),"")</f>
        <v/>
      </c>
      <c r="K6" s="0" t="str">
        <f aca="false">IF(J6="","",ROUNDUP(J6/75,0))</f>
        <v/>
      </c>
      <c r="L6" s="0" t="str">
        <f aca="false">IF(MOD(F6-1,5)=0,SUMPRODUCT(($A$2:$A$644=A6)*(ROW($A$2:$A$644)&gt;=ROW())*(ROW($A$2:$A$644)&lt;ROW()+5)*$C$2:$C$644),"")</f>
        <v/>
      </c>
      <c r="M6" s="0" t="str">
        <f aca="false">IF(L6="","",ROUNDUP(L6/75,0))</f>
        <v/>
      </c>
      <c r="N6" s="0" t="str">
        <f aca="false">IF(MOD(F6-1,7)=0,SUMPRODUCT(($A$2:$A$644=A6)*(ROW($A$2:$A$644)&gt;=ROW())*(ROW($A$2:$A$644)&lt;ROW()+7)*$C$2:$C$644),"")</f>
        <v/>
      </c>
      <c r="O6" s="0" t="str">
        <f aca="false">IF(N6="","",ROUNDUP(N6/75,0))</f>
        <v/>
      </c>
    </row>
    <row r="7" customFormat="false" ht="15" hidden="false" customHeight="false" outlineLevel="0" collapsed="false">
      <c r="A7" s="0" t="s">
        <v>33</v>
      </c>
      <c r="B7" s="0" t="s">
        <v>39</v>
      </c>
      <c r="C7" s="0" t="n">
        <v>18</v>
      </c>
      <c r="D7" s="0" t="n">
        <v>1</v>
      </c>
      <c r="E7" s="0" t="n">
        <v>57</v>
      </c>
      <c r="F7" s="0" t="n">
        <f aca="false">COUNTIF($A$2:A7,A7)</f>
        <v>6</v>
      </c>
      <c r="G7" s="0" t="n">
        <f aca="false">ROUNDUP(C7*1.236/75,0)</f>
        <v>1</v>
      </c>
      <c r="H7" s="0" t="str">
        <f aca="false">IF(MOD(F7-1,2)=0,SUMPRODUCT(($A$2:$A$644=A7)*(ROW($A$2:$A$644)&gt;=ROW())*(ROW($A$2:$A$644)&lt;ROW()+2)*$C$2:$C$644),"")</f>
        <v/>
      </c>
      <c r="I7" s="0" t="str">
        <f aca="false">IF(H7="","",ROUNDUP(H7/75,0))</f>
        <v/>
      </c>
      <c r="J7" s="0" t="str">
        <f aca="false">IF(MOD(F7-1,3)=0,SUMPRODUCT(($A$2:$A$644=A7)*(ROW($A$2:$A$644)&gt;=ROW())*(ROW($A$2:$A$644)&lt;ROW()+3)*$C$2:$C$644),"")</f>
        <v/>
      </c>
      <c r="K7" s="0" t="str">
        <f aca="false">IF(J7="","",ROUNDUP(J7/75,0))</f>
        <v/>
      </c>
      <c r="L7" s="0" t="n">
        <f aca="false">IF(MOD(F7-1,5)=0,SUMPRODUCT(($A$2:$A$644=A7)*(ROW($A$2:$A$644)&gt;=ROW())*(ROW($A$2:$A$644)&lt;ROW()+5)*$C$2:$C$644),"")</f>
        <v>210</v>
      </c>
      <c r="M7" s="0" t="n">
        <f aca="false">IF(L7="","",ROUNDUP(L7/75,0))</f>
        <v>3</v>
      </c>
      <c r="N7" s="0" t="str">
        <f aca="false">IF(MOD(F7-1,7)=0,SUMPRODUCT(($A$2:$A$644=A7)*(ROW($A$2:$A$644)&gt;=ROW())*(ROW($A$2:$A$644)&lt;ROW()+7)*$C$2:$C$644),"")</f>
        <v/>
      </c>
      <c r="O7" s="0" t="str">
        <f aca="false">IF(N7="","",ROUNDUP(N7/75,0))</f>
        <v/>
      </c>
    </row>
    <row r="8" customFormat="false" ht="15" hidden="false" customHeight="false" outlineLevel="0" collapsed="false">
      <c r="A8" s="0" t="s">
        <v>33</v>
      </c>
      <c r="B8" s="0" t="s">
        <v>40</v>
      </c>
      <c r="C8" s="0" t="n">
        <v>96</v>
      </c>
      <c r="D8" s="0" t="n">
        <v>2</v>
      </c>
      <c r="E8" s="0" t="n">
        <v>54</v>
      </c>
      <c r="F8" s="0" t="n">
        <f aca="false">COUNTIF($A$2:A8,A8)</f>
        <v>7</v>
      </c>
      <c r="G8" s="0" t="n">
        <f aca="false">ROUNDUP(C8*1.236/75,0)</f>
        <v>2</v>
      </c>
      <c r="H8" s="0" t="n">
        <f aca="false">IF(MOD(F8-1,2)=0,SUMPRODUCT(($A$2:$A$644=A8)*(ROW($A$2:$A$644)&gt;=ROW())*(ROW($A$2:$A$644)&lt;ROW()+2)*$C$2:$C$644),"")</f>
        <v>132</v>
      </c>
      <c r="I8" s="0" t="n">
        <f aca="false">IF(H8="","",ROUNDUP(H8/75,0))</f>
        <v>2</v>
      </c>
      <c r="J8" s="0" t="n">
        <f aca="false">IF(MOD(F8-1,3)=0,SUMPRODUCT(($A$2:$A$644=A8)*(ROW($A$2:$A$644)&gt;=ROW())*(ROW($A$2:$A$644)&lt;ROW()+3)*$C$2:$C$644),"")</f>
        <v>168</v>
      </c>
      <c r="K8" s="0" t="n">
        <f aca="false">IF(J8="","",ROUNDUP(J8/75,0))</f>
        <v>3</v>
      </c>
      <c r="L8" s="0" t="str">
        <f aca="false">IF(MOD(F8-1,5)=0,SUMPRODUCT(($A$2:$A$644=A8)*(ROW($A$2:$A$644)&gt;=ROW())*(ROW($A$2:$A$644)&lt;ROW()+5)*$C$2:$C$644),"")</f>
        <v/>
      </c>
      <c r="M8" s="0" t="str">
        <f aca="false">IF(L8="","",ROUNDUP(L8/75,0))</f>
        <v/>
      </c>
      <c r="N8" s="0" t="str">
        <f aca="false">IF(MOD(F8-1,7)=0,SUMPRODUCT(($A$2:$A$644=A8)*(ROW($A$2:$A$644)&gt;=ROW())*(ROW($A$2:$A$644)&lt;ROW()+7)*$C$2:$C$644),"")</f>
        <v/>
      </c>
      <c r="O8" s="0" t="str">
        <f aca="false">IF(N8="","",ROUNDUP(N8/75,0))</f>
        <v/>
      </c>
    </row>
    <row r="9" customFormat="false" ht="15" hidden="false" customHeight="false" outlineLevel="0" collapsed="false">
      <c r="A9" s="0" t="s">
        <v>33</v>
      </c>
      <c r="B9" s="0" t="s">
        <v>41</v>
      </c>
      <c r="C9" s="0" t="n">
        <v>36</v>
      </c>
      <c r="D9" s="0" t="n">
        <v>1</v>
      </c>
      <c r="E9" s="0" t="n">
        <v>39</v>
      </c>
      <c r="F9" s="0" t="n">
        <f aca="false">COUNTIF($A$2:A9,A9)</f>
        <v>8</v>
      </c>
      <c r="G9" s="0" t="n">
        <f aca="false">ROUNDUP(C9*1.236/75,0)</f>
        <v>1</v>
      </c>
      <c r="H9" s="0" t="str">
        <f aca="false">IF(MOD(F9-1,2)=0,SUMPRODUCT(($A$2:$A$644=A9)*(ROW($A$2:$A$644)&gt;=ROW())*(ROW($A$2:$A$644)&lt;ROW()+2)*$C$2:$C$644),"")</f>
        <v/>
      </c>
      <c r="I9" s="0" t="str">
        <f aca="false">IF(H9="","",ROUNDUP(H9/75,0))</f>
        <v/>
      </c>
      <c r="J9" s="0" t="str">
        <f aca="false">IF(MOD(F9-1,3)=0,SUMPRODUCT(($A$2:$A$644=A9)*(ROW($A$2:$A$644)&gt;=ROW())*(ROW($A$2:$A$644)&lt;ROW()+3)*$C$2:$C$644),"")</f>
        <v/>
      </c>
      <c r="K9" s="0" t="str">
        <f aca="false">IF(J9="","",ROUNDUP(J9/75,0))</f>
        <v/>
      </c>
      <c r="L9" s="0" t="str">
        <f aca="false">IF(MOD(F9-1,5)=0,SUMPRODUCT(($A$2:$A$644=A9)*(ROW($A$2:$A$644)&gt;=ROW())*(ROW($A$2:$A$644)&lt;ROW()+5)*$C$2:$C$644),"")</f>
        <v/>
      </c>
      <c r="M9" s="0" t="str">
        <f aca="false">IF(L9="","",ROUNDUP(L9/75,0))</f>
        <v/>
      </c>
      <c r="N9" s="0" t="n">
        <f aca="false">IF(MOD(F9-1,7)=0,SUMPRODUCT(($A$2:$A$644=A9)*(ROW($A$2:$A$644)&gt;=ROW())*(ROW($A$2:$A$644)&lt;ROW()+7)*$C$2:$C$644),"")</f>
        <v>246</v>
      </c>
      <c r="O9" s="0" t="n">
        <f aca="false">IF(N9="","",ROUNDUP(N9/75,0))</f>
        <v>4</v>
      </c>
    </row>
    <row r="10" customFormat="false" ht="15" hidden="false" customHeight="false" outlineLevel="0" collapsed="false">
      <c r="A10" s="0" t="s">
        <v>33</v>
      </c>
      <c r="B10" s="0" t="s">
        <v>42</v>
      </c>
      <c r="C10" s="0" t="n">
        <v>36</v>
      </c>
      <c r="D10" s="0" t="n">
        <v>1</v>
      </c>
      <c r="E10" s="0" t="n">
        <v>39</v>
      </c>
      <c r="F10" s="0" t="n">
        <f aca="false">COUNTIF($A$2:A10,A10)</f>
        <v>9</v>
      </c>
      <c r="G10" s="0" t="n">
        <f aca="false">ROUNDUP(C10*1.236/75,0)</f>
        <v>1</v>
      </c>
      <c r="H10" s="0" t="n">
        <f aca="false">IF(MOD(F10-1,2)=0,SUMPRODUCT(($A$2:$A$644=A10)*(ROW($A$2:$A$644)&gt;=ROW())*(ROW($A$2:$A$644)&lt;ROW()+2)*$C$2:$C$644),"")</f>
        <v>60</v>
      </c>
      <c r="I10" s="0" t="n">
        <f aca="false">IF(H10="","",ROUNDUP(H10/75,0))</f>
        <v>1</v>
      </c>
      <c r="J10" s="0" t="str">
        <f aca="false">IF(MOD(F10-1,3)=0,SUMPRODUCT(($A$2:$A$644=A10)*(ROW($A$2:$A$644)&gt;=ROW())*(ROW($A$2:$A$644)&lt;ROW()+3)*$C$2:$C$644),"")</f>
        <v/>
      </c>
      <c r="K10" s="0" t="str">
        <f aca="false">IF(J10="","",ROUNDUP(J10/75,0))</f>
        <v/>
      </c>
      <c r="L10" s="0" t="str">
        <f aca="false">IF(MOD(F10-1,5)=0,SUMPRODUCT(($A$2:$A$644=A10)*(ROW($A$2:$A$644)&gt;=ROW())*(ROW($A$2:$A$644)&lt;ROW()+5)*$C$2:$C$644),"")</f>
        <v/>
      </c>
      <c r="M10" s="0" t="str">
        <f aca="false">IF(L10="","",ROUNDUP(L10/75,0))</f>
        <v/>
      </c>
      <c r="N10" s="0" t="str">
        <f aca="false">IF(MOD(F10-1,7)=0,SUMPRODUCT(($A$2:$A$644=A10)*(ROW($A$2:$A$644)&gt;=ROW())*(ROW($A$2:$A$644)&lt;ROW()+7)*$C$2:$C$644),"")</f>
        <v/>
      </c>
      <c r="O10" s="0" t="str">
        <f aca="false">IF(N10="","",ROUNDUP(N10/75,0))</f>
        <v/>
      </c>
    </row>
    <row r="11" customFormat="false" ht="15" hidden="false" customHeight="false" outlineLevel="0" collapsed="false">
      <c r="A11" s="0" t="s">
        <v>33</v>
      </c>
      <c r="B11" s="0" t="s">
        <v>43</v>
      </c>
      <c r="C11" s="0" t="n">
        <v>24</v>
      </c>
      <c r="D11" s="0" t="n">
        <v>1</v>
      </c>
      <c r="E11" s="0" t="n">
        <v>51</v>
      </c>
      <c r="F11" s="0" t="n">
        <f aca="false">COUNTIF($A$2:A11,A11)</f>
        <v>10</v>
      </c>
      <c r="G11" s="0" t="n">
        <f aca="false">ROUNDUP(C11*1.236/75,0)</f>
        <v>1</v>
      </c>
      <c r="H11" s="0" t="str">
        <f aca="false">IF(MOD(F11-1,2)=0,SUMPRODUCT(($A$2:$A$644=A11)*(ROW($A$2:$A$644)&gt;=ROW())*(ROW($A$2:$A$644)&lt;ROW()+2)*$C$2:$C$644),"")</f>
        <v/>
      </c>
      <c r="I11" s="0" t="str">
        <f aca="false">IF(H11="","",ROUNDUP(H11/75,0))</f>
        <v/>
      </c>
      <c r="J11" s="0" t="n">
        <f aca="false">IF(MOD(F11-1,3)=0,SUMPRODUCT(($A$2:$A$644=A11)*(ROW($A$2:$A$644)&gt;=ROW())*(ROW($A$2:$A$644)&lt;ROW()+3)*$C$2:$C$644),"")</f>
        <v>120</v>
      </c>
      <c r="K11" s="0" t="n">
        <f aca="false">IF(J11="","",ROUNDUP(J11/75,0))</f>
        <v>2</v>
      </c>
      <c r="L11" s="0" t="str">
        <f aca="false">IF(MOD(F11-1,5)=0,SUMPRODUCT(($A$2:$A$644=A11)*(ROW($A$2:$A$644)&gt;=ROW())*(ROW($A$2:$A$644)&lt;ROW()+5)*$C$2:$C$644),"")</f>
        <v/>
      </c>
      <c r="M11" s="0" t="str">
        <f aca="false">IF(L11="","",ROUNDUP(L11/75,0))</f>
        <v/>
      </c>
      <c r="N11" s="0" t="str">
        <f aca="false">IF(MOD(F11-1,7)=0,SUMPRODUCT(($A$2:$A$644=A11)*(ROW($A$2:$A$644)&gt;=ROW())*(ROW($A$2:$A$644)&lt;ROW()+7)*$C$2:$C$644),"")</f>
        <v/>
      </c>
      <c r="O11" s="0" t="str">
        <f aca="false">IF(N11="","",ROUNDUP(N11/75,0))</f>
        <v/>
      </c>
    </row>
    <row r="12" customFormat="false" ht="15" hidden="false" customHeight="false" outlineLevel="0" collapsed="false">
      <c r="A12" s="0" t="s">
        <v>33</v>
      </c>
      <c r="B12" s="0" t="s">
        <v>44</v>
      </c>
      <c r="C12" s="0" t="n">
        <v>42</v>
      </c>
      <c r="D12" s="0" t="n">
        <v>1</v>
      </c>
      <c r="E12" s="0" t="n">
        <v>33</v>
      </c>
      <c r="F12" s="0" t="n">
        <f aca="false">COUNTIF($A$2:A12,A12)</f>
        <v>11</v>
      </c>
      <c r="G12" s="0" t="n">
        <f aca="false">ROUNDUP(C12*1.236/75,0)</f>
        <v>1</v>
      </c>
      <c r="H12" s="0" t="n">
        <f aca="false">IF(MOD(F12-1,2)=0,SUMPRODUCT(($A$2:$A$644=A12)*(ROW($A$2:$A$644)&gt;=ROW())*(ROW($A$2:$A$644)&lt;ROW()+2)*$C$2:$C$644),"")</f>
        <v>96</v>
      </c>
      <c r="I12" s="0" t="n">
        <f aca="false">IF(H12="","",ROUNDUP(H12/75,0))</f>
        <v>2</v>
      </c>
      <c r="J12" s="0" t="str">
        <f aca="false">IF(MOD(F12-1,3)=0,SUMPRODUCT(($A$2:$A$644=A12)*(ROW($A$2:$A$644)&gt;=ROW())*(ROW($A$2:$A$644)&lt;ROW()+3)*$C$2:$C$644),"")</f>
        <v/>
      </c>
      <c r="K12" s="0" t="str">
        <f aca="false">IF(J12="","",ROUNDUP(J12/75,0))</f>
        <v/>
      </c>
      <c r="L12" s="0" t="n">
        <f aca="false">IF(MOD(F12-1,5)=0,SUMPRODUCT(($A$2:$A$644=A12)*(ROW($A$2:$A$644)&gt;=ROW())*(ROW($A$2:$A$644)&lt;ROW()+5)*$C$2:$C$644),"")</f>
        <v>186</v>
      </c>
      <c r="M12" s="0" t="n">
        <f aca="false">IF(L12="","",ROUNDUP(L12/75,0))</f>
        <v>3</v>
      </c>
      <c r="N12" s="0" t="str">
        <f aca="false">IF(MOD(F12-1,7)=0,SUMPRODUCT(($A$2:$A$644=A12)*(ROW($A$2:$A$644)&gt;=ROW())*(ROW($A$2:$A$644)&lt;ROW()+7)*$C$2:$C$644),"")</f>
        <v/>
      </c>
      <c r="O12" s="0" t="str">
        <f aca="false">IF(N12="","",ROUNDUP(N12/75,0))</f>
        <v/>
      </c>
    </row>
    <row r="13" customFormat="false" ht="15" hidden="false" customHeight="false" outlineLevel="0" collapsed="false">
      <c r="A13" s="0" t="s">
        <v>33</v>
      </c>
      <c r="B13" s="0" t="s">
        <v>45</v>
      </c>
      <c r="C13" s="0" t="n">
        <v>54</v>
      </c>
      <c r="D13" s="0" t="n">
        <v>1</v>
      </c>
      <c r="E13" s="0" t="n">
        <v>21</v>
      </c>
      <c r="F13" s="0" t="n">
        <f aca="false">COUNTIF($A$2:A13,A13)</f>
        <v>12</v>
      </c>
      <c r="G13" s="0" t="n">
        <f aca="false">ROUNDUP(C13*1.236/75,0)</f>
        <v>1</v>
      </c>
      <c r="H13" s="0" t="str">
        <f aca="false">IF(MOD(F13-1,2)=0,SUMPRODUCT(($A$2:$A$644=A13)*(ROW($A$2:$A$644)&gt;=ROW())*(ROW($A$2:$A$644)&lt;ROW()+2)*$C$2:$C$644),"")</f>
        <v/>
      </c>
      <c r="I13" s="0" t="str">
        <f aca="false">IF(H13="","",ROUNDUP(H13/75,0))</f>
        <v/>
      </c>
      <c r="J13" s="0" t="str">
        <f aca="false">IF(MOD(F13-1,3)=0,SUMPRODUCT(($A$2:$A$644=A13)*(ROW($A$2:$A$644)&gt;=ROW())*(ROW($A$2:$A$644)&lt;ROW()+3)*$C$2:$C$644),"")</f>
        <v/>
      </c>
      <c r="K13" s="0" t="str">
        <f aca="false">IF(J13="","",ROUNDUP(J13/75,0))</f>
        <v/>
      </c>
      <c r="L13" s="0" t="str">
        <f aca="false">IF(MOD(F13-1,5)=0,SUMPRODUCT(($A$2:$A$644=A13)*(ROW($A$2:$A$644)&gt;=ROW())*(ROW($A$2:$A$644)&lt;ROW()+5)*$C$2:$C$644),"")</f>
        <v/>
      </c>
      <c r="M13" s="0" t="str">
        <f aca="false">IF(L13="","",ROUNDUP(L13/75,0))</f>
        <v/>
      </c>
      <c r="N13" s="0" t="str">
        <f aca="false">IF(MOD(F13-1,7)=0,SUMPRODUCT(($A$2:$A$644=A13)*(ROW($A$2:$A$644)&gt;=ROW())*(ROW($A$2:$A$644)&lt;ROW()+7)*$C$2:$C$644),"")</f>
        <v/>
      </c>
      <c r="O13" s="0" t="str">
        <f aca="false">IF(N13="","",ROUNDUP(N13/75,0))</f>
        <v/>
      </c>
    </row>
    <row r="14" customFormat="false" ht="15" hidden="false" customHeight="false" outlineLevel="0" collapsed="false">
      <c r="A14" s="0" t="s">
        <v>33</v>
      </c>
      <c r="B14" s="0" t="s">
        <v>46</v>
      </c>
      <c r="C14" s="0" t="n">
        <v>24</v>
      </c>
      <c r="D14" s="0" t="n">
        <v>1</v>
      </c>
      <c r="E14" s="0" t="n">
        <v>51</v>
      </c>
      <c r="F14" s="0" t="n">
        <f aca="false">COUNTIF($A$2:A14,A14)</f>
        <v>13</v>
      </c>
      <c r="G14" s="0" t="n">
        <f aca="false">ROUNDUP(C14*1.236/75,0)</f>
        <v>1</v>
      </c>
      <c r="H14" s="0" t="n">
        <f aca="false">IF(MOD(F14-1,2)=0,SUMPRODUCT(($A$2:$A$644=A14)*(ROW($A$2:$A$644)&gt;=ROW())*(ROW($A$2:$A$644)&lt;ROW()+2)*$C$2:$C$644),"")</f>
        <v>54</v>
      </c>
      <c r="I14" s="0" t="n">
        <f aca="false">IF(H14="","",ROUNDUP(H14/75,0))</f>
        <v>1</v>
      </c>
      <c r="J14" s="0" t="n">
        <f aca="false">IF(MOD(F14-1,3)=0,SUMPRODUCT(($A$2:$A$644=A14)*(ROW($A$2:$A$644)&gt;=ROW())*(ROW($A$2:$A$644)&lt;ROW()+3)*$C$2:$C$644),"")</f>
        <v>90</v>
      </c>
      <c r="K14" s="0" t="n">
        <f aca="false">IF(J14="","",ROUNDUP(J14/75,0))</f>
        <v>2</v>
      </c>
      <c r="L14" s="0" t="str">
        <f aca="false">IF(MOD(F14-1,5)=0,SUMPRODUCT(($A$2:$A$644=A14)*(ROW($A$2:$A$644)&gt;=ROW())*(ROW($A$2:$A$644)&lt;ROW()+5)*$C$2:$C$644),"")</f>
        <v/>
      </c>
      <c r="M14" s="0" t="str">
        <f aca="false">IF(L14="","",ROUNDUP(L14/75,0))</f>
        <v/>
      </c>
      <c r="N14" s="0" t="str">
        <f aca="false">IF(MOD(F14-1,7)=0,SUMPRODUCT(($A$2:$A$644=A14)*(ROW($A$2:$A$644)&gt;=ROW())*(ROW($A$2:$A$644)&lt;ROW()+7)*$C$2:$C$644),"")</f>
        <v/>
      </c>
      <c r="O14" s="0" t="str">
        <f aca="false">IF(N14="","",ROUNDUP(N14/75,0))</f>
        <v/>
      </c>
    </row>
    <row r="15" customFormat="false" ht="15" hidden="false" customHeight="false" outlineLevel="0" collapsed="false">
      <c r="A15" s="0" t="s">
        <v>33</v>
      </c>
      <c r="B15" s="0" t="s">
        <v>47</v>
      </c>
      <c r="C15" s="0" t="n">
        <v>30</v>
      </c>
      <c r="D15" s="0" t="n">
        <v>1</v>
      </c>
      <c r="E15" s="0" t="n">
        <v>45</v>
      </c>
      <c r="F15" s="0" t="n">
        <f aca="false">COUNTIF($A$2:A15,A15)</f>
        <v>14</v>
      </c>
      <c r="G15" s="0" t="n">
        <f aca="false">ROUNDUP(C15*1.236/75,0)</f>
        <v>1</v>
      </c>
      <c r="H15" s="0" t="str">
        <f aca="false">IF(MOD(F15-1,2)=0,SUMPRODUCT(($A$2:$A$644=A15)*(ROW($A$2:$A$644)&gt;=ROW())*(ROW($A$2:$A$644)&lt;ROW()+2)*$C$2:$C$644),"")</f>
        <v/>
      </c>
      <c r="I15" s="0" t="str">
        <f aca="false">IF(H15="","",ROUNDUP(H15/75,0))</f>
        <v/>
      </c>
      <c r="J15" s="0" t="str">
        <f aca="false">IF(MOD(F15-1,3)=0,SUMPRODUCT(($A$2:$A$644=A15)*(ROW($A$2:$A$644)&gt;=ROW())*(ROW($A$2:$A$644)&lt;ROW()+3)*$C$2:$C$644),"")</f>
        <v/>
      </c>
      <c r="K15" s="0" t="str">
        <f aca="false">IF(J15="","",ROUNDUP(J15/75,0))</f>
        <v/>
      </c>
      <c r="L15" s="0" t="str">
        <f aca="false">IF(MOD(F15-1,5)=0,SUMPRODUCT(($A$2:$A$644=A15)*(ROW($A$2:$A$644)&gt;=ROW())*(ROW($A$2:$A$644)&lt;ROW()+5)*$C$2:$C$644),"")</f>
        <v/>
      </c>
      <c r="M15" s="0" t="str">
        <f aca="false">IF(L15="","",ROUNDUP(L15/75,0))</f>
        <v/>
      </c>
      <c r="N15" s="0" t="str">
        <f aca="false">IF(MOD(F15-1,7)=0,SUMPRODUCT(($A$2:$A$644=A15)*(ROW($A$2:$A$644)&gt;=ROW())*(ROW($A$2:$A$644)&lt;ROW()+7)*$C$2:$C$644),"")</f>
        <v/>
      </c>
      <c r="O15" s="0" t="str">
        <f aca="false">IF(N15="","",ROUNDUP(N15/75,0))</f>
        <v/>
      </c>
    </row>
    <row r="16" customFormat="false" ht="15" hidden="false" customHeight="false" outlineLevel="0" collapsed="false">
      <c r="A16" s="0" t="s">
        <v>33</v>
      </c>
      <c r="B16" s="0" t="s">
        <v>48</v>
      </c>
      <c r="C16" s="0" t="n">
        <v>36</v>
      </c>
      <c r="D16" s="0" t="n">
        <v>1</v>
      </c>
      <c r="E16" s="0" t="n">
        <v>39</v>
      </c>
      <c r="F16" s="0" t="n">
        <f aca="false">COUNTIF($A$2:A16,A16)</f>
        <v>15</v>
      </c>
      <c r="G16" s="0" t="n">
        <f aca="false">ROUNDUP(C16*1.236/75,0)</f>
        <v>1</v>
      </c>
      <c r="H16" s="0" t="n">
        <f aca="false">IF(MOD(F16-1,2)=0,SUMPRODUCT(($A$2:$A$644=A16)*(ROW($A$2:$A$644)&gt;=ROW())*(ROW($A$2:$A$644)&lt;ROW()+2)*$C$2:$C$644),"")</f>
        <v>78</v>
      </c>
      <c r="I16" s="0" t="n">
        <f aca="false">IF(H16="","",ROUNDUP(H16/75,0))</f>
        <v>2</v>
      </c>
      <c r="J16" s="0" t="str">
        <f aca="false">IF(MOD(F16-1,3)=0,SUMPRODUCT(($A$2:$A$644=A16)*(ROW($A$2:$A$644)&gt;=ROW())*(ROW($A$2:$A$644)&lt;ROW()+3)*$C$2:$C$644),"")</f>
        <v/>
      </c>
      <c r="K16" s="0" t="str">
        <f aca="false">IF(J16="","",ROUNDUP(J16/75,0))</f>
        <v/>
      </c>
      <c r="L16" s="0" t="str">
        <f aca="false">IF(MOD(F16-1,5)=0,SUMPRODUCT(($A$2:$A$644=A16)*(ROW($A$2:$A$644)&gt;=ROW())*(ROW($A$2:$A$644)&lt;ROW()+5)*$C$2:$C$644),"")</f>
        <v/>
      </c>
      <c r="M16" s="0" t="str">
        <f aca="false">IF(L16="","",ROUNDUP(L16/75,0))</f>
        <v/>
      </c>
      <c r="N16" s="0" t="n">
        <f aca="false">IF(MOD(F16-1,7)=0,SUMPRODUCT(($A$2:$A$644=A16)*(ROW($A$2:$A$644)&gt;=ROW())*(ROW($A$2:$A$644)&lt;ROW()+7)*$C$2:$C$644),"")</f>
        <v>312</v>
      </c>
      <c r="O16" s="0" t="n">
        <f aca="false">IF(N16="","",ROUNDUP(N16/75,0))</f>
        <v>5</v>
      </c>
    </row>
    <row r="17" customFormat="false" ht="15" hidden="false" customHeight="false" outlineLevel="0" collapsed="false">
      <c r="A17" s="0" t="s">
        <v>33</v>
      </c>
      <c r="B17" s="0" t="s">
        <v>49</v>
      </c>
      <c r="C17" s="0" t="n">
        <v>42</v>
      </c>
      <c r="D17" s="0" t="n">
        <v>1</v>
      </c>
      <c r="E17" s="0" t="n">
        <v>33</v>
      </c>
      <c r="F17" s="0" t="n">
        <f aca="false">COUNTIF($A$2:A17,A17)</f>
        <v>16</v>
      </c>
      <c r="G17" s="0" t="n">
        <f aca="false">ROUNDUP(C17*1.236/75,0)</f>
        <v>1</v>
      </c>
      <c r="H17" s="0" t="str">
        <f aca="false">IF(MOD(F17-1,2)=0,SUMPRODUCT(($A$2:$A$644=A17)*(ROW($A$2:$A$644)&gt;=ROW())*(ROW($A$2:$A$644)&lt;ROW()+2)*$C$2:$C$644),"")</f>
        <v/>
      </c>
      <c r="I17" s="0" t="str">
        <f aca="false">IF(H17="","",ROUNDUP(H17/75,0))</f>
        <v/>
      </c>
      <c r="J17" s="0" t="n">
        <f aca="false">IF(MOD(F17-1,3)=0,SUMPRODUCT(($A$2:$A$644=A17)*(ROW($A$2:$A$644)&gt;=ROW())*(ROW($A$2:$A$644)&lt;ROW()+3)*$C$2:$C$644),"")</f>
        <v>108</v>
      </c>
      <c r="K17" s="0" t="n">
        <f aca="false">IF(J17="","",ROUNDUP(J17/75,0))</f>
        <v>2</v>
      </c>
      <c r="L17" s="0" t="n">
        <f aca="false">IF(MOD(F17-1,5)=0,SUMPRODUCT(($A$2:$A$644=A17)*(ROW($A$2:$A$644)&gt;=ROW())*(ROW($A$2:$A$644)&lt;ROW()+5)*$C$2:$C$644),"")</f>
        <v>192</v>
      </c>
      <c r="M17" s="0" t="n">
        <f aca="false">IF(L17="","",ROUNDUP(L17/75,0))</f>
        <v>3</v>
      </c>
      <c r="N17" s="0" t="str">
        <f aca="false">IF(MOD(F17-1,7)=0,SUMPRODUCT(($A$2:$A$644=A17)*(ROW($A$2:$A$644)&gt;=ROW())*(ROW($A$2:$A$644)&lt;ROW()+7)*$C$2:$C$644),"")</f>
        <v/>
      </c>
      <c r="O17" s="0" t="str">
        <f aca="false">IF(N17="","",ROUNDUP(N17/75,0))</f>
        <v/>
      </c>
    </row>
    <row r="18" customFormat="false" ht="15" hidden="false" customHeight="false" outlineLevel="0" collapsed="false">
      <c r="A18" s="0" t="s">
        <v>33</v>
      </c>
      <c r="B18" s="0" t="s">
        <v>50</v>
      </c>
      <c r="C18" s="0" t="n">
        <v>30</v>
      </c>
      <c r="D18" s="0" t="n">
        <v>1</v>
      </c>
      <c r="E18" s="0" t="n">
        <v>45</v>
      </c>
      <c r="F18" s="0" t="n">
        <f aca="false">COUNTIF($A$2:A18,A18)</f>
        <v>17</v>
      </c>
      <c r="G18" s="0" t="n">
        <f aca="false">ROUNDUP(C18*1.236/75,0)</f>
        <v>1</v>
      </c>
      <c r="H18" s="0" t="n">
        <f aca="false">IF(MOD(F18-1,2)=0,SUMPRODUCT(($A$2:$A$644=A18)*(ROW($A$2:$A$644)&gt;=ROW())*(ROW($A$2:$A$644)&lt;ROW()+2)*$C$2:$C$644),"")</f>
        <v>66</v>
      </c>
      <c r="I18" s="0" t="n">
        <f aca="false">IF(H18="","",ROUNDUP(H18/75,0))</f>
        <v>1</v>
      </c>
      <c r="J18" s="0" t="str">
        <f aca="false">IF(MOD(F18-1,3)=0,SUMPRODUCT(($A$2:$A$644=A18)*(ROW($A$2:$A$644)&gt;=ROW())*(ROW($A$2:$A$644)&lt;ROW()+3)*$C$2:$C$644),"")</f>
        <v/>
      </c>
      <c r="K18" s="0" t="str">
        <f aca="false">IF(J18="","",ROUNDUP(J18/75,0))</f>
        <v/>
      </c>
      <c r="L18" s="0" t="str">
        <f aca="false">IF(MOD(F18-1,5)=0,SUMPRODUCT(($A$2:$A$644=A18)*(ROW($A$2:$A$644)&gt;=ROW())*(ROW($A$2:$A$644)&lt;ROW()+5)*$C$2:$C$644),"")</f>
        <v/>
      </c>
      <c r="M18" s="0" t="str">
        <f aca="false">IF(L18="","",ROUNDUP(L18/75,0))</f>
        <v/>
      </c>
      <c r="N18" s="0" t="str">
        <f aca="false">IF(MOD(F18-1,7)=0,SUMPRODUCT(($A$2:$A$644=A18)*(ROW($A$2:$A$644)&gt;=ROW())*(ROW($A$2:$A$644)&lt;ROW()+7)*$C$2:$C$644),"")</f>
        <v/>
      </c>
      <c r="O18" s="0" t="str">
        <f aca="false">IF(N18="","",ROUNDUP(N18/75,0))</f>
        <v/>
      </c>
    </row>
    <row r="19" customFormat="false" ht="15" hidden="false" customHeight="false" outlineLevel="0" collapsed="false">
      <c r="A19" s="0" t="s">
        <v>33</v>
      </c>
      <c r="B19" s="0" t="s">
        <v>51</v>
      </c>
      <c r="C19" s="0" t="n">
        <v>36</v>
      </c>
      <c r="D19" s="0" t="n">
        <v>1</v>
      </c>
      <c r="E19" s="0" t="n">
        <v>39</v>
      </c>
      <c r="F19" s="0" t="n">
        <f aca="false">COUNTIF($A$2:A19,A19)</f>
        <v>18</v>
      </c>
      <c r="G19" s="0" t="n">
        <f aca="false">ROUNDUP(C19*1.236/75,0)</f>
        <v>1</v>
      </c>
      <c r="H19" s="0" t="str">
        <f aca="false">IF(MOD(F19-1,2)=0,SUMPRODUCT(($A$2:$A$644=A19)*(ROW($A$2:$A$644)&gt;=ROW())*(ROW($A$2:$A$644)&lt;ROW()+2)*$C$2:$C$644),"")</f>
        <v/>
      </c>
      <c r="I19" s="0" t="str">
        <f aca="false">IF(H19="","",ROUNDUP(H19/75,0))</f>
        <v/>
      </c>
      <c r="J19" s="0" t="str">
        <f aca="false">IF(MOD(F19-1,3)=0,SUMPRODUCT(($A$2:$A$644=A19)*(ROW($A$2:$A$644)&gt;=ROW())*(ROW($A$2:$A$644)&lt;ROW()+3)*$C$2:$C$644),"")</f>
        <v/>
      </c>
      <c r="K19" s="0" t="str">
        <f aca="false">IF(J19="","",ROUNDUP(J19/75,0))</f>
        <v/>
      </c>
      <c r="L19" s="0" t="str">
        <f aca="false">IF(MOD(F19-1,5)=0,SUMPRODUCT(($A$2:$A$644=A19)*(ROW($A$2:$A$644)&gt;=ROW())*(ROW($A$2:$A$644)&lt;ROW()+5)*$C$2:$C$644),"")</f>
        <v/>
      </c>
      <c r="M19" s="0" t="str">
        <f aca="false">IF(L19="","",ROUNDUP(L19/75,0))</f>
        <v/>
      </c>
      <c r="N19" s="0" t="str">
        <f aca="false">IF(MOD(F19-1,7)=0,SUMPRODUCT(($A$2:$A$644=A19)*(ROW($A$2:$A$644)&gt;=ROW())*(ROW($A$2:$A$644)&lt;ROW()+7)*$C$2:$C$644),"")</f>
        <v/>
      </c>
      <c r="O19" s="0" t="str">
        <f aca="false">IF(N19="","",ROUNDUP(N19/75,0))</f>
        <v/>
      </c>
    </row>
    <row r="20" customFormat="false" ht="15" hidden="false" customHeight="false" outlineLevel="0" collapsed="false">
      <c r="A20" s="0" t="s">
        <v>33</v>
      </c>
      <c r="B20" s="0" t="s">
        <v>52</v>
      </c>
      <c r="C20" s="0" t="n">
        <v>30</v>
      </c>
      <c r="D20" s="0" t="n">
        <v>1</v>
      </c>
      <c r="E20" s="0" t="n">
        <v>45</v>
      </c>
      <c r="F20" s="0" t="n">
        <f aca="false">COUNTIF($A$2:A20,A20)</f>
        <v>19</v>
      </c>
      <c r="G20" s="0" t="n">
        <f aca="false">ROUNDUP(C20*1.236/75,0)</f>
        <v>1</v>
      </c>
      <c r="H20" s="0" t="n">
        <f aca="false">IF(MOD(F20-1,2)=0,SUMPRODUCT(($A$2:$A$644=A20)*(ROW($A$2:$A$644)&gt;=ROW())*(ROW($A$2:$A$644)&lt;ROW()+2)*$C$2:$C$644),"")</f>
        <v>84</v>
      </c>
      <c r="I20" s="0" t="n">
        <f aca="false">IF(H20="","",ROUNDUP(H20/75,0))</f>
        <v>2</v>
      </c>
      <c r="J20" s="0" t="n">
        <f aca="false">IF(MOD(F20-1,3)=0,SUMPRODUCT(($A$2:$A$644=A20)*(ROW($A$2:$A$644)&gt;=ROW())*(ROW($A$2:$A$644)&lt;ROW()+3)*$C$2:$C$644),"")</f>
        <v>168</v>
      </c>
      <c r="K20" s="0" t="n">
        <f aca="false">IF(J20="","",ROUNDUP(J20/75,0))</f>
        <v>3</v>
      </c>
      <c r="L20" s="0" t="str">
        <f aca="false">IF(MOD(F20-1,5)=0,SUMPRODUCT(($A$2:$A$644=A20)*(ROW($A$2:$A$644)&gt;=ROW())*(ROW($A$2:$A$644)&lt;ROW()+5)*$C$2:$C$644),"")</f>
        <v/>
      </c>
      <c r="M20" s="0" t="str">
        <f aca="false">IF(L20="","",ROUNDUP(L20/75,0))</f>
        <v/>
      </c>
      <c r="N20" s="0" t="str">
        <f aca="false">IF(MOD(F20-1,7)=0,SUMPRODUCT(($A$2:$A$644=A20)*(ROW($A$2:$A$644)&gt;=ROW())*(ROW($A$2:$A$644)&lt;ROW()+7)*$C$2:$C$644),"")</f>
        <v/>
      </c>
      <c r="O20" s="0" t="str">
        <f aca="false">IF(N20="","",ROUNDUP(N20/75,0))</f>
        <v/>
      </c>
    </row>
    <row r="21" customFormat="false" ht="15" hidden="false" customHeight="false" outlineLevel="0" collapsed="false">
      <c r="A21" s="0" t="s">
        <v>33</v>
      </c>
      <c r="B21" s="0" t="s">
        <v>53</v>
      </c>
      <c r="C21" s="0" t="n">
        <v>54</v>
      </c>
      <c r="D21" s="0" t="n">
        <v>1</v>
      </c>
      <c r="E21" s="0" t="n">
        <v>21</v>
      </c>
      <c r="F21" s="0" t="n">
        <f aca="false">COUNTIF($A$2:A21,A21)</f>
        <v>20</v>
      </c>
      <c r="G21" s="0" t="n">
        <f aca="false">ROUNDUP(C21*1.236/75,0)</f>
        <v>1</v>
      </c>
      <c r="H21" s="0" t="str">
        <f aca="false">IF(MOD(F21-1,2)=0,SUMPRODUCT(($A$2:$A$644=A21)*(ROW($A$2:$A$644)&gt;=ROW())*(ROW($A$2:$A$644)&lt;ROW()+2)*$C$2:$C$644),"")</f>
        <v/>
      </c>
      <c r="I21" s="0" t="str">
        <f aca="false">IF(H21="","",ROUNDUP(H21/75,0))</f>
        <v/>
      </c>
      <c r="J21" s="0" t="str">
        <f aca="false">IF(MOD(F21-1,3)=0,SUMPRODUCT(($A$2:$A$644=A21)*(ROW($A$2:$A$644)&gt;=ROW())*(ROW($A$2:$A$644)&lt;ROW()+3)*$C$2:$C$644),"")</f>
        <v/>
      </c>
      <c r="K21" s="0" t="str">
        <f aca="false">IF(J21="","",ROUNDUP(J21/75,0))</f>
        <v/>
      </c>
      <c r="L21" s="0" t="str">
        <f aca="false">IF(MOD(F21-1,5)=0,SUMPRODUCT(($A$2:$A$644=A21)*(ROW($A$2:$A$644)&gt;=ROW())*(ROW($A$2:$A$644)&lt;ROW()+5)*$C$2:$C$644),"")</f>
        <v/>
      </c>
      <c r="M21" s="0" t="str">
        <f aca="false">IF(L21="","",ROUNDUP(L21/75,0))</f>
        <v/>
      </c>
      <c r="N21" s="0" t="str">
        <f aca="false">IF(MOD(F21-1,7)=0,SUMPRODUCT(($A$2:$A$644=A21)*(ROW($A$2:$A$644)&gt;=ROW())*(ROW($A$2:$A$644)&lt;ROW()+7)*$C$2:$C$644),"")</f>
        <v/>
      </c>
      <c r="O21" s="0" t="str">
        <f aca="false">IF(N21="","",ROUNDUP(N21/75,0))</f>
        <v/>
      </c>
    </row>
    <row r="22" customFormat="false" ht="15" hidden="false" customHeight="false" outlineLevel="0" collapsed="false">
      <c r="A22" s="0" t="s">
        <v>33</v>
      </c>
      <c r="B22" s="0" t="s">
        <v>54</v>
      </c>
      <c r="C22" s="0" t="n">
        <v>84</v>
      </c>
      <c r="D22" s="0" t="n">
        <v>2</v>
      </c>
      <c r="E22" s="0" t="n">
        <v>66</v>
      </c>
      <c r="F22" s="0" t="n">
        <f aca="false">COUNTIF($A$2:A22,A22)</f>
        <v>21</v>
      </c>
      <c r="G22" s="0" t="n">
        <f aca="false">ROUNDUP(C22*1.236/75,0)</f>
        <v>2</v>
      </c>
      <c r="H22" s="0" t="n">
        <f aca="false">IF(MOD(F22-1,2)=0,SUMPRODUCT(($A$2:$A$644=A22)*(ROW($A$2:$A$644)&gt;=ROW())*(ROW($A$2:$A$644)&lt;ROW()+2)*$C$2:$C$644),"")</f>
        <v>156</v>
      </c>
      <c r="I22" s="0" t="n">
        <f aca="false">IF(H22="","",ROUNDUP(H22/75,0))</f>
        <v>3</v>
      </c>
      <c r="J22" s="0" t="str">
        <f aca="false">IF(MOD(F22-1,3)=0,SUMPRODUCT(($A$2:$A$644=A22)*(ROW($A$2:$A$644)&gt;=ROW())*(ROW($A$2:$A$644)&lt;ROW()+3)*$C$2:$C$644),"")</f>
        <v/>
      </c>
      <c r="K22" s="0" t="str">
        <f aca="false">IF(J22="","",ROUNDUP(J22/75,0))</f>
        <v/>
      </c>
      <c r="L22" s="0" t="n">
        <f aca="false">IF(MOD(F22-1,5)=0,SUMPRODUCT(($A$2:$A$644=A22)*(ROW($A$2:$A$644)&gt;=ROW())*(ROW($A$2:$A$644)&lt;ROW()+5)*$C$2:$C$644),"")</f>
        <v>384</v>
      </c>
      <c r="M22" s="0" t="n">
        <f aca="false">IF(L22="","",ROUNDUP(L22/75,0))</f>
        <v>6</v>
      </c>
      <c r="N22" s="0" t="str">
        <f aca="false">IF(MOD(F22-1,7)=0,SUMPRODUCT(($A$2:$A$644=A22)*(ROW($A$2:$A$644)&gt;=ROW())*(ROW($A$2:$A$644)&lt;ROW()+7)*$C$2:$C$644),"")</f>
        <v/>
      </c>
      <c r="O22" s="0" t="str">
        <f aca="false">IF(N22="","",ROUNDUP(N22/75,0))</f>
        <v/>
      </c>
    </row>
    <row r="23" customFormat="false" ht="15" hidden="false" customHeight="false" outlineLevel="0" collapsed="false">
      <c r="A23" s="0" t="s">
        <v>33</v>
      </c>
      <c r="B23" s="0" t="s">
        <v>55</v>
      </c>
      <c r="C23" s="0" t="n">
        <v>72</v>
      </c>
      <c r="D23" s="0" t="n">
        <v>1</v>
      </c>
      <c r="E23" s="0" t="n">
        <v>3</v>
      </c>
      <c r="F23" s="0" t="n">
        <f aca="false">COUNTIF($A$2:A23,A23)</f>
        <v>22</v>
      </c>
      <c r="G23" s="0" t="n">
        <f aca="false">ROUNDUP(C23*1.236/75,0)</f>
        <v>2</v>
      </c>
      <c r="H23" s="0" t="str">
        <f aca="false">IF(MOD(F23-1,2)=0,SUMPRODUCT(($A$2:$A$644=A23)*(ROW($A$2:$A$644)&gt;=ROW())*(ROW($A$2:$A$644)&lt;ROW()+2)*$C$2:$C$644),"")</f>
        <v/>
      </c>
      <c r="I23" s="0" t="str">
        <f aca="false">IF(H23="","",ROUNDUP(H23/75,0))</f>
        <v/>
      </c>
      <c r="J23" s="0" t="n">
        <f aca="false">IF(MOD(F23-1,3)=0,SUMPRODUCT(($A$2:$A$644=A23)*(ROW($A$2:$A$644)&gt;=ROW())*(ROW($A$2:$A$644)&lt;ROW()+3)*$C$2:$C$644),"")</f>
        <v>264</v>
      </c>
      <c r="K23" s="0" t="n">
        <f aca="false">IF(J23="","",ROUNDUP(J23/75,0))</f>
        <v>4</v>
      </c>
      <c r="L23" s="0" t="str">
        <f aca="false">IF(MOD(F23-1,5)=0,SUMPRODUCT(($A$2:$A$644=A23)*(ROW($A$2:$A$644)&gt;=ROW())*(ROW($A$2:$A$644)&lt;ROW()+5)*$C$2:$C$644),"")</f>
        <v/>
      </c>
      <c r="M23" s="0" t="str">
        <f aca="false">IF(L23="","",ROUNDUP(L23/75,0))</f>
        <v/>
      </c>
      <c r="N23" s="0" t="n">
        <f aca="false">IF(MOD(F23-1,7)=0,SUMPRODUCT(($A$2:$A$644=A23)*(ROW($A$2:$A$644)&gt;=ROW())*(ROW($A$2:$A$644)&lt;ROW()+7)*$C$2:$C$644),"")</f>
        <v>426</v>
      </c>
      <c r="O23" s="0" t="n">
        <f aca="false">IF(N23="","",ROUNDUP(N23/75,0))</f>
        <v>6</v>
      </c>
    </row>
    <row r="24" customFormat="false" ht="15" hidden="false" customHeight="false" outlineLevel="0" collapsed="false">
      <c r="A24" s="0" t="s">
        <v>33</v>
      </c>
      <c r="B24" s="0" t="s">
        <v>56</v>
      </c>
      <c r="C24" s="0" t="n">
        <v>132</v>
      </c>
      <c r="D24" s="0" t="n">
        <v>2</v>
      </c>
      <c r="E24" s="0" t="n">
        <v>18</v>
      </c>
      <c r="F24" s="0" t="n">
        <f aca="false">COUNTIF($A$2:A24,A24)</f>
        <v>23</v>
      </c>
      <c r="G24" s="0" t="n">
        <f aca="false">ROUNDUP(C24*1.236/75,0)</f>
        <v>3</v>
      </c>
      <c r="H24" s="0" t="n">
        <f aca="false">IF(MOD(F24-1,2)=0,SUMPRODUCT(($A$2:$A$644=A24)*(ROW($A$2:$A$644)&gt;=ROW())*(ROW($A$2:$A$644)&lt;ROW()+2)*$C$2:$C$644),"")</f>
        <v>192</v>
      </c>
      <c r="I24" s="0" t="n">
        <f aca="false">IF(H24="","",ROUNDUP(H24/75,0))</f>
        <v>3</v>
      </c>
      <c r="J24" s="0" t="str">
        <f aca="false">IF(MOD(F24-1,3)=0,SUMPRODUCT(($A$2:$A$644=A24)*(ROW($A$2:$A$644)&gt;=ROW())*(ROW($A$2:$A$644)&lt;ROW()+3)*$C$2:$C$644),"")</f>
        <v/>
      </c>
      <c r="K24" s="0" t="str">
        <f aca="false">IF(J24="","",ROUNDUP(J24/75,0))</f>
        <v/>
      </c>
      <c r="L24" s="0" t="str">
        <f aca="false">IF(MOD(F24-1,5)=0,SUMPRODUCT(($A$2:$A$644=A24)*(ROW($A$2:$A$644)&gt;=ROW())*(ROW($A$2:$A$644)&lt;ROW()+5)*$C$2:$C$644),"")</f>
        <v/>
      </c>
      <c r="M24" s="0" t="str">
        <f aca="false">IF(L24="","",ROUNDUP(L24/75,0))</f>
        <v/>
      </c>
      <c r="N24" s="0" t="str">
        <f aca="false">IF(MOD(F24-1,7)=0,SUMPRODUCT(($A$2:$A$644=A24)*(ROW($A$2:$A$644)&gt;=ROW())*(ROW($A$2:$A$644)&lt;ROW()+7)*$C$2:$C$644),"")</f>
        <v/>
      </c>
      <c r="O24" s="0" t="str">
        <f aca="false">IF(N24="","",ROUNDUP(N24/75,0))</f>
        <v/>
      </c>
    </row>
    <row r="25" customFormat="false" ht="15" hidden="false" customHeight="false" outlineLevel="0" collapsed="false">
      <c r="A25" s="0" t="s">
        <v>33</v>
      </c>
      <c r="B25" s="0" t="s">
        <v>57</v>
      </c>
      <c r="C25" s="0" t="n">
        <v>60</v>
      </c>
      <c r="D25" s="0" t="n">
        <v>1</v>
      </c>
      <c r="E25" s="0" t="n">
        <v>15</v>
      </c>
      <c r="F25" s="0" t="n">
        <f aca="false">COUNTIF($A$2:A25,A25)</f>
        <v>24</v>
      </c>
      <c r="G25" s="0" t="n">
        <f aca="false">ROUNDUP(C25*1.236/75,0)</f>
        <v>1</v>
      </c>
      <c r="H25" s="0" t="str">
        <f aca="false">IF(MOD(F25-1,2)=0,SUMPRODUCT(($A$2:$A$644=A25)*(ROW($A$2:$A$644)&gt;=ROW())*(ROW($A$2:$A$644)&lt;ROW()+2)*$C$2:$C$644),"")</f>
        <v/>
      </c>
      <c r="I25" s="0" t="str">
        <f aca="false">IF(H25="","",ROUNDUP(H25/75,0))</f>
        <v/>
      </c>
      <c r="J25" s="0" t="str">
        <f aca="false">IF(MOD(F25-1,3)=0,SUMPRODUCT(($A$2:$A$644=A25)*(ROW($A$2:$A$644)&gt;=ROW())*(ROW($A$2:$A$644)&lt;ROW()+3)*$C$2:$C$644),"")</f>
        <v/>
      </c>
      <c r="K25" s="0" t="str">
        <f aca="false">IF(J25="","",ROUNDUP(J25/75,0))</f>
        <v/>
      </c>
      <c r="L25" s="0" t="str">
        <f aca="false">IF(MOD(F25-1,5)=0,SUMPRODUCT(($A$2:$A$644=A25)*(ROW($A$2:$A$644)&gt;=ROW())*(ROW($A$2:$A$644)&lt;ROW()+5)*$C$2:$C$644),"")</f>
        <v/>
      </c>
      <c r="M25" s="0" t="str">
        <f aca="false">IF(L25="","",ROUNDUP(L25/75,0))</f>
        <v/>
      </c>
      <c r="N25" s="0" t="str">
        <f aca="false">IF(MOD(F25-1,7)=0,SUMPRODUCT(($A$2:$A$644=A25)*(ROW($A$2:$A$644)&gt;=ROW())*(ROW($A$2:$A$644)&lt;ROW()+7)*$C$2:$C$644),"")</f>
        <v/>
      </c>
      <c r="O25" s="0" t="str">
        <f aca="false">IF(N25="","",ROUNDUP(N25/75,0))</f>
        <v/>
      </c>
    </row>
    <row r="26" customFormat="false" ht="15" hidden="false" customHeight="false" outlineLevel="0" collapsed="false">
      <c r="A26" s="0" t="s">
        <v>33</v>
      </c>
      <c r="B26" s="0" t="s">
        <v>58</v>
      </c>
      <c r="C26" s="0" t="n">
        <v>36</v>
      </c>
      <c r="D26" s="0" t="n">
        <v>1</v>
      </c>
      <c r="E26" s="0" t="n">
        <v>39</v>
      </c>
      <c r="F26" s="0" t="n">
        <f aca="false">COUNTIF($A$2:A26,A26)</f>
        <v>25</v>
      </c>
      <c r="G26" s="0" t="n">
        <f aca="false">ROUNDUP(C26*1.236/75,0)</f>
        <v>1</v>
      </c>
      <c r="H26" s="0" t="n">
        <f aca="false">IF(MOD(F26-1,2)=0,SUMPRODUCT(($A$2:$A$644=A26)*(ROW($A$2:$A$644)&gt;=ROW())*(ROW($A$2:$A$644)&lt;ROW()+2)*$C$2:$C$644),"")</f>
        <v>66</v>
      </c>
      <c r="I26" s="0" t="n">
        <f aca="false">IF(H26="","",ROUNDUP(H26/75,0))</f>
        <v>1</v>
      </c>
      <c r="J26" s="0" t="n">
        <f aca="false">IF(MOD(F26-1,3)=0,SUMPRODUCT(($A$2:$A$644=A26)*(ROW($A$2:$A$644)&gt;=ROW())*(ROW($A$2:$A$644)&lt;ROW()+3)*$C$2:$C$644),"")</f>
        <v>102</v>
      </c>
      <c r="K26" s="0" t="n">
        <f aca="false">IF(J26="","",ROUNDUP(J26/75,0))</f>
        <v>2</v>
      </c>
      <c r="L26" s="0" t="str">
        <f aca="false">IF(MOD(F26-1,5)=0,SUMPRODUCT(($A$2:$A$644=A26)*(ROW($A$2:$A$644)&gt;=ROW())*(ROW($A$2:$A$644)&lt;ROW()+5)*$C$2:$C$644),"")</f>
        <v/>
      </c>
      <c r="M26" s="0" t="str">
        <f aca="false">IF(L26="","",ROUNDUP(L26/75,0))</f>
        <v/>
      </c>
      <c r="N26" s="0" t="str">
        <f aca="false">IF(MOD(F26-1,7)=0,SUMPRODUCT(($A$2:$A$644=A26)*(ROW($A$2:$A$644)&gt;=ROW())*(ROW($A$2:$A$644)&lt;ROW()+7)*$C$2:$C$644),"")</f>
        <v/>
      </c>
      <c r="O26" s="0" t="str">
        <f aca="false">IF(N26="","",ROUNDUP(N26/75,0))</f>
        <v/>
      </c>
    </row>
    <row r="27" customFormat="false" ht="15" hidden="false" customHeight="false" outlineLevel="0" collapsed="false">
      <c r="A27" s="0" t="s">
        <v>33</v>
      </c>
      <c r="B27" s="0" t="s">
        <v>59</v>
      </c>
      <c r="C27" s="0" t="n">
        <v>30</v>
      </c>
      <c r="D27" s="0" t="n">
        <v>1</v>
      </c>
      <c r="E27" s="0" t="n">
        <v>45</v>
      </c>
      <c r="F27" s="0" t="n">
        <f aca="false">COUNTIF($A$2:A27,A27)</f>
        <v>26</v>
      </c>
      <c r="G27" s="0" t="n">
        <f aca="false">ROUNDUP(C27*1.236/75,0)</f>
        <v>1</v>
      </c>
      <c r="H27" s="0" t="str">
        <f aca="false">IF(MOD(F27-1,2)=0,SUMPRODUCT(($A$2:$A$644=A27)*(ROW($A$2:$A$644)&gt;=ROW())*(ROW($A$2:$A$644)&lt;ROW()+2)*$C$2:$C$644),"")</f>
        <v/>
      </c>
      <c r="I27" s="0" t="str">
        <f aca="false">IF(H27="","",ROUNDUP(H27/75,0))</f>
        <v/>
      </c>
      <c r="J27" s="0" t="str">
        <f aca="false">IF(MOD(F27-1,3)=0,SUMPRODUCT(($A$2:$A$644=A27)*(ROW($A$2:$A$644)&gt;=ROW())*(ROW($A$2:$A$644)&lt;ROW()+3)*$C$2:$C$644),"")</f>
        <v/>
      </c>
      <c r="K27" s="0" t="str">
        <f aca="false">IF(J27="","",ROUNDUP(J27/75,0))</f>
        <v/>
      </c>
      <c r="L27" s="0" t="n">
        <f aca="false">IF(MOD(F27-1,5)=0,SUMPRODUCT(($A$2:$A$644=A27)*(ROW($A$2:$A$644)&gt;=ROW())*(ROW($A$2:$A$644)&lt;ROW()+5)*$C$2:$C$644),"")</f>
        <v>252</v>
      </c>
      <c r="M27" s="0" t="n">
        <f aca="false">IF(L27="","",ROUNDUP(L27/75,0))</f>
        <v>4</v>
      </c>
      <c r="N27" s="0" t="str">
        <f aca="false">IF(MOD(F27-1,7)=0,SUMPRODUCT(($A$2:$A$644=A27)*(ROW($A$2:$A$644)&gt;=ROW())*(ROW($A$2:$A$644)&lt;ROW()+7)*$C$2:$C$644),"")</f>
        <v/>
      </c>
      <c r="O27" s="0" t="str">
        <f aca="false">IF(N27="","",ROUNDUP(N27/75,0))</f>
        <v/>
      </c>
    </row>
    <row r="28" customFormat="false" ht="15" hidden="false" customHeight="false" outlineLevel="0" collapsed="false">
      <c r="A28" s="0" t="s">
        <v>33</v>
      </c>
      <c r="B28" s="0" t="s">
        <v>60</v>
      </c>
      <c r="C28" s="0" t="n">
        <v>36</v>
      </c>
      <c r="D28" s="0" t="n">
        <v>1</v>
      </c>
      <c r="E28" s="0" t="n">
        <v>39</v>
      </c>
      <c r="F28" s="0" t="n">
        <f aca="false">COUNTIF($A$2:A28,A28)</f>
        <v>27</v>
      </c>
      <c r="G28" s="0" t="n">
        <f aca="false">ROUNDUP(C28*1.236/75,0)</f>
        <v>1</v>
      </c>
      <c r="H28" s="0" t="n">
        <f aca="false">IF(MOD(F28-1,2)=0,SUMPRODUCT(($A$2:$A$644=A28)*(ROW($A$2:$A$644)&gt;=ROW())*(ROW($A$2:$A$644)&lt;ROW()+2)*$C$2:$C$644),"")</f>
        <v>96</v>
      </c>
      <c r="I28" s="0" t="n">
        <f aca="false">IF(H28="","",ROUNDUP(H28/75,0))</f>
        <v>2</v>
      </c>
      <c r="J28" s="0" t="str">
        <f aca="false">IF(MOD(F28-1,3)=0,SUMPRODUCT(($A$2:$A$644=A28)*(ROW($A$2:$A$644)&gt;=ROW())*(ROW($A$2:$A$644)&lt;ROW()+3)*$C$2:$C$644),"")</f>
        <v/>
      </c>
      <c r="K28" s="0" t="str">
        <f aca="false">IF(J28="","",ROUNDUP(J28/75,0))</f>
        <v/>
      </c>
      <c r="L28" s="0" t="str">
        <f aca="false">IF(MOD(F28-1,5)=0,SUMPRODUCT(($A$2:$A$644=A28)*(ROW($A$2:$A$644)&gt;=ROW())*(ROW($A$2:$A$644)&lt;ROW()+5)*$C$2:$C$644),"")</f>
        <v/>
      </c>
      <c r="M28" s="0" t="str">
        <f aca="false">IF(L28="","",ROUNDUP(L28/75,0))</f>
        <v/>
      </c>
      <c r="N28" s="0" t="str">
        <f aca="false">IF(MOD(F28-1,7)=0,SUMPRODUCT(($A$2:$A$644=A28)*(ROW($A$2:$A$644)&gt;=ROW())*(ROW($A$2:$A$644)&lt;ROW()+7)*$C$2:$C$644),"")</f>
        <v/>
      </c>
      <c r="O28" s="0" t="str">
        <f aca="false">IF(N28="","",ROUNDUP(N28/75,0))</f>
        <v/>
      </c>
    </row>
    <row r="29" customFormat="false" ht="15" hidden="false" customHeight="false" outlineLevel="0" collapsed="false">
      <c r="A29" s="0" t="s">
        <v>33</v>
      </c>
      <c r="B29" s="0" t="s">
        <v>61</v>
      </c>
      <c r="C29" s="0" t="n">
        <v>60</v>
      </c>
      <c r="D29" s="0" t="n">
        <v>1</v>
      </c>
      <c r="E29" s="0" t="n">
        <v>15</v>
      </c>
      <c r="F29" s="0" t="n">
        <f aca="false">COUNTIF($A$2:A29,A29)</f>
        <v>28</v>
      </c>
      <c r="G29" s="0" t="n">
        <f aca="false">ROUNDUP(C29*1.236/75,0)</f>
        <v>1</v>
      </c>
      <c r="H29" s="0" t="str">
        <f aca="false">IF(MOD(F29-1,2)=0,SUMPRODUCT(($A$2:$A$644=A29)*(ROW($A$2:$A$644)&gt;=ROW())*(ROW($A$2:$A$644)&lt;ROW()+2)*$C$2:$C$644),"")</f>
        <v/>
      </c>
      <c r="I29" s="0" t="str">
        <f aca="false">IF(H29="","",ROUNDUP(H29/75,0))</f>
        <v/>
      </c>
      <c r="J29" s="0" t="n">
        <f aca="false">IF(MOD(F29-1,3)=0,SUMPRODUCT(($A$2:$A$644=A29)*(ROW($A$2:$A$644)&gt;=ROW())*(ROW($A$2:$A$644)&lt;ROW()+3)*$C$2:$C$644),"")</f>
        <v>186</v>
      </c>
      <c r="K29" s="0" t="n">
        <f aca="false">IF(J29="","",ROUNDUP(J29/75,0))</f>
        <v>3</v>
      </c>
      <c r="L29" s="0" t="str">
        <f aca="false">IF(MOD(F29-1,5)=0,SUMPRODUCT(($A$2:$A$644=A29)*(ROW($A$2:$A$644)&gt;=ROW())*(ROW($A$2:$A$644)&lt;ROW()+5)*$C$2:$C$644),"")</f>
        <v/>
      </c>
      <c r="M29" s="0" t="str">
        <f aca="false">IF(L29="","",ROUNDUP(L29/75,0))</f>
        <v/>
      </c>
      <c r="N29" s="0" t="str">
        <f aca="false">IF(MOD(F29-1,7)=0,SUMPRODUCT(($A$2:$A$644=A29)*(ROW($A$2:$A$644)&gt;=ROW())*(ROW($A$2:$A$644)&lt;ROW()+7)*$C$2:$C$644),"")</f>
        <v/>
      </c>
      <c r="O29" s="0" t="str">
        <f aca="false">IF(N29="","",ROUNDUP(N29/75,0))</f>
        <v/>
      </c>
    </row>
    <row r="30" customFormat="false" ht="15" hidden="false" customHeight="false" outlineLevel="0" collapsed="false">
      <c r="A30" s="0" t="s">
        <v>33</v>
      </c>
      <c r="B30" s="0" t="s">
        <v>62</v>
      </c>
      <c r="C30" s="0" t="n">
        <v>84</v>
      </c>
      <c r="D30" s="0" t="n">
        <v>2</v>
      </c>
      <c r="E30" s="0" t="n">
        <v>66</v>
      </c>
      <c r="F30" s="0" t="n">
        <f aca="false">COUNTIF($A$2:A30,A30)</f>
        <v>29</v>
      </c>
      <c r="G30" s="0" t="n">
        <f aca="false">ROUNDUP(C30*1.236/75,0)</f>
        <v>2</v>
      </c>
      <c r="H30" s="0" t="n">
        <f aca="false">IF(MOD(F30-1,2)=0,SUMPRODUCT(($A$2:$A$644=A30)*(ROW($A$2:$A$644)&gt;=ROW())*(ROW($A$2:$A$644)&lt;ROW()+2)*$C$2:$C$644),"")</f>
        <v>126</v>
      </c>
      <c r="I30" s="0" t="n">
        <f aca="false">IF(H30="","",ROUNDUP(H30/75,0))</f>
        <v>2</v>
      </c>
      <c r="J30" s="0" t="str">
        <f aca="false">IF(MOD(F30-1,3)=0,SUMPRODUCT(($A$2:$A$644=A30)*(ROW($A$2:$A$644)&gt;=ROW())*(ROW($A$2:$A$644)&lt;ROW()+3)*$C$2:$C$644),"")</f>
        <v/>
      </c>
      <c r="K30" s="0" t="str">
        <f aca="false">IF(J30="","",ROUNDUP(J30/75,0))</f>
        <v/>
      </c>
      <c r="L30" s="0" t="str">
        <f aca="false">IF(MOD(F30-1,5)=0,SUMPRODUCT(($A$2:$A$644=A30)*(ROW($A$2:$A$644)&gt;=ROW())*(ROW($A$2:$A$644)&lt;ROW()+5)*$C$2:$C$644),"")</f>
        <v/>
      </c>
      <c r="M30" s="0" t="str">
        <f aca="false">IF(L30="","",ROUNDUP(L30/75,0))</f>
        <v/>
      </c>
      <c r="N30" s="0" t="n">
        <f aca="false">IF(MOD(F30-1,7)=0,SUMPRODUCT(($A$2:$A$644=A30)*(ROW($A$2:$A$644)&gt;=ROW())*(ROW($A$2:$A$644)&lt;ROW()+7)*$C$2:$C$644),"")</f>
        <v>486</v>
      </c>
      <c r="O30" s="0" t="n">
        <f aca="false">IF(N30="","",ROUNDUP(N30/75,0))</f>
        <v>7</v>
      </c>
    </row>
    <row r="31" customFormat="false" ht="15" hidden="false" customHeight="false" outlineLevel="0" collapsed="false">
      <c r="A31" s="0" t="s">
        <v>33</v>
      </c>
      <c r="B31" s="0" t="s">
        <v>63</v>
      </c>
      <c r="C31" s="0" t="n">
        <v>42</v>
      </c>
      <c r="D31" s="0" t="n">
        <v>1</v>
      </c>
      <c r="E31" s="0" t="n">
        <v>33</v>
      </c>
      <c r="F31" s="0" t="n">
        <f aca="false">COUNTIF($A$2:A31,A31)</f>
        <v>30</v>
      </c>
      <c r="G31" s="0" t="n">
        <f aca="false">ROUNDUP(C31*1.236/75,0)</f>
        <v>1</v>
      </c>
      <c r="H31" s="0" t="str">
        <f aca="false">IF(MOD(F31-1,2)=0,SUMPRODUCT(($A$2:$A$644=A31)*(ROW($A$2:$A$644)&gt;=ROW())*(ROW($A$2:$A$644)&lt;ROW()+2)*$C$2:$C$644),"")</f>
        <v/>
      </c>
      <c r="I31" s="0" t="str">
        <f aca="false">IF(H31="","",ROUNDUP(H31/75,0))</f>
        <v/>
      </c>
      <c r="J31" s="0" t="str">
        <f aca="false">IF(MOD(F31-1,3)=0,SUMPRODUCT(($A$2:$A$644=A31)*(ROW($A$2:$A$644)&gt;=ROW())*(ROW($A$2:$A$644)&lt;ROW()+3)*$C$2:$C$644),"")</f>
        <v/>
      </c>
      <c r="K31" s="0" t="str">
        <f aca="false">IF(J31="","",ROUNDUP(J31/75,0))</f>
        <v/>
      </c>
      <c r="L31" s="0" t="str">
        <f aca="false">IF(MOD(F31-1,5)=0,SUMPRODUCT(($A$2:$A$644=A31)*(ROW($A$2:$A$644)&gt;=ROW())*(ROW($A$2:$A$644)&lt;ROW()+5)*$C$2:$C$644),"")</f>
        <v/>
      </c>
      <c r="M31" s="0" t="str">
        <f aca="false">IF(L31="","",ROUNDUP(L31/75,0))</f>
        <v/>
      </c>
      <c r="N31" s="0" t="str">
        <f aca="false">IF(MOD(F31-1,7)=0,SUMPRODUCT(($A$2:$A$644=A31)*(ROW($A$2:$A$644)&gt;=ROW())*(ROW($A$2:$A$644)&lt;ROW()+7)*$C$2:$C$644),"")</f>
        <v/>
      </c>
      <c r="O31" s="0" t="str">
        <f aca="false">IF(N31="","",ROUNDUP(N31/75,0))</f>
        <v/>
      </c>
    </row>
    <row r="32" customFormat="false" ht="15" hidden="false" customHeight="false" outlineLevel="0" collapsed="false">
      <c r="A32" s="0" t="s">
        <v>33</v>
      </c>
      <c r="B32" s="0" t="s">
        <v>64</v>
      </c>
      <c r="C32" s="0" t="n">
        <v>84</v>
      </c>
      <c r="D32" s="0" t="n">
        <v>2</v>
      </c>
      <c r="E32" s="0" t="n">
        <v>66</v>
      </c>
      <c r="F32" s="0" t="n">
        <f aca="false">COUNTIF($A$2:A32,A32)</f>
        <v>31</v>
      </c>
      <c r="G32" s="0" t="n">
        <f aca="false">ROUNDUP(C32*1.236/75,0)</f>
        <v>2</v>
      </c>
      <c r="H32" s="0" t="n">
        <f aca="false">IF(MOD(F32-1,2)=0,SUMPRODUCT(($A$2:$A$644=A32)*(ROW($A$2:$A$644)&gt;=ROW())*(ROW($A$2:$A$644)&lt;ROW()+2)*$C$2:$C$644),"")</f>
        <v>156</v>
      </c>
      <c r="I32" s="0" t="n">
        <f aca="false">IF(H32="","",ROUNDUP(H32/75,0))</f>
        <v>3</v>
      </c>
      <c r="J32" s="0" t="n">
        <f aca="false">IF(MOD(F32-1,3)=0,SUMPRODUCT(($A$2:$A$644=A32)*(ROW($A$2:$A$644)&gt;=ROW())*(ROW($A$2:$A$644)&lt;ROW()+3)*$C$2:$C$644),"")</f>
        <v>222</v>
      </c>
      <c r="K32" s="0" t="n">
        <f aca="false">IF(J32="","",ROUNDUP(J32/75,0))</f>
        <v>3</v>
      </c>
      <c r="L32" s="0" t="n">
        <f aca="false">IF(MOD(F32-1,5)=0,SUMPRODUCT(($A$2:$A$644=A32)*(ROW($A$2:$A$644)&gt;=ROW())*(ROW($A$2:$A$644)&lt;ROW()+5)*$C$2:$C$644),"")</f>
        <v>360</v>
      </c>
      <c r="M32" s="0" t="n">
        <f aca="false">IF(L32="","",ROUNDUP(L32/75,0))</f>
        <v>5</v>
      </c>
      <c r="N32" s="0" t="str">
        <f aca="false">IF(MOD(F32-1,7)=0,SUMPRODUCT(($A$2:$A$644=A32)*(ROW($A$2:$A$644)&gt;=ROW())*(ROW($A$2:$A$644)&lt;ROW()+7)*$C$2:$C$644),"")</f>
        <v/>
      </c>
      <c r="O32" s="0" t="str">
        <f aca="false">IF(N32="","",ROUNDUP(N32/75,0))</f>
        <v/>
      </c>
    </row>
    <row r="33" customFormat="false" ht="15" hidden="false" customHeight="false" outlineLevel="0" collapsed="false">
      <c r="A33" s="0" t="s">
        <v>33</v>
      </c>
      <c r="B33" s="0" t="s">
        <v>65</v>
      </c>
      <c r="C33" s="0" t="n">
        <v>72</v>
      </c>
      <c r="D33" s="0" t="n">
        <v>1</v>
      </c>
      <c r="E33" s="0" t="n">
        <v>3</v>
      </c>
      <c r="F33" s="0" t="n">
        <f aca="false">COUNTIF($A$2:A33,A33)</f>
        <v>32</v>
      </c>
      <c r="G33" s="0" t="n">
        <f aca="false">ROUNDUP(C33*1.236/75,0)</f>
        <v>2</v>
      </c>
      <c r="H33" s="0" t="str">
        <f aca="false">IF(MOD(F33-1,2)=0,SUMPRODUCT(($A$2:$A$644=A33)*(ROW($A$2:$A$644)&gt;=ROW())*(ROW($A$2:$A$644)&lt;ROW()+2)*$C$2:$C$644),"")</f>
        <v/>
      </c>
      <c r="I33" s="0" t="str">
        <f aca="false">IF(H33="","",ROUNDUP(H33/75,0))</f>
        <v/>
      </c>
      <c r="J33" s="0" t="str">
        <f aca="false">IF(MOD(F33-1,3)=0,SUMPRODUCT(($A$2:$A$644=A33)*(ROW($A$2:$A$644)&gt;=ROW())*(ROW($A$2:$A$644)&lt;ROW()+3)*$C$2:$C$644),"")</f>
        <v/>
      </c>
      <c r="K33" s="0" t="str">
        <f aca="false">IF(J33="","",ROUNDUP(J33/75,0))</f>
        <v/>
      </c>
      <c r="L33" s="0" t="str">
        <f aca="false">IF(MOD(F33-1,5)=0,SUMPRODUCT(($A$2:$A$644=A33)*(ROW($A$2:$A$644)&gt;=ROW())*(ROW($A$2:$A$644)&lt;ROW()+5)*$C$2:$C$644),"")</f>
        <v/>
      </c>
      <c r="M33" s="0" t="str">
        <f aca="false">IF(L33="","",ROUNDUP(L33/75,0))</f>
        <v/>
      </c>
      <c r="N33" s="0" t="str">
        <f aca="false">IF(MOD(F33-1,7)=0,SUMPRODUCT(($A$2:$A$644=A33)*(ROW($A$2:$A$644)&gt;=ROW())*(ROW($A$2:$A$644)&lt;ROW()+7)*$C$2:$C$644),"")</f>
        <v/>
      </c>
      <c r="O33" s="0" t="str">
        <f aca="false">IF(N33="","",ROUNDUP(N33/75,0))</f>
        <v/>
      </c>
    </row>
    <row r="34" customFormat="false" ht="15" hidden="false" customHeight="false" outlineLevel="0" collapsed="false">
      <c r="A34" s="0" t="s">
        <v>33</v>
      </c>
      <c r="B34" s="0" t="s">
        <v>66</v>
      </c>
      <c r="C34" s="0" t="n">
        <v>66</v>
      </c>
      <c r="D34" s="0" t="n">
        <v>1</v>
      </c>
      <c r="E34" s="0" t="n">
        <v>9</v>
      </c>
      <c r="F34" s="0" t="n">
        <f aca="false">COUNTIF($A$2:A34,A34)</f>
        <v>33</v>
      </c>
      <c r="G34" s="0" t="n">
        <f aca="false">ROUNDUP(C34*1.236/75,0)</f>
        <v>2</v>
      </c>
      <c r="H34" s="0" t="n">
        <f aca="false">IF(MOD(F34-1,2)=0,SUMPRODUCT(($A$2:$A$644=A34)*(ROW($A$2:$A$644)&gt;=ROW())*(ROW($A$2:$A$644)&lt;ROW()+2)*$C$2:$C$644),"")</f>
        <v>132</v>
      </c>
      <c r="I34" s="0" t="n">
        <f aca="false">IF(H34="","",ROUNDUP(H34/75,0))</f>
        <v>2</v>
      </c>
      <c r="J34" s="0" t="str">
        <f aca="false">IF(MOD(F34-1,3)=0,SUMPRODUCT(($A$2:$A$644=A34)*(ROW($A$2:$A$644)&gt;=ROW())*(ROW($A$2:$A$644)&lt;ROW()+3)*$C$2:$C$644),"")</f>
        <v/>
      </c>
      <c r="K34" s="0" t="str">
        <f aca="false">IF(J34="","",ROUNDUP(J34/75,0))</f>
        <v/>
      </c>
      <c r="L34" s="0" t="str">
        <f aca="false">IF(MOD(F34-1,5)=0,SUMPRODUCT(($A$2:$A$644=A34)*(ROW($A$2:$A$644)&gt;=ROW())*(ROW($A$2:$A$644)&lt;ROW()+5)*$C$2:$C$644),"")</f>
        <v/>
      </c>
      <c r="M34" s="0" t="str">
        <f aca="false">IF(L34="","",ROUNDUP(L34/75,0))</f>
        <v/>
      </c>
      <c r="N34" s="0" t="str">
        <f aca="false">IF(MOD(F34-1,7)=0,SUMPRODUCT(($A$2:$A$644=A34)*(ROW($A$2:$A$644)&gt;=ROW())*(ROW($A$2:$A$644)&lt;ROW()+7)*$C$2:$C$644),"")</f>
        <v/>
      </c>
      <c r="O34" s="0" t="str">
        <f aca="false">IF(N34="","",ROUNDUP(N34/75,0))</f>
        <v/>
      </c>
    </row>
    <row r="35" customFormat="false" ht="15" hidden="false" customHeight="false" outlineLevel="0" collapsed="false">
      <c r="A35" s="0" t="s">
        <v>33</v>
      </c>
      <c r="B35" s="0" t="s">
        <v>67</v>
      </c>
      <c r="C35" s="0" t="n">
        <v>66</v>
      </c>
      <c r="D35" s="0" t="n">
        <v>1</v>
      </c>
      <c r="E35" s="0" t="n">
        <v>9</v>
      </c>
      <c r="F35" s="0" t="n">
        <f aca="false">COUNTIF($A$2:A35,A35)</f>
        <v>34</v>
      </c>
      <c r="G35" s="0" t="n">
        <f aca="false">ROUNDUP(C35*1.236/75,0)</f>
        <v>2</v>
      </c>
      <c r="H35" s="0" t="str">
        <f aca="false">IF(MOD(F35-1,2)=0,SUMPRODUCT(($A$2:$A$644=A35)*(ROW($A$2:$A$644)&gt;=ROW())*(ROW($A$2:$A$644)&lt;ROW()+2)*$C$2:$C$644),"")</f>
        <v/>
      </c>
      <c r="I35" s="0" t="str">
        <f aca="false">IF(H35="","",ROUNDUP(H35/75,0))</f>
        <v/>
      </c>
      <c r="J35" s="0" t="n">
        <f aca="false">IF(MOD(F35-1,3)=0,SUMPRODUCT(($A$2:$A$644=A35)*(ROW($A$2:$A$644)&gt;=ROW())*(ROW($A$2:$A$644)&lt;ROW()+3)*$C$2:$C$644),"")</f>
        <v>180</v>
      </c>
      <c r="K35" s="0" t="n">
        <f aca="false">IF(J35="","",ROUNDUP(J35/75,0))</f>
        <v>3</v>
      </c>
      <c r="L35" s="0" t="str">
        <f aca="false">IF(MOD(F35-1,5)=0,SUMPRODUCT(($A$2:$A$644=A35)*(ROW($A$2:$A$644)&gt;=ROW())*(ROW($A$2:$A$644)&lt;ROW()+5)*$C$2:$C$644),"")</f>
        <v/>
      </c>
      <c r="M35" s="0" t="str">
        <f aca="false">IF(L35="","",ROUNDUP(L35/75,0))</f>
        <v/>
      </c>
      <c r="N35" s="0" t="str">
        <f aca="false">IF(MOD(F35-1,7)=0,SUMPRODUCT(($A$2:$A$644=A35)*(ROW($A$2:$A$644)&gt;=ROW())*(ROW($A$2:$A$644)&lt;ROW()+7)*$C$2:$C$644),"")</f>
        <v/>
      </c>
      <c r="O35" s="0" t="str">
        <f aca="false">IF(N35="","",ROUNDUP(N35/75,0))</f>
        <v/>
      </c>
    </row>
    <row r="36" customFormat="false" ht="15" hidden="false" customHeight="false" outlineLevel="0" collapsed="false">
      <c r="A36" s="0" t="s">
        <v>33</v>
      </c>
      <c r="B36" s="0" t="s">
        <v>68</v>
      </c>
      <c r="C36" s="0" t="n">
        <v>72</v>
      </c>
      <c r="D36" s="0" t="n">
        <v>1</v>
      </c>
      <c r="E36" s="0" t="n">
        <v>3</v>
      </c>
      <c r="F36" s="0" t="n">
        <f aca="false">COUNTIF($A$2:A36,A36)</f>
        <v>35</v>
      </c>
      <c r="G36" s="0" t="n">
        <f aca="false">ROUNDUP(C36*1.236/75,0)</f>
        <v>2</v>
      </c>
      <c r="H36" s="0" t="n">
        <f aca="false">IF(MOD(F36-1,2)=0,SUMPRODUCT(($A$2:$A$644=A36)*(ROW($A$2:$A$644)&gt;=ROW())*(ROW($A$2:$A$644)&lt;ROW()+2)*$C$2:$C$644),"")</f>
        <v>114</v>
      </c>
      <c r="I36" s="0" t="n">
        <f aca="false">IF(H36="","",ROUNDUP(H36/75,0))</f>
        <v>2</v>
      </c>
      <c r="J36" s="0" t="str">
        <f aca="false">IF(MOD(F36-1,3)=0,SUMPRODUCT(($A$2:$A$644=A36)*(ROW($A$2:$A$644)&gt;=ROW())*(ROW($A$2:$A$644)&lt;ROW()+3)*$C$2:$C$644),"")</f>
        <v/>
      </c>
      <c r="K36" s="0" t="str">
        <f aca="false">IF(J36="","",ROUNDUP(J36/75,0))</f>
        <v/>
      </c>
      <c r="L36" s="0" t="str">
        <f aca="false">IF(MOD(F36-1,5)=0,SUMPRODUCT(($A$2:$A$644=A36)*(ROW($A$2:$A$644)&gt;=ROW())*(ROW($A$2:$A$644)&lt;ROW()+5)*$C$2:$C$644),"")</f>
        <v/>
      </c>
      <c r="M36" s="0" t="str">
        <f aca="false">IF(L36="","",ROUNDUP(L36/75,0))</f>
        <v/>
      </c>
      <c r="N36" s="0" t="str">
        <f aca="false">IF(MOD(F36-1,7)=0,SUMPRODUCT(($A$2:$A$644=A36)*(ROW($A$2:$A$644)&gt;=ROW())*(ROW($A$2:$A$644)&lt;ROW()+7)*$C$2:$C$644),"")</f>
        <v/>
      </c>
      <c r="O36" s="0" t="str">
        <f aca="false">IF(N36="","",ROUNDUP(N36/75,0))</f>
        <v/>
      </c>
    </row>
    <row r="37" customFormat="false" ht="15" hidden="false" customHeight="false" outlineLevel="0" collapsed="false">
      <c r="A37" s="0" t="s">
        <v>33</v>
      </c>
      <c r="B37" s="0" t="s">
        <v>69</v>
      </c>
      <c r="C37" s="0" t="n">
        <v>42</v>
      </c>
      <c r="D37" s="0" t="n">
        <v>1</v>
      </c>
      <c r="E37" s="0" t="n">
        <v>33</v>
      </c>
      <c r="F37" s="0" t="n">
        <f aca="false">COUNTIF($A$2:A37,A37)</f>
        <v>36</v>
      </c>
      <c r="G37" s="0" t="n">
        <f aca="false">ROUNDUP(C37*1.236/75,0)</f>
        <v>1</v>
      </c>
      <c r="H37" s="0" t="str">
        <f aca="false">IF(MOD(F37-1,2)=0,SUMPRODUCT(($A$2:$A$644=A37)*(ROW($A$2:$A$644)&gt;=ROW())*(ROW($A$2:$A$644)&lt;ROW()+2)*$C$2:$C$644),"")</f>
        <v/>
      </c>
      <c r="I37" s="0" t="str">
        <f aca="false">IF(H37="","",ROUNDUP(H37/75,0))</f>
        <v/>
      </c>
      <c r="J37" s="0" t="str">
        <f aca="false">IF(MOD(F37-1,3)=0,SUMPRODUCT(($A$2:$A$644=A37)*(ROW($A$2:$A$644)&gt;=ROW())*(ROW($A$2:$A$644)&lt;ROW()+3)*$C$2:$C$644),"")</f>
        <v/>
      </c>
      <c r="K37" s="0" t="str">
        <f aca="false">IF(J37="","",ROUNDUP(J37/75,0))</f>
        <v/>
      </c>
      <c r="L37" s="0" t="n">
        <f aca="false">IF(MOD(F37-1,5)=0,SUMPRODUCT(($A$2:$A$644=A37)*(ROW($A$2:$A$644)&gt;=ROW())*(ROW($A$2:$A$644)&lt;ROW()+5)*$C$2:$C$644),"")</f>
        <v>237</v>
      </c>
      <c r="M37" s="0" t="n">
        <f aca="false">IF(L37="","",ROUNDUP(L37/75,0))</f>
        <v>4</v>
      </c>
      <c r="N37" s="0" t="n">
        <f aca="false">IF(MOD(F37-1,7)=0,SUMPRODUCT(($A$2:$A$644=A37)*(ROW($A$2:$A$644)&gt;=ROW())*(ROW($A$2:$A$644)&lt;ROW()+7)*$C$2:$C$644),"")</f>
        <v>333</v>
      </c>
      <c r="O37" s="0" t="n">
        <f aca="false">IF(N37="","",ROUNDUP(N37/75,0))</f>
        <v>5</v>
      </c>
    </row>
    <row r="38" customFormat="false" ht="15" hidden="false" customHeight="false" outlineLevel="0" collapsed="false">
      <c r="A38" s="0" t="s">
        <v>33</v>
      </c>
      <c r="B38" s="0" t="s">
        <v>70</v>
      </c>
      <c r="C38" s="0" t="n">
        <v>42</v>
      </c>
      <c r="D38" s="0" t="n">
        <v>1</v>
      </c>
      <c r="E38" s="0" t="n">
        <v>33</v>
      </c>
      <c r="F38" s="0" t="n">
        <f aca="false">COUNTIF($A$2:A38,A38)</f>
        <v>37</v>
      </c>
      <c r="G38" s="0" t="n">
        <f aca="false">ROUNDUP(C38*1.236/75,0)</f>
        <v>1</v>
      </c>
      <c r="H38" s="0" t="n">
        <f aca="false">IF(MOD(F38-1,2)=0,SUMPRODUCT(($A$2:$A$644=A38)*(ROW($A$2:$A$644)&gt;=ROW())*(ROW($A$2:$A$644)&lt;ROW()+2)*$C$2:$C$644),"")</f>
        <v>117</v>
      </c>
      <c r="I38" s="0" t="n">
        <f aca="false">IF(H38="","",ROUNDUP(H38/75,0))</f>
        <v>2</v>
      </c>
      <c r="J38" s="0" t="n">
        <f aca="false">IF(MOD(F38-1,3)=0,SUMPRODUCT(($A$2:$A$644=A38)*(ROW($A$2:$A$644)&gt;=ROW())*(ROW($A$2:$A$644)&lt;ROW()+3)*$C$2:$C$644),"")</f>
        <v>183</v>
      </c>
      <c r="K38" s="0" t="n">
        <f aca="false">IF(J38="","",ROUNDUP(J38/75,0))</f>
        <v>3</v>
      </c>
      <c r="L38" s="0" t="str">
        <f aca="false">IF(MOD(F38-1,5)=0,SUMPRODUCT(($A$2:$A$644=A38)*(ROW($A$2:$A$644)&gt;=ROW())*(ROW($A$2:$A$644)&lt;ROW()+5)*$C$2:$C$644),"")</f>
        <v/>
      </c>
      <c r="M38" s="0" t="str">
        <f aca="false">IF(L38="","",ROUNDUP(L38/75,0))</f>
        <v/>
      </c>
      <c r="N38" s="0" t="str">
        <f aca="false">IF(MOD(F38-1,7)=0,SUMPRODUCT(($A$2:$A$644=A38)*(ROW($A$2:$A$644)&gt;=ROW())*(ROW($A$2:$A$644)&lt;ROW()+7)*$C$2:$C$644),"")</f>
        <v/>
      </c>
      <c r="O38" s="0" t="str">
        <f aca="false">IF(N38="","",ROUNDUP(N38/75,0))</f>
        <v/>
      </c>
    </row>
    <row r="39" customFormat="false" ht="15" hidden="false" customHeight="false" outlineLevel="0" collapsed="false">
      <c r="A39" s="0" t="s">
        <v>33</v>
      </c>
      <c r="B39" s="0" t="s">
        <v>71</v>
      </c>
      <c r="C39" s="0" t="n">
        <v>75</v>
      </c>
      <c r="D39" s="0" t="n">
        <v>1</v>
      </c>
      <c r="E39" s="0" t="n">
        <v>0</v>
      </c>
      <c r="F39" s="0" t="n">
        <f aca="false">COUNTIF($A$2:A39,A39)</f>
        <v>38</v>
      </c>
      <c r="G39" s="0" t="n">
        <f aca="false">ROUNDUP(C39*1.236/75,0)</f>
        <v>2</v>
      </c>
      <c r="H39" s="0" t="str">
        <f aca="false">IF(MOD(F39-1,2)=0,SUMPRODUCT(($A$2:$A$644=A39)*(ROW($A$2:$A$644)&gt;=ROW())*(ROW($A$2:$A$644)&lt;ROW()+2)*$C$2:$C$644),"")</f>
        <v/>
      </c>
      <c r="I39" s="0" t="str">
        <f aca="false">IF(H39="","",ROUNDUP(H39/75,0))</f>
        <v/>
      </c>
      <c r="J39" s="0" t="str">
        <f aca="false">IF(MOD(F39-1,3)=0,SUMPRODUCT(($A$2:$A$644=A39)*(ROW($A$2:$A$644)&gt;=ROW())*(ROW($A$2:$A$644)&lt;ROW()+3)*$C$2:$C$644),"")</f>
        <v/>
      </c>
      <c r="K39" s="0" t="str">
        <f aca="false">IF(J39="","",ROUNDUP(J39/75,0))</f>
        <v/>
      </c>
      <c r="L39" s="0" t="str">
        <f aca="false">IF(MOD(F39-1,5)=0,SUMPRODUCT(($A$2:$A$644=A39)*(ROW($A$2:$A$644)&gt;=ROW())*(ROW($A$2:$A$644)&lt;ROW()+5)*$C$2:$C$644),"")</f>
        <v/>
      </c>
      <c r="M39" s="0" t="str">
        <f aca="false">IF(L39="","",ROUNDUP(L39/75,0))</f>
        <v/>
      </c>
      <c r="N39" s="0" t="str">
        <f aca="false">IF(MOD(F39-1,7)=0,SUMPRODUCT(($A$2:$A$644=A39)*(ROW($A$2:$A$644)&gt;=ROW())*(ROW($A$2:$A$644)&lt;ROW()+7)*$C$2:$C$644),"")</f>
        <v/>
      </c>
      <c r="O39" s="0" t="str">
        <f aca="false">IF(N39="","",ROUNDUP(N39/75,0))</f>
        <v/>
      </c>
    </row>
    <row r="40" customFormat="false" ht="15" hidden="false" customHeight="false" outlineLevel="0" collapsed="false">
      <c r="A40" s="0" t="s">
        <v>33</v>
      </c>
      <c r="B40" s="0" t="s">
        <v>72</v>
      </c>
      <c r="C40" s="0" t="n">
        <v>66</v>
      </c>
      <c r="D40" s="0" t="n">
        <v>1</v>
      </c>
      <c r="E40" s="0" t="n">
        <v>9</v>
      </c>
      <c r="F40" s="0" t="n">
        <f aca="false">COUNTIF($A$2:A40,A40)</f>
        <v>39</v>
      </c>
      <c r="G40" s="0" t="n">
        <f aca="false">ROUNDUP(C40*1.236/75,0)</f>
        <v>2</v>
      </c>
      <c r="H40" s="0" t="n">
        <f aca="false">IF(MOD(F40-1,2)=0,SUMPRODUCT(($A$2:$A$644=A40)*(ROW($A$2:$A$644)&gt;=ROW())*(ROW($A$2:$A$644)&lt;ROW()+2)*$C$2:$C$644),"")</f>
        <v>78</v>
      </c>
      <c r="I40" s="0" t="n">
        <f aca="false">IF(H40="","",ROUNDUP(H40/75,0))</f>
        <v>2</v>
      </c>
      <c r="J40" s="0" t="str">
        <f aca="false">IF(MOD(F40-1,3)=0,SUMPRODUCT(($A$2:$A$644=A40)*(ROW($A$2:$A$644)&gt;=ROW())*(ROW($A$2:$A$644)&lt;ROW()+3)*$C$2:$C$644),"")</f>
        <v/>
      </c>
      <c r="K40" s="0" t="str">
        <f aca="false">IF(J40="","",ROUNDUP(J40/75,0))</f>
        <v/>
      </c>
      <c r="L40" s="0" t="str">
        <f aca="false">IF(MOD(F40-1,5)=0,SUMPRODUCT(($A$2:$A$644=A40)*(ROW($A$2:$A$644)&gt;=ROW())*(ROW($A$2:$A$644)&lt;ROW()+5)*$C$2:$C$644),"")</f>
        <v/>
      </c>
      <c r="M40" s="0" t="str">
        <f aca="false">IF(L40="","",ROUNDUP(L40/75,0))</f>
        <v/>
      </c>
      <c r="N40" s="0" t="str">
        <f aca="false">IF(MOD(F40-1,7)=0,SUMPRODUCT(($A$2:$A$644=A40)*(ROW($A$2:$A$644)&gt;=ROW())*(ROW($A$2:$A$644)&lt;ROW()+7)*$C$2:$C$644),"")</f>
        <v/>
      </c>
      <c r="O40" s="0" t="str">
        <f aca="false">IF(N40="","",ROUNDUP(N40/75,0))</f>
        <v/>
      </c>
    </row>
    <row r="41" customFormat="false" ht="15" hidden="false" customHeight="false" outlineLevel="0" collapsed="false">
      <c r="A41" s="0" t="s">
        <v>33</v>
      </c>
      <c r="B41" s="0" t="s">
        <v>73</v>
      </c>
      <c r="C41" s="0" t="n">
        <v>12</v>
      </c>
      <c r="D41" s="0" t="n">
        <v>1</v>
      </c>
      <c r="E41" s="0" t="n">
        <v>63</v>
      </c>
      <c r="F41" s="0" t="n">
        <f aca="false">COUNTIF($A$2:A41,A41)</f>
        <v>40</v>
      </c>
      <c r="G41" s="0" t="n">
        <f aca="false">ROUNDUP(C41*1.236/75,0)</f>
        <v>1</v>
      </c>
      <c r="H41" s="0" t="str">
        <f aca="false">IF(MOD(F41-1,2)=0,SUMPRODUCT(($A$2:$A$644=A41)*(ROW($A$2:$A$644)&gt;=ROW())*(ROW($A$2:$A$644)&lt;ROW()+2)*$C$2:$C$644),"")</f>
        <v/>
      </c>
      <c r="I41" s="0" t="str">
        <f aca="false">IF(H41="","",ROUNDUP(H41/75,0))</f>
        <v/>
      </c>
      <c r="J41" s="0" t="n">
        <f aca="false">IF(MOD(F41-1,3)=0,SUMPRODUCT(($A$2:$A$644=A41)*(ROW($A$2:$A$644)&gt;=ROW())*(ROW($A$2:$A$644)&lt;ROW()+3)*$C$2:$C$644),"")</f>
        <v>108</v>
      </c>
      <c r="K41" s="0" t="n">
        <f aca="false">IF(J41="","",ROUNDUP(J41/75,0))</f>
        <v>2</v>
      </c>
      <c r="L41" s="0" t="str">
        <f aca="false">IF(MOD(F41-1,5)=0,SUMPRODUCT(($A$2:$A$644=A41)*(ROW($A$2:$A$644)&gt;=ROW())*(ROW($A$2:$A$644)&lt;ROW()+5)*$C$2:$C$644),"")</f>
        <v/>
      </c>
      <c r="M41" s="0" t="str">
        <f aca="false">IF(L41="","",ROUNDUP(L41/75,0))</f>
        <v/>
      </c>
      <c r="N41" s="0" t="str">
        <f aca="false">IF(MOD(F41-1,7)=0,SUMPRODUCT(($A$2:$A$644=A41)*(ROW($A$2:$A$644)&gt;=ROW())*(ROW($A$2:$A$644)&lt;ROW()+7)*$C$2:$C$644),"")</f>
        <v/>
      </c>
      <c r="O41" s="0" t="str">
        <f aca="false">IF(N41="","",ROUNDUP(N41/75,0))</f>
        <v/>
      </c>
    </row>
    <row r="42" customFormat="false" ht="15" hidden="false" customHeight="false" outlineLevel="0" collapsed="false">
      <c r="A42" s="0" t="s">
        <v>33</v>
      </c>
      <c r="B42" s="0" t="s">
        <v>74</v>
      </c>
      <c r="C42" s="0" t="n">
        <v>36</v>
      </c>
      <c r="D42" s="0" t="n">
        <v>1</v>
      </c>
      <c r="E42" s="0" t="n">
        <v>39</v>
      </c>
      <c r="F42" s="0" t="n">
        <f aca="false">COUNTIF($A$2:A42,A42)</f>
        <v>41</v>
      </c>
      <c r="G42" s="0" t="n">
        <f aca="false">ROUNDUP(C42*1.236/75,0)</f>
        <v>1</v>
      </c>
      <c r="H42" s="0" t="n">
        <f aca="false">IF(MOD(F42-1,2)=0,SUMPRODUCT(($A$2:$A$644=A42)*(ROW($A$2:$A$644)&gt;=ROW())*(ROW($A$2:$A$644)&lt;ROW()+2)*$C$2:$C$644),"")</f>
        <v>96</v>
      </c>
      <c r="I42" s="0" t="n">
        <f aca="false">IF(H42="","",ROUNDUP(H42/75,0))</f>
        <v>2</v>
      </c>
      <c r="J42" s="0" t="str">
        <f aca="false">IF(MOD(F42-1,3)=0,SUMPRODUCT(($A$2:$A$644=A42)*(ROW($A$2:$A$644)&gt;=ROW())*(ROW($A$2:$A$644)&lt;ROW()+3)*$C$2:$C$644),"")</f>
        <v/>
      </c>
      <c r="K42" s="0" t="str">
        <f aca="false">IF(J42="","",ROUNDUP(J42/75,0))</f>
        <v/>
      </c>
      <c r="L42" s="0" t="n">
        <f aca="false">IF(MOD(F42-1,5)=0,SUMPRODUCT(($A$2:$A$644=A42)*(ROW($A$2:$A$644)&gt;=ROW())*(ROW($A$2:$A$644)&lt;ROW()+5)*$C$2:$C$644),"")</f>
        <v>282</v>
      </c>
      <c r="M42" s="0" t="n">
        <f aca="false">IF(L42="","",ROUNDUP(L42/75,0))</f>
        <v>4</v>
      </c>
      <c r="N42" s="0" t="str">
        <f aca="false">IF(MOD(F42-1,7)=0,SUMPRODUCT(($A$2:$A$644=A42)*(ROW($A$2:$A$644)&gt;=ROW())*(ROW($A$2:$A$644)&lt;ROW()+7)*$C$2:$C$644),"")</f>
        <v/>
      </c>
      <c r="O42" s="0" t="str">
        <f aca="false">IF(N42="","",ROUNDUP(N42/75,0))</f>
        <v/>
      </c>
    </row>
    <row r="43" customFormat="false" ht="15" hidden="false" customHeight="false" outlineLevel="0" collapsed="false">
      <c r="A43" s="0" t="s">
        <v>33</v>
      </c>
      <c r="B43" s="0" t="s">
        <v>75</v>
      </c>
      <c r="C43" s="0" t="n">
        <v>60</v>
      </c>
      <c r="D43" s="0" t="n">
        <v>1</v>
      </c>
      <c r="E43" s="0" t="n">
        <v>15</v>
      </c>
      <c r="F43" s="0" t="n">
        <f aca="false">COUNTIF($A$2:A43,A43)</f>
        <v>42</v>
      </c>
      <c r="G43" s="0" t="n">
        <f aca="false">ROUNDUP(C43*1.236/75,0)</f>
        <v>1</v>
      </c>
      <c r="H43" s="0" t="str">
        <f aca="false">IF(MOD(F43-1,2)=0,SUMPRODUCT(($A$2:$A$644=A43)*(ROW($A$2:$A$644)&gt;=ROW())*(ROW($A$2:$A$644)&lt;ROW()+2)*$C$2:$C$644),"")</f>
        <v/>
      </c>
      <c r="I43" s="0" t="str">
        <f aca="false">IF(H43="","",ROUNDUP(H43/75,0))</f>
        <v/>
      </c>
      <c r="J43" s="0" t="str">
        <f aca="false">IF(MOD(F43-1,3)=0,SUMPRODUCT(($A$2:$A$644=A43)*(ROW($A$2:$A$644)&gt;=ROW())*(ROW($A$2:$A$644)&lt;ROW()+3)*$C$2:$C$644),"")</f>
        <v/>
      </c>
      <c r="K43" s="0" t="str">
        <f aca="false">IF(J43="","",ROUNDUP(J43/75,0))</f>
        <v/>
      </c>
      <c r="L43" s="0" t="str">
        <f aca="false">IF(MOD(F43-1,5)=0,SUMPRODUCT(($A$2:$A$644=A43)*(ROW($A$2:$A$644)&gt;=ROW())*(ROW($A$2:$A$644)&lt;ROW()+5)*$C$2:$C$644),"")</f>
        <v/>
      </c>
      <c r="M43" s="0" t="str">
        <f aca="false">IF(L43="","",ROUNDUP(L43/75,0))</f>
        <v/>
      </c>
      <c r="N43" s="0" t="str">
        <f aca="false">IF(MOD(F43-1,7)=0,SUMPRODUCT(($A$2:$A$644=A43)*(ROW($A$2:$A$644)&gt;=ROW())*(ROW($A$2:$A$644)&lt;ROW()+7)*$C$2:$C$644),"")</f>
        <v/>
      </c>
      <c r="O43" s="0" t="str">
        <f aca="false">IF(N43="","",ROUNDUP(N43/75,0))</f>
        <v/>
      </c>
    </row>
    <row r="44" customFormat="false" ht="15" hidden="false" customHeight="false" outlineLevel="0" collapsed="false">
      <c r="A44" s="0" t="s">
        <v>33</v>
      </c>
      <c r="B44" s="0" t="s">
        <v>76</v>
      </c>
      <c r="C44" s="0" t="n">
        <v>42</v>
      </c>
      <c r="D44" s="0" t="n">
        <v>1</v>
      </c>
      <c r="E44" s="0" t="n">
        <v>33</v>
      </c>
      <c r="F44" s="0" t="n">
        <f aca="false">COUNTIF($A$2:A44,A44)</f>
        <v>43</v>
      </c>
      <c r="G44" s="0" t="n">
        <f aca="false">ROUNDUP(C44*1.236/75,0)</f>
        <v>1</v>
      </c>
      <c r="H44" s="0" t="n">
        <f aca="false">IF(MOD(F44-1,2)=0,SUMPRODUCT(($A$2:$A$644=A44)*(ROW($A$2:$A$644)&gt;=ROW())*(ROW($A$2:$A$644)&lt;ROW()+2)*$C$2:$C$644),"")</f>
        <v>120</v>
      </c>
      <c r="I44" s="0" t="n">
        <f aca="false">IF(H44="","",ROUNDUP(H44/75,0))</f>
        <v>2</v>
      </c>
      <c r="J44" s="0" t="n">
        <f aca="false">IF(MOD(F44-1,3)=0,SUMPRODUCT(($A$2:$A$644=A44)*(ROW($A$2:$A$644)&gt;=ROW())*(ROW($A$2:$A$644)&lt;ROW()+3)*$C$2:$C$644),"")</f>
        <v>186</v>
      </c>
      <c r="K44" s="0" t="n">
        <f aca="false">IF(J44="","",ROUNDUP(J44/75,0))</f>
        <v>3</v>
      </c>
      <c r="L44" s="0" t="str">
        <f aca="false">IF(MOD(F44-1,5)=0,SUMPRODUCT(($A$2:$A$644=A44)*(ROW($A$2:$A$644)&gt;=ROW())*(ROW($A$2:$A$644)&lt;ROW()+5)*$C$2:$C$644),"")</f>
        <v/>
      </c>
      <c r="M44" s="0" t="str">
        <f aca="false">IF(L44="","",ROUNDUP(L44/75,0))</f>
        <v/>
      </c>
      <c r="N44" s="0" t="n">
        <f aca="false">IF(MOD(F44-1,7)=0,SUMPRODUCT(($A$2:$A$644=A44)*(ROW($A$2:$A$644)&gt;=ROW())*(ROW($A$2:$A$644)&lt;ROW()+7)*$C$2:$C$644),"")</f>
        <v>360</v>
      </c>
      <c r="O44" s="0" t="n">
        <f aca="false">IF(N44="","",ROUNDUP(N44/75,0))</f>
        <v>5</v>
      </c>
    </row>
    <row r="45" customFormat="false" ht="15" hidden="false" customHeight="false" outlineLevel="0" collapsed="false">
      <c r="A45" s="0" t="s">
        <v>33</v>
      </c>
      <c r="B45" s="0" t="s">
        <v>77</v>
      </c>
      <c r="C45" s="0" t="n">
        <v>78</v>
      </c>
      <c r="D45" s="0" t="n">
        <v>2</v>
      </c>
      <c r="E45" s="0" t="n">
        <v>72</v>
      </c>
      <c r="F45" s="0" t="n">
        <f aca="false">COUNTIF($A$2:A45,A45)</f>
        <v>44</v>
      </c>
      <c r="G45" s="0" t="n">
        <f aca="false">ROUNDUP(C45*1.236/75,0)</f>
        <v>2</v>
      </c>
      <c r="H45" s="0" t="str">
        <f aca="false">IF(MOD(F45-1,2)=0,SUMPRODUCT(($A$2:$A$644=A45)*(ROW($A$2:$A$644)&gt;=ROW())*(ROW($A$2:$A$644)&lt;ROW()+2)*$C$2:$C$644),"")</f>
        <v/>
      </c>
      <c r="I45" s="0" t="str">
        <f aca="false">IF(H45="","",ROUNDUP(H45/75,0))</f>
        <v/>
      </c>
      <c r="J45" s="0" t="str">
        <f aca="false">IF(MOD(F45-1,3)=0,SUMPRODUCT(($A$2:$A$644=A45)*(ROW($A$2:$A$644)&gt;=ROW())*(ROW($A$2:$A$644)&lt;ROW()+3)*$C$2:$C$644),"")</f>
        <v/>
      </c>
      <c r="K45" s="0" t="str">
        <f aca="false">IF(J45="","",ROUNDUP(J45/75,0))</f>
        <v/>
      </c>
      <c r="L45" s="0" t="str">
        <f aca="false">IF(MOD(F45-1,5)=0,SUMPRODUCT(($A$2:$A$644=A45)*(ROW($A$2:$A$644)&gt;=ROW())*(ROW($A$2:$A$644)&lt;ROW()+5)*$C$2:$C$644),"")</f>
        <v/>
      </c>
      <c r="M45" s="0" t="str">
        <f aca="false">IF(L45="","",ROUNDUP(L45/75,0))</f>
        <v/>
      </c>
      <c r="N45" s="0" t="str">
        <f aca="false">IF(MOD(F45-1,7)=0,SUMPRODUCT(($A$2:$A$644=A45)*(ROW($A$2:$A$644)&gt;=ROW())*(ROW($A$2:$A$644)&lt;ROW()+7)*$C$2:$C$644),"")</f>
        <v/>
      </c>
      <c r="O45" s="0" t="str">
        <f aca="false">IF(N45="","",ROUNDUP(N45/75,0))</f>
        <v/>
      </c>
    </row>
    <row r="46" customFormat="false" ht="15" hidden="false" customHeight="false" outlineLevel="0" collapsed="false">
      <c r="A46" s="0" t="s">
        <v>33</v>
      </c>
      <c r="B46" s="0" t="s">
        <v>78</v>
      </c>
      <c r="C46" s="0" t="n">
        <v>66</v>
      </c>
      <c r="D46" s="0" t="n">
        <v>1</v>
      </c>
      <c r="E46" s="0" t="n">
        <v>9</v>
      </c>
      <c r="F46" s="0" t="n">
        <f aca="false">COUNTIF($A$2:A46,A46)</f>
        <v>45</v>
      </c>
      <c r="G46" s="0" t="n">
        <f aca="false">ROUNDUP(C46*1.236/75,0)</f>
        <v>2</v>
      </c>
      <c r="H46" s="0" t="n">
        <f aca="false">IF(MOD(F46-1,2)=0,SUMPRODUCT(($A$2:$A$644=A46)*(ROW($A$2:$A$644)&gt;=ROW())*(ROW($A$2:$A$644)&lt;ROW()+2)*$C$2:$C$644),"")</f>
        <v>120</v>
      </c>
      <c r="I46" s="0" t="n">
        <f aca="false">IF(H46="","",ROUNDUP(H46/75,0))</f>
        <v>2</v>
      </c>
      <c r="J46" s="0" t="str">
        <f aca="false">IF(MOD(F46-1,3)=0,SUMPRODUCT(($A$2:$A$644=A46)*(ROW($A$2:$A$644)&gt;=ROW())*(ROW($A$2:$A$644)&lt;ROW()+3)*$C$2:$C$644),"")</f>
        <v/>
      </c>
      <c r="K46" s="0" t="str">
        <f aca="false">IF(J46="","",ROUNDUP(J46/75,0))</f>
        <v/>
      </c>
      <c r="L46" s="0" t="str">
        <f aca="false">IF(MOD(F46-1,5)=0,SUMPRODUCT(($A$2:$A$644=A46)*(ROW($A$2:$A$644)&gt;=ROW())*(ROW($A$2:$A$644)&lt;ROW()+5)*$C$2:$C$644),"")</f>
        <v/>
      </c>
      <c r="M46" s="0" t="str">
        <f aca="false">IF(L46="","",ROUNDUP(L46/75,0))</f>
        <v/>
      </c>
      <c r="N46" s="0" t="str">
        <f aca="false">IF(MOD(F46-1,7)=0,SUMPRODUCT(($A$2:$A$644=A46)*(ROW($A$2:$A$644)&gt;=ROW())*(ROW($A$2:$A$644)&lt;ROW()+7)*$C$2:$C$644),"")</f>
        <v/>
      </c>
      <c r="O46" s="0" t="str">
        <f aca="false">IF(N46="","",ROUNDUP(N46/75,0))</f>
        <v/>
      </c>
    </row>
    <row r="47" customFormat="false" ht="15" hidden="false" customHeight="false" outlineLevel="0" collapsed="false">
      <c r="A47" s="0" t="s">
        <v>33</v>
      </c>
      <c r="B47" s="0" t="s">
        <v>79</v>
      </c>
      <c r="C47" s="0" t="n">
        <v>54</v>
      </c>
      <c r="D47" s="0" t="n">
        <v>1</v>
      </c>
      <c r="E47" s="0" t="n">
        <v>21</v>
      </c>
      <c r="F47" s="0" t="n">
        <f aca="false">COUNTIF($A$2:A47,A47)</f>
        <v>46</v>
      </c>
      <c r="G47" s="0" t="n">
        <f aca="false">ROUNDUP(C47*1.236/75,0)</f>
        <v>1</v>
      </c>
      <c r="H47" s="0" t="str">
        <f aca="false">IF(MOD(F47-1,2)=0,SUMPRODUCT(($A$2:$A$644=A47)*(ROW($A$2:$A$644)&gt;=ROW())*(ROW($A$2:$A$644)&lt;ROW()+2)*$C$2:$C$644),"")</f>
        <v/>
      </c>
      <c r="I47" s="0" t="str">
        <f aca="false">IF(H47="","",ROUNDUP(H47/75,0))</f>
        <v/>
      </c>
      <c r="J47" s="0" t="n">
        <f aca="false">IF(MOD(F47-1,3)=0,SUMPRODUCT(($A$2:$A$644=A47)*(ROW($A$2:$A$644)&gt;=ROW())*(ROW($A$2:$A$644)&lt;ROW()+3)*$C$2:$C$644),"")</f>
        <v>132</v>
      </c>
      <c r="K47" s="0" t="n">
        <f aca="false">IF(J47="","",ROUNDUP(J47/75,0))</f>
        <v>2</v>
      </c>
      <c r="L47" s="0" t="n">
        <f aca="false">IF(MOD(F47-1,5)=0,SUMPRODUCT(($A$2:$A$644=A47)*(ROW($A$2:$A$644)&gt;=ROW())*(ROW($A$2:$A$644)&lt;ROW()+5)*$C$2:$C$644),"")</f>
        <v>234</v>
      </c>
      <c r="M47" s="0" t="n">
        <f aca="false">IF(L47="","",ROUNDUP(L47/75,0))</f>
        <v>4</v>
      </c>
      <c r="N47" s="0" t="str">
        <f aca="false">IF(MOD(F47-1,7)=0,SUMPRODUCT(($A$2:$A$644=A47)*(ROW($A$2:$A$644)&gt;=ROW())*(ROW($A$2:$A$644)&lt;ROW()+7)*$C$2:$C$644),"")</f>
        <v/>
      </c>
      <c r="O47" s="0" t="str">
        <f aca="false">IF(N47="","",ROUNDUP(N47/75,0))</f>
        <v/>
      </c>
    </row>
    <row r="48" customFormat="false" ht="15" hidden="false" customHeight="false" outlineLevel="0" collapsed="false">
      <c r="A48" s="0" t="s">
        <v>33</v>
      </c>
      <c r="B48" s="0" t="s">
        <v>80</v>
      </c>
      <c r="C48" s="0" t="n">
        <v>24</v>
      </c>
      <c r="D48" s="0" t="n">
        <v>1</v>
      </c>
      <c r="E48" s="0" t="n">
        <v>51</v>
      </c>
      <c r="F48" s="0" t="n">
        <f aca="false">COUNTIF($A$2:A48,A48)</f>
        <v>47</v>
      </c>
      <c r="G48" s="0" t="n">
        <f aca="false">ROUNDUP(C48*1.236/75,0)</f>
        <v>1</v>
      </c>
      <c r="H48" s="0" t="n">
        <f aca="false">IF(MOD(F48-1,2)=0,SUMPRODUCT(($A$2:$A$644=A48)*(ROW($A$2:$A$644)&gt;=ROW())*(ROW($A$2:$A$644)&lt;ROW()+2)*$C$2:$C$644),"")</f>
        <v>78</v>
      </c>
      <c r="I48" s="0" t="n">
        <f aca="false">IF(H48="","",ROUNDUP(H48/75,0))</f>
        <v>2</v>
      </c>
      <c r="J48" s="0" t="str">
        <f aca="false">IF(MOD(F48-1,3)=0,SUMPRODUCT(($A$2:$A$644=A48)*(ROW($A$2:$A$644)&gt;=ROW())*(ROW($A$2:$A$644)&lt;ROW()+3)*$C$2:$C$644),"")</f>
        <v/>
      </c>
      <c r="K48" s="0" t="str">
        <f aca="false">IF(J48="","",ROUNDUP(J48/75,0))</f>
        <v/>
      </c>
      <c r="L48" s="0" t="str">
        <f aca="false">IF(MOD(F48-1,5)=0,SUMPRODUCT(($A$2:$A$644=A48)*(ROW($A$2:$A$644)&gt;=ROW())*(ROW($A$2:$A$644)&lt;ROW()+5)*$C$2:$C$644),"")</f>
        <v/>
      </c>
      <c r="M48" s="0" t="str">
        <f aca="false">IF(L48="","",ROUNDUP(L48/75,0))</f>
        <v/>
      </c>
      <c r="N48" s="0" t="str">
        <f aca="false">IF(MOD(F48-1,7)=0,SUMPRODUCT(($A$2:$A$644=A48)*(ROW($A$2:$A$644)&gt;=ROW())*(ROW($A$2:$A$644)&lt;ROW()+7)*$C$2:$C$644),"")</f>
        <v/>
      </c>
      <c r="O48" s="0" t="str">
        <f aca="false">IF(N48="","",ROUNDUP(N48/75,0))</f>
        <v/>
      </c>
    </row>
    <row r="49" customFormat="false" ht="15" hidden="false" customHeight="false" outlineLevel="0" collapsed="false">
      <c r="A49" s="0" t="s">
        <v>33</v>
      </c>
      <c r="B49" s="0" t="s">
        <v>81</v>
      </c>
      <c r="C49" s="0" t="n">
        <v>54</v>
      </c>
      <c r="D49" s="0" t="n">
        <v>1</v>
      </c>
      <c r="E49" s="0" t="n">
        <v>21</v>
      </c>
      <c r="F49" s="0" t="n">
        <f aca="false">COUNTIF($A$2:A49,A49)</f>
        <v>48</v>
      </c>
      <c r="G49" s="0" t="n">
        <f aca="false">ROUNDUP(C49*1.236/75,0)</f>
        <v>1</v>
      </c>
      <c r="H49" s="0" t="str">
        <f aca="false">IF(MOD(F49-1,2)=0,SUMPRODUCT(($A$2:$A$644=A49)*(ROW($A$2:$A$644)&gt;=ROW())*(ROW($A$2:$A$644)&lt;ROW()+2)*$C$2:$C$644),"")</f>
        <v/>
      </c>
      <c r="I49" s="0" t="str">
        <f aca="false">IF(H49="","",ROUNDUP(H49/75,0))</f>
        <v/>
      </c>
      <c r="J49" s="0" t="str">
        <f aca="false">IF(MOD(F49-1,3)=0,SUMPRODUCT(($A$2:$A$644=A49)*(ROW($A$2:$A$644)&gt;=ROW())*(ROW($A$2:$A$644)&lt;ROW()+3)*$C$2:$C$644),"")</f>
        <v/>
      </c>
      <c r="K49" s="0" t="str">
        <f aca="false">IF(J49="","",ROUNDUP(J49/75,0))</f>
        <v/>
      </c>
      <c r="L49" s="0" t="str">
        <f aca="false">IF(MOD(F49-1,5)=0,SUMPRODUCT(($A$2:$A$644=A49)*(ROW($A$2:$A$644)&gt;=ROW())*(ROW($A$2:$A$644)&lt;ROW()+5)*$C$2:$C$644),"")</f>
        <v/>
      </c>
      <c r="M49" s="0" t="str">
        <f aca="false">IF(L49="","",ROUNDUP(L49/75,0))</f>
        <v/>
      </c>
      <c r="N49" s="0" t="str">
        <f aca="false">IF(MOD(F49-1,7)=0,SUMPRODUCT(($A$2:$A$644=A49)*(ROW($A$2:$A$644)&gt;=ROW())*(ROW($A$2:$A$644)&lt;ROW()+7)*$C$2:$C$644),"")</f>
        <v/>
      </c>
      <c r="O49" s="0" t="str">
        <f aca="false">IF(N49="","",ROUNDUP(N49/75,0))</f>
        <v/>
      </c>
    </row>
    <row r="50" customFormat="false" ht="15" hidden="false" customHeight="false" outlineLevel="0" collapsed="false">
      <c r="A50" s="0" t="s">
        <v>33</v>
      </c>
      <c r="B50" s="0" t="s">
        <v>82</v>
      </c>
      <c r="C50" s="0" t="n">
        <v>42</v>
      </c>
      <c r="D50" s="0" t="n">
        <v>1</v>
      </c>
      <c r="E50" s="0" t="n">
        <v>33</v>
      </c>
      <c r="F50" s="0" t="n">
        <f aca="false">COUNTIF($A$2:A50,A50)</f>
        <v>49</v>
      </c>
      <c r="G50" s="0" t="n">
        <f aca="false">ROUNDUP(C50*1.236/75,0)</f>
        <v>1</v>
      </c>
      <c r="H50" s="0" t="n">
        <f aca="false">IF(MOD(F50-1,2)=0,SUMPRODUCT(($A$2:$A$644=A50)*(ROW($A$2:$A$644)&gt;=ROW())*(ROW($A$2:$A$644)&lt;ROW()+2)*$C$2:$C$644),"")</f>
        <v>102</v>
      </c>
      <c r="I50" s="0" t="n">
        <f aca="false">IF(H50="","",ROUNDUP(H50/75,0))</f>
        <v>2</v>
      </c>
      <c r="J50" s="0" t="n">
        <f aca="false">IF(MOD(F50-1,3)=0,SUMPRODUCT(($A$2:$A$644=A50)*(ROW($A$2:$A$644)&gt;=ROW())*(ROW($A$2:$A$644)&lt;ROW()+3)*$C$2:$C$644),"")</f>
        <v>180</v>
      </c>
      <c r="K50" s="0" t="n">
        <f aca="false">IF(J50="","",ROUNDUP(J50/75,0))</f>
        <v>3</v>
      </c>
      <c r="L50" s="0" t="str">
        <f aca="false">IF(MOD(F50-1,5)=0,SUMPRODUCT(($A$2:$A$644=A50)*(ROW($A$2:$A$644)&gt;=ROW())*(ROW($A$2:$A$644)&lt;ROW()+5)*$C$2:$C$644),"")</f>
        <v/>
      </c>
      <c r="M50" s="0" t="str">
        <f aca="false">IF(L50="","",ROUNDUP(L50/75,0))</f>
        <v/>
      </c>
      <c r="N50" s="0" t="str">
        <f aca="false">IF(MOD(F50-1,7)=0,SUMPRODUCT(($A$2:$A$644=A50)*(ROW($A$2:$A$644)&gt;=ROW())*(ROW($A$2:$A$644)&lt;ROW()+7)*$C$2:$C$644),"")</f>
        <v/>
      </c>
      <c r="O50" s="0" t="str">
        <f aca="false">IF(N50="","",ROUNDUP(N50/75,0))</f>
        <v/>
      </c>
    </row>
    <row r="51" customFormat="false" ht="15" hidden="false" customHeight="false" outlineLevel="0" collapsed="false">
      <c r="A51" s="0" t="s">
        <v>33</v>
      </c>
      <c r="B51" s="0" t="s">
        <v>83</v>
      </c>
      <c r="C51" s="0" t="n">
        <v>60</v>
      </c>
      <c r="D51" s="0" t="n">
        <v>1</v>
      </c>
      <c r="E51" s="0" t="n">
        <v>15</v>
      </c>
      <c r="F51" s="0" t="n">
        <f aca="false">COUNTIF($A$2:A51,A51)</f>
        <v>50</v>
      </c>
      <c r="G51" s="0" t="n">
        <f aca="false">ROUNDUP(C51*1.236/75,0)</f>
        <v>1</v>
      </c>
      <c r="H51" s="0" t="str">
        <f aca="false">IF(MOD(F51-1,2)=0,SUMPRODUCT(($A$2:$A$644=A51)*(ROW($A$2:$A$644)&gt;=ROW())*(ROW($A$2:$A$644)&lt;ROW()+2)*$C$2:$C$644),"")</f>
        <v/>
      </c>
      <c r="I51" s="0" t="str">
        <f aca="false">IF(H51="","",ROUNDUP(H51/75,0))</f>
        <v/>
      </c>
      <c r="J51" s="0" t="str">
        <f aca="false">IF(MOD(F51-1,3)=0,SUMPRODUCT(($A$2:$A$644=A51)*(ROW($A$2:$A$644)&gt;=ROW())*(ROW($A$2:$A$644)&lt;ROW()+3)*$C$2:$C$644),"")</f>
        <v/>
      </c>
      <c r="K51" s="0" t="str">
        <f aca="false">IF(J51="","",ROUNDUP(J51/75,0))</f>
        <v/>
      </c>
      <c r="L51" s="0" t="str">
        <f aca="false">IF(MOD(F51-1,5)=0,SUMPRODUCT(($A$2:$A$644=A51)*(ROW($A$2:$A$644)&gt;=ROW())*(ROW($A$2:$A$644)&lt;ROW()+5)*$C$2:$C$644),"")</f>
        <v/>
      </c>
      <c r="M51" s="0" t="str">
        <f aca="false">IF(L51="","",ROUNDUP(L51/75,0))</f>
        <v/>
      </c>
      <c r="N51" s="0" t="n">
        <f aca="false">IF(MOD(F51-1,7)=0,SUMPRODUCT(($A$2:$A$644=A51)*(ROW($A$2:$A$644)&gt;=ROW())*(ROW($A$2:$A$644)&lt;ROW()+7)*$C$2:$C$644),"")</f>
        <v>378</v>
      </c>
      <c r="O51" s="0" t="n">
        <f aca="false">IF(N51="","",ROUNDUP(N51/75,0))</f>
        <v>6</v>
      </c>
    </row>
    <row r="52" customFormat="false" ht="15" hidden="false" customHeight="false" outlineLevel="0" collapsed="false">
      <c r="A52" s="0" t="s">
        <v>33</v>
      </c>
      <c r="B52" s="0" t="s">
        <v>84</v>
      </c>
      <c r="C52" s="0" t="n">
        <v>78</v>
      </c>
      <c r="D52" s="0" t="n">
        <v>2</v>
      </c>
      <c r="E52" s="0" t="n">
        <v>72</v>
      </c>
      <c r="F52" s="0" t="n">
        <f aca="false">COUNTIF($A$2:A52,A52)</f>
        <v>51</v>
      </c>
      <c r="G52" s="0" t="n">
        <f aca="false">ROUNDUP(C52*1.236/75,0)</f>
        <v>2</v>
      </c>
      <c r="H52" s="0" t="n">
        <f aca="false">IF(MOD(F52-1,2)=0,SUMPRODUCT(($A$2:$A$644=A52)*(ROW($A$2:$A$644)&gt;=ROW())*(ROW($A$2:$A$644)&lt;ROW()+2)*$C$2:$C$644),"")</f>
        <v>132</v>
      </c>
      <c r="I52" s="0" t="n">
        <f aca="false">IF(H52="","",ROUNDUP(H52/75,0))</f>
        <v>2</v>
      </c>
      <c r="J52" s="0" t="str">
        <f aca="false">IF(MOD(F52-1,3)=0,SUMPRODUCT(($A$2:$A$644=A52)*(ROW($A$2:$A$644)&gt;=ROW())*(ROW($A$2:$A$644)&lt;ROW()+3)*$C$2:$C$644),"")</f>
        <v/>
      </c>
      <c r="K52" s="0" t="str">
        <f aca="false">IF(J52="","",ROUNDUP(J52/75,0))</f>
        <v/>
      </c>
      <c r="L52" s="0" t="n">
        <f aca="false">IF(MOD(F52-1,5)=0,SUMPRODUCT(($A$2:$A$644=A52)*(ROW($A$2:$A$644)&gt;=ROW())*(ROW($A$2:$A$644)&lt;ROW()+5)*$C$2:$C$644),"")</f>
        <v>270</v>
      </c>
      <c r="M52" s="0" t="n">
        <f aca="false">IF(L52="","",ROUNDUP(L52/75,0))</f>
        <v>4</v>
      </c>
      <c r="N52" s="0" t="str">
        <f aca="false">IF(MOD(F52-1,7)=0,SUMPRODUCT(($A$2:$A$644=A52)*(ROW($A$2:$A$644)&gt;=ROW())*(ROW($A$2:$A$644)&lt;ROW()+7)*$C$2:$C$644),"")</f>
        <v/>
      </c>
      <c r="O52" s="0" t="str">
        <f aca="false">IF(N52="","",ROUNDUP(N52/75,0))</f>
        <v/>
      </c>
    </row>
    <row r="53" customFormat="false" ht="15" hidden="false" customHeight="false" outlineLevel="0" collapsed="false">
      <c r="A53" s="0" t="s">
        <v>33</v>
      </c>
      <c r="B53" s="0" t="s">
        <v>85</v>
      </c>
      <c r="C53" s="0" t="n">
        <v>54</v>
      </c>
      <c r="D53" s="0" t="n">
        <v>1</v>
      </c>
      <c r="E53" s="0" t="n">
        <v>21</v>
      </c>
      <c r="F53" s="0" t="n">
        <f aca="false">COUNTIF($A$2:A53,A53)</f>
        <v>52</v>
      </c>
      <c r="G53" s="0" t="n">
        <f aca="false">ROUNDUP(C53*1.236/75,0)</f>
        <v>1</v>
      </c>
      <c r="H53" s="0" t="str">
        <f aca="false">IF(MOD(F53-1,2)=0,SUMPRODUCT(($A$2:$A$644=A53)*(ROW($A$2:$A$644)&gt;=ROW())*(ROW($A$2:$A$644)&lt;ROW()+2)*$C$2:$C$644),"")</f>
        <v/>
      </c>
      <c r="I53" s="0" t="str">
        <f aca="false">IF(H53="","",ROUNDUP(H53/75,0))</f>
        <v/>
      </c>
      <c r="J53" s="0" t="n">
        <f aca="false">IF(MOD(F53-1,3)=0,SUMPRODUCT(($A$2:$A$644=A53)*(ROW($A$2:$A$644)&gt;=ROW())*(ROW($A$2:$A$644)&lt;ROW()+3)*$C$2:$C$644),"")</f>
        <v>162</v>
      </c>
      <c r="K53" s="0" t="n">
        <f aca="false">IF(J53="","",ROUNDUP(J53/75,0))</f>
        <v>3</v>
      </c>
      <c r="L53" s="0" t="str">
        <f aca="false">IF(MOD(F53-1,5)=0,SUMPRODUCT(($A$2:$A$644=A53)*(ROW($A$2:$A$644)&gt;=ROW())*(ROW($A$2:$A$644)&lt;ROW()+5)*$C$2:$C$644),"")</f>
        <v/>
      </c>
      <c r="M53" s="0" t="str">
        <f aca="false">IF(L53="","",ROUNDUP(L53/75,0))</f>
        <v/>
      </c>
      <c r="N53" s="0" t="str">
        <f aca="false">IF(MOD(F53-1,7)=0,SUMPRODUCT(($A$2:$A$644=A53)*(ROW($A$2:$A$644)&gt;=ROW())*(ROW($A$2:$A$644)&lt;ROW()+7)*$C$2:$C$644),"")</f>
        <v/>
      </c>
      <c r="O53" s="0" t="str">
        <f aca="false">IF(N53="","",ROUNDUP(N53/75,0))</f>
        <v/>
      </c>
    </row>
    <row r="54" customFormat="false" ht="15" hidden="false" customHeight="false" outlineLevel="0" collapsed="false">
      <c r="A54" s="0" t="s">
        <v>33</v>
      </c>
      <c r="B54" s="0" t="s">
        <v>86</v>
      </c>
      <c r="C54" s="0" t="n">
        <v>66</v>
      </c>
      <c r="D54" s="0" t="n">
        <v>1</v>
      </c>
      <c r="E54" s="0" t="n">
        <v>9</v>
      </c>
      <c r="F54" s="0" t="n">
        <f aca="false">COUNTIF($A$2:A54,A54)</f>
        <v>53</v>
      </c>
      <c r="G54" s="0" t="n">
        <f aca="false">ROUNDUP(C54*1.236/75,0)</f>
        <v>2</v>
      </c>
      <c r="H54" s="0" t="n">
        <f aca="false">IF(MOD(F54-1,2)=0,SUMPRODUCT(($A$2:$A$644=A54)*(ROW($A$2:$A$644)&gt;=ROW())*(ROW($A$2:$A$644)&lt;ROW()+2)*$C$2:$C$644),"")</f>
        <v>108</v>
      </c>
      <c r="I54" s="0" t="n">
        <f aca="false">IF(H54="","",ROUNDUP(H54/75,0))</f>
        <v>2</v>
      </c>
      <c r="J54" s="0" t="str">
        <f aca="false">IF(MOD(F54-1,3)=0,SUMPRODUCT(($A$2:$A$644=A54)*(ROW($A$2:$A$644)&gt;=ROW())*(ROW($A$2:$A$644)&lt;ROW()+3)*$C$2:$C$644),"")</f>
        <v/>
      </c>
      <c r="K54" s="0" t="str">
        <f aca="false">IF(J54="","",ROUNDUP(J54/75,0))</f>
        <v/>
      </c>
      <c r="L54" s="0" t="str">
        <f aca="false">IF(MOD(F54-1,5)=0,SUMPRODUCT(($A$2:$A$644=A54)*(ROW($A$2:$A$644)&gt;=ROW())*(ROW($A$2:$A$644)&lt;ROW()+5)*$C$2:$C$644),"")</f>
        <v/>
      </c>
      <c r="M54" s="0" t="str">
        <f aca="false">IF(L54="","",ROUNDUP(L54/75,0))</f>
        <v/>
      </c>
      <c r="N54" s="0" t="str">
        <f aca="false">IF(MOD(F54-1,7)=0,SUMPRODUCT(($A$2:$A$644=A54)*(ROW($A$2:$A$644)&gt;=ROW())*(ROW($A$2:$A$644)&lt;ROW()+7)*$C$2:$C$644),"")</f>
        <v/>
      </c>
      <c r="O54" s="0" t="str">
        <f aca="false">IF(N54="","",ROUNDUP(N54/75,0))</f>
        <v/>
      </c>
    </row>
    <row r="55" customFormat="false" ht="15" hidden="false" customHeight="false" outlineLevel="0" collapsed="false">
      <c r="A55" s="0" t="s">
        <v>33</v>
      </c>
      <c r="B55" s="0" t="s">
        <v>87</v>
      </c>
      <c r="C55" s="0" t="n">
        <v>42</v>
      </c>
      <c r="D55" s="0" t="n">
        <v>1</v>
      </c>
      <c r="E55" s="0" t="n">
        <v>33</v>
      </c>
      <c r="F55" s="0" t="n">
        <f aca="false">COUNTIF($A$2:A55,A55)</f>
        <v>54</v>
      </c>
      <c r="G55" s="0" t="n">
        <f aca="false">ROUNDUP(C55*1.236/75,0)</f>
        <v>1</v>
      </c>
      <c r="H55" s="0" t="str">
        <f aca="false">IF(MOD(F55-1,2)=0,SUMPRODUCT(($A$2:$A$644=A55)*(ROW($A$2:$A$644)&gt;=ROW())*(ROW($A$2:$A$644)&lt;ROW()+2)*$C$2:$C$644),"")</f>
        <v/>
      </c>
      <c r="I55" s="0" t="str">
        <f aca="false">IF(H55="","",ROUNDUP(H55/75,0))</f>
        <v/>
      </c>
      <c r="J55" s="0" t="str">
        <f aca="false">IF(MOD(F55-1,3)=0,SUMPRODUCT(($A$2:$A$644=A55)*(ROW($A$2:$A$644)&gt;=ROW())*(ROW($A$2:$A$644)&lt;ROW()+3)*$C$2:$C$644),"")</f>
        <v/>
      </c>
      <c r="K55" s="0" t="str">
        <f aca="false">IF(J55="","",ROUNDUP(J55/75,0))</f>
        <v/>
      </c>
      <c r="L55" s="0" t="str">
        <f aca="false">IF(MOD(F55-1,5)=0,SUMPRODUCT(($A$2:$A$644=A55)*(ROW($A$2:$A$644)&gt;=ROW())*(ROW($A$2:$A$644)&lt;ROW()+5)*$C$2:$C$644),"")</f>
        <v/>
      </c>
      <c r="M55" s="0" t="str">
        <f aca="false">IF(L55="","",ROUNDUP(L55/75,0))</f>
        <v/>
      </c>
      <c r="N55" s="0" t="str">
        <f aca="false">IF(MOD(F55-1,7)=0,SUMPRODUCT(($A$2:$A$644=A55)*(ROW($A$2:$A$644)&gt;=ROW())*(ROW($A$2:$A$644)&lt;ROW()+7)*$C$2:$C$644),"")</f>
        <v/>
      </c>
      <c r="O55" s="0" t="str">
        <f aca="false">IF(N55="","",ROUNDUP(N55/75,0))</f>
        <v/>
      </c>
    </row>
    <row r="56" customFormat="false" ht="15" hidden="false" customHeight="false" outlineLevel="0" collapsed="false">
      <c r="A56" s="0" t="s">
        <v>33</v>
      </c>
      <c r="B56" s="0" t="s">
        <v>88</v>
      </c>
      <c r="C56" s="0" t="n">
        <v>30</v>
      </c>
      <c r="D56" s="0" t="n">
        <v>1</v>
      </c>
      <c r="E56" s="0" t="n">
        <v>45</v>
      </c>
      <c r="F56" s="0" t="n">
        <f aca="false">COUNTIF($A$2:A56,A56)</f>
        <v>55</v>
      </c>
      <c r="G56" s="0" t="n">
        <f aca="false">ROUNDUP(C56*1.236/75,0)</f>
        <v>1</v>
      </c>
      <c r="H56" s="0" t="n">
        <f aca="false">IF(MOD(F56-1,2)=0,SUMPRODUCT(($A$2:$A$644=A56)*(ROW($A$2:$A$644)&gt;=ROW())*(ROW($A$2:$A$644)&lt;ROW()+2)*$C$2:$C$644),"")</f>
        <v>78</v>
      </c>
      <c r="I56" s="0" t="n">
        <f aca="false">IF(H56="","",ROUNDUP(H56/75,0))</f>
        <v>2</v>
      </c>
      <c r="J56" s="0" t="n">
        <f aca="false">IF(MOD(F56-1,3)=0,SUMPRODUCT(($A$2:$A$644=A56)*(ROW($A$2:$A$644)&gt;=ROW())*(ROW($A$2:$A$644)&lt;ROW()+3)*$C$2:$C$644),"")</f>
        <v>102</v>
      </c>
      <c r="K56" s="0" t="n">
        <f aca="false">IF(J56="","",ROUNDUP(J56/75,0))</f>
        <v>2</v>
      </c>
      <c r="L56" s="0" t="str">
        <f aca="false">IF(MOD(F56-1,5)=0,SUMPRODUCT(($A$2:$A$644=A56)*(ROW($A$2:$A$644)&gt;=ROW())*(ROW($A$2:$A$644)&lt;ROW()+5)*$C$2:$C$644),"")</f>
        <v/>
      </c>
      <c r="M56" s="0" t="str">
        <f aca="false">IF(L56="","",ROUNDUP(L56/75,0))</f>
        <v/>
      </c>
      <c r="N56" s="0" t="str">
        <f aca="false">IF(MOD(F56-1,7)=0,SUMPRODUCT(($A$2:$A$644=A56)*(ROW($A$2:$A$644)&gt;=ROW())*(ROW($A$2:$A$644)&lt;ROW()+7)*$C$2:$C$644),"")</f>
        <v/>
      </c>
      <c r="O56" s="0" t="str">
        <f aca="false">IF(N56="","",ROUNDUP(N56/75,0))</f>
        <v/>
      </c>
    </row>
    <row r="57" customFormat="false" ht="15" hidden="false" customHeight="false" outlineLevel="0" collapsed="false">
      <c r="A57" s="0" t="s">
        <v>33</v>
      </c>
      <c r="B57" s="0" t="s">
        <v>89</v>
      </c>
      <c r="C57" s="0" t="n">
        <v>48</v>
      </c>
      <c r="D57" s="0" t="n">
        <v>1</v>
      </c>
      <c r="E57" s="0" t="n">
        <v>27</v>
      </c>
      <c r="F57" s="0" t="n">
        <f aca="false">COUNTIF($A$2:A57,A57)</f>
        <v>56</v>
      </c>
      <c r="G57" s="0" t="n">
        <f aca="false">ROUNDUP(C57*1.236/75,0)</f>
        <v>1</v>
      </c>
      <c r="H57" s="0" t="str">
        <f aca="false">IF(MOD(F57-1,2)=0,SUMPRODUCT(($A$2:$A$644=A57)*(ROW($A$2:$A$644)&gt;=ROW())*(ROW($A$2:$A$644)&lt;ROW()+2)*$C$2:$C$644),"")</f>
        <v/>
      </c>
      <c r="I57" s="0" t="str">
        <f aca="false">IF(H57="","",ROUNDUP(H57/75,0))</f>
        <v/>
      </c>
      <c r="J57" s="0" t="str">
        <f aca="false">IF(MOD(F57-1,3)=0,SUMPRODUCT(($A$2:$A$644=A57)*(ROW($A$2:$A$644)&gt;=ROW())*(ROW($A$2:$A$644)&lt;ROW()+3)*$C$2:$C$644),"")</f>
        <v/>
      </c>
      <c r="K57" s="0" t="str">
        <f aca="false">IF(J57="","",ROUNDUP(J57/75,0))</f>
        <v/>
      </c>
      <c r="L57" s="0" t="n">
        <f aca="false">IF(MOD(F57-1,5)=0,SUMPRODUCT(($A$2:$A$644=A57)*(ROW($A$2:$A$644)&gt;=ROW())*(ROW($A$2:$A$644)&lt;ROW()+5)*$C$2:$C$644),"")</f>
        <v>246</v>
      </c>
      <c r="M57" s="0" t="n">
        <f aca="false">IF(L57="","",ROUNDUP(L57/75,0))</f>
        <v>4</v>
      </c>
      <c r="N57" s="0" t="str">
        <f aca="false">IF(MOD(F57-1,7)=0,SUMPRODUCT(($A$2:$A$644=A57)*(ROW($A$2:$A$644)&gt;=ROW())*(ROW($A$2:$A$644)&lt;ROW()+7)*$C$2:$C$644),"")</f>
        <v/>
      </c>
      <c r="O57" s="0" t="str">
        <f aca="false">IF(N57="","",ROUNDUP(N57/75,0))</f>
        <v/>
      </c>
    </row>
    <row r="58" customFormat="false" ht="15" hidden="false" customHeight="false" outlineLevel="0" collapsed="false">
      <c r="A58" s="0" t="s">
        <v>33</v>
      </c>
      <c r="B58" s="0" t="s">
        <v>90</v>
      </c>
      <c r="C58" s="0" t="n">
        <v>24</v>
      </c>
      <c r="D58" s="0" t="n">
        <v>1</v>
      </c>
      <c r="E58" s="0" t="n">
        <v>51</v>
      </c>
      <c r="F58" s="0" t="n">
        <f aca="false">COUNTIF($A$2:A58,A58)</f>
        <v>57</v>
      </c>
      <c r="G58" s="0" t="n">
        <f aca="false">ROUNDUP(C58*1.236/75,0)</f>
        <v>1</v>
      </c>
      <c r="H58" s="0" t="n">
        <f aca="false">IF(MOD(F58-1,2)=0,SUMPRODUCT(($A$2:$A$644=A58)*(ROW($A$2:$A$644)&gt;=ROW())*(ROW($A$2:$A$644)&lt;ROW()+2)*$C$2:$C$644),"")</f>
        <v>66</v>
      </c>
      <c r="I58" s="0" t="n">
        <f aca="false">IF(H58="","",ROUNDUP(H58/75,0))</f>
        <v>1</v>
      </c>
      <c r="J58" s="0" t="str">
        <f aca="false">IF(MOD(F58-1,3)=0,SUMPRODUCT(($A$2:$A$644=A58)*(ROW($A$2:$A$644)&gt;=ROW())*(ROW($A$2:$A$644)&lt;ROW()+3)*$C$2:$C$644),"")</f>
        <v/>
      </c>
      <c r="K58" s="0" t="str">
        <f aca="false">IF(J58="","",ROUNDUP(J58/75,0))</f>
        <v/>
      </c>
      <c r="L58" s="0" t="str">
        <f aca="false">IF(MOD(F58-1,5)=0,SUMPRODUCT(($A$2:$A$644=A58)*(ROW($A$2:$A$644)&gt;=ROW())*(ROW($A$2:$A$644)&lt;ROW()+5)*$C$2:$C$644),"")</f>
        <v/>
      </c>
      <c r="M58" s="0" t="str">
        <f aca="false">IF(L58="","",ROUNDUP(L58/75,0))</f>
        <v/>
      </c>
      <c r="N58" s="0" t="n">
        <f aca="false">IF(MOD(F58-1,7)=0,SUMPRODUCT(($A$2:$A$644=A58)*(ROW($A$2:$A$644)&gt;=ROW())*(ROW($A$2:$A$644)&lt;ROW()+7)*$C$2:$C$644),"")</f>
        <v>366</v>
      </c>
      <c r="O58" s="0" t="n">
        <f aca="false">IF(N58="","",ROUNDUP(N58/75,0))</f>
        <v>5</v>
      </c>
    </row>
    <row r="59" customFormat="false" ht="15" hidden="false" customHeight="false" outlineLevel="0" collapsed="false">
      <c r="A59" s="0" t="s">
        <v>33</v>
      </c>
      <c r="B59" s="0" t="s">
        <v>91</v>
      </c>
      <c r="C59" s="0" t="n">
        <v>42</v>
      </c>
      <c r="D59" s="0" t="n">
        <v>1</v>
      </c>
      <c r="E59" s="0" t="n">
        <v>33</v>
      </c>
      <c r="F59" s="0" t="n">
        <f aca="false">COUNTIF($A$2:A59,A59)</f>
        <v>58</v>
      </c>
      <c r="G59" s="0" t="n">
        <f aca="false">ROUNDUP(C59*1.236/75,0)</f>
        <v>1</v>
      </c>
      <c r="H59" s="0" t="str">
        <f aca="false">IF(MOD(F59-1,2)=0,SUMPRODUCT(($A$2:$A$644=A59)*(ROW($A$2:$A$644)&gt;=ROW())*(ROW($A$2:$A$644)&lt;ROW()+2)*$C$2:$C$644),"")</f>
        <v/>
      </c>
      <c r="I59" s="0" t="str">
        <f aca="false">IF(H59="","",ROUNDUP(H59/75,0))</f>
        <v/>
      </c>
      <c r="J59" s="0" t="n">
        <f aca="false">IF(MOD(F59-1,3)=0,SUMPRODUCT(($A$2:$A$644=A59)*(ROW($A$2:$A$644)&gt;=ROW())*(ROW($A$2:$A$644)&lt;ROW()+3)*$C$2:$C$644),"")</f>
        <v>174</v>
      </c>
      <c r="K59" s="0" t="n">
        <f aca="false">IF(J59="","",ROUNDUP(J59/75,0))</f>
        <v>3</v>
      </c>
      <c r="L59" s="0" t="str">
        <f aca="false">IF(MOD(F59-1,5)=0,SUMPRODUCT(($A$2:$A$644=A59)*(ROW($A$2:$A$644)&gt;=ROW())*(ROW($A$2:$A$644)&lt;ROW()+5)*$C$2:$C$644),"")</f>
        <v/>
      </c>
      <c r="M59" s="0" t="str">
        <f aca="false">IF(L59="","",ROUNDUP(L59/75,0))</f>
        <v/>
      </c>
      <c r="N59" s="0" t="str">
        <f aca="false">IF(MOD(F59-1,7)=0,SUMPRODUCT(($A$2:$A$644=A59)*(ROW($A$2:$A$644)&gt;=ROW())*(ROW($A$2:$A$644)&lt;ROW()+7)*$C$2:$C$644),"")</f>
        <v/>
      </c>
      <c r="O59" s="0" t="str">
        <f aca="false">IF(N59="","",ROUNDUP(N59/75,0))</f>
        <v/>
      </c>
    </row>
    <row r="60" customFormat="false" ht="15" hidden="false" customHeight="false" outlineLevel="0" collapsed="false">
      <c r="A60" s="0" t="s">
        <v>33</v>
      </c>
      <c r="B60" s="0" t="s">
        <v>92</v>
      </c>
      <c r="C60" s="0" t="n">
        <v>66</v>
      </c>
      <c r="D60" s="0" t="n">
        <v>1</v>
      </c>
      <c r="E60" s="0" t="n">
        <v>9</v>
      </c>
      <c r="F60" s="0" t="n">
        <f aca="false">COUNTIF($A$2:A60,A60)</f>
        <v>59</v>
      </c>
      <c r="G60" s="0" t="n">
        <f aca="false">ROUNDUP(C60*1.236/75,0)</f>
        <v>2</v>
      </c>
      <c r="H60" s="0" t="n">
        <f aca="false">IF(MOD(F60-1,2)=0,SUMPRODUCT(($A$2:$A$644=A60)*(ROW($A$2:$A$644)&gt;=ROW())*(ROW($A$2:$A$644)&lt;ROW()+2)*$C$2:$C$644),"")</f>
        <v>132</v>
      </c>
      <c r="I60" s="0" t="n">
        <f aca="false">IF(H60="","",ROUNDUP(H60/75,0))</f>
        <v>2</v>
      </c>
      <c r="J60" s="0" t="str">
        <f aca="false">IF(MOD(F60-1,3)=0,SUMPRODUCT(($A$2:$A$644=A60)*(ROW($A$2:$A$644)&gt;=ROW())*(ROW($A$2:$A$644)&lt;ROW()+3)*$C$2:$C$644),"")</f>
        <v/>
      </c>
      <c r="K60" s="0" t="str">
        <f aca="false">IF(J60="","",ROUNDUP(J60/75,0))</f>
        <v/>
      </c>
      <c r="L60" s="0" t="str">
        <f aca="false">IF(MOD(F60-1,5)=0,SUMPRODUCT(($A$2:$A$644=A60)*(ROW($A$2:$A$644)&gt;=ROW())*(ROW($A$2:$A$644)&lt;ROW()+5)*$C$2:$C$644),"")</f>
        <v/>
      </c>
      <c r="M60" s="0" t="str">
        <f aca="false">IF(L60="","",ROUNDUP(L60/75,0))</f>
        <v/>
      </c>
      <c r="N60" s="0" t="str">
        <f aca="false">IF(MOD(F60-1,7)=0,SUMPRODUCT(($A$2:$A$644=A60)*(ROW($A$2:$A$644)&gt;=ROW())*(ROW($A$2:$A$644)&lt;ROW()+7)*$C$2:$C$644),"")</f>
        <v/>
      </c>
      <c r="O60" s="0" t="str">
        <f aca="false">IF(N60="","",ROUNDUP(N60/75,0))</f>
        <v/>
      </c>
    </row>
    <row r="61" customFormat="false" ht="15" hidden="false" customHeight="false" outlineLevel="0" collapsed="false">
      <c r="A61" s="0" t="s">
        <v>33</v>
      </c>
      <c r="B61" s="0" t="s">
        <v>93</v>
      </c>
      <c r="C61" s="0" t="n">
        <v>66</v>
      </c>
      <c r="D61" s="0" t="n">
        <v>1</v>
      </c>
      <c r="E61" s="0" t="n">
        <v>9</v>
      </c>
      <c r="F61" s="0" t="n">
        <f aca="false">COUNTIF($A$2:A61,A61)</f>
        <v>60</v>
      </c>
      <c r="G61" s="0" t="n">
        <f aca="false">ROUNDUP(C61*1.236/75,0)</f>
        <v>2</v>
      </c>
      <c r="H61" s="0" t="str">
        <f aca="false">IF(MOD(F61-1,2)=0,SUMPRODUCT(($A$2:$A$644=A61)*(ROW($A$2:$A$644)&gt;=ROW())*(ROW($A$2:$A$644)&lt;ROW()+2)*$C$2:$C$644),"")</f>
        <v/>
      </c>
      <c r="I61" s="0" t="str">
        <f aca="false">IF(H61="","",ROUNDUP(H61/75,0))</f>
        <v/>
      </c>
      <c r="J61" s="0" t="str">
        <f aca="false">IF(MOD(F61-1,3)=0,SUMPRODUCT(($A$2:$A$644=A61)*(ROW($A$2:$A$644)&gt;=ROW())*(ROW($A$2:$A$644)&lt;ROW()+3)*$C$2:$C$644),"")</f>
        <v/>
      </c>
      <c r="K61" s="0" t="str">
        <f aca="false">IF(J61="","",ROUNDUP(J61/75,0))</f>
        <v/>
      </c>
      <c r="L61" s="0" t="str">
        <f aca="false">IF(MOD(F61-1,5)=0,SUMPRODUCT(($A$2:$A$644=A61)*(ROW($A$2:$A$644)&gt;=ROW())*(ROW($A$2:$A$644)&lt;ROW()+5)*$C$2:$C$644),"")</f>
        <v/>
      </c>
      <c r="M61" s="0" t="str">
        <f aca="false">IF(L61="","",ROUNDUP(L61/75,0))</f>
        <v/>
      </c>
      <c r="N61" s="0" t="str">
        <f aca="false">IF(MOD(F61-1,7)=0,SUMPRODUCT(($A$2:$A$644=A61)*(ROW($A$2:$A$644)&gt;=ROW())*(ROW($A$2:$A$644)&lt;ROW()+7)*$C$2:$C$644),"")</f>
        <v/>
      </c>
      <c r="O61" s="0" t="str">
        <f aca="false">IF(N61="","",ROUNDUP(N61/75,0))</f>
        <v/>
      </c>
    </row>
    <row r="62" customFormat="false" ht="15" hidden="false" customHeight="false" outlineLevel="0" collapsed="false">
      <c r="A62" s="0" t="s">
        <v>33</v>
      </c>
      <c r="B62" s="0" t="s">
        <v>94</v>
      </c>
      <c r="C62" s="0" t="n">
        <v>90</v>
      </c>
      <c r="D62" s="0" t="n">
        <v>2</v>
      </c>
      <c r="E62" s="0" t="n">
        <v>60</v>
      </c>
      <c r="F62" s="0" t="n">
        <f aca="false">COUNTIF($A$2:A62,A62)</f>
        <v>61</v>
      </c>
      <c r="G62" s="0" t="n">
        <f aca="false">ROUNDUP(C62*1.236/75,0)</f>
        <v>2</v>
      </c>
      <c r="H62" s="0" t="n">
        <f aca="false">IF(MOD(F62-1,2)=0,SUMPRODUCT(($A$2:$A$644=A62)*(ROW($A$2:$A$644)&gt;=ROW())*(ROW($A$2:$A$644)&lt;ROW()+2)*$C$2:$C$644),"")</f>
        <v>138</v>
      </c>
      <c r="I62" s="0" t="n">
        <f aca="false">IF(H62="","",ROUNDUP(H62/75,0))</f>
        <v>2</v>
      </c>
      <c r="J62" s="0" t="n">
        <f aca="false">IF(MOD(F62-1,3)=0,SUMPRODUCT(($A$2:$A$644=A62)*(ROW($A$2:$A$644)&gt;=ROW())*(ROW($A$2:$A$644)&lt;ROW()+3)*$C$2:$C$644),"")</f>
        <v>168</v>
      </c>
      <c r="K62" s="0" t="n">
        <f aca="false">IF(J62="","",ROUNDUP(J62/75,0))</f>
        <v>3</v>
      </c>
      <c r="L62" s="0" t="n">
        <f aca="false">IF(MOD(F62-1,5)=0,SUMPRODUCT(($A$2:$A$644=A62)*(ROW($A$2:$A$644)&gt;=ROW())*(ROW($A$2:$A$644)&lt;ROW()+5)*$C$2:$C$644),"")</f>
        <v>378</v>
      </c>
      <c r="M62" s="0" t="n">
        <f aca="false">IF(L62="","",ROUNDUP(L62/75,0))</f>
        <v>6</v>
      </c>
      <c r="N62" s="0" t="str">
        <f aca="false">IF(MOD(F62-1,7)=0,SUMPRODUCT(($A$2:$A$644=A62)*(ROW($A$2:$A$644)&gt;=ROW())*(ROW($A$2:$A$644)&lt;ROW()+7)*$C$2:$C$644),"")</f>
        <v/>
      </c>
      <c r="O62" s="0" t="str">
        <f aca="false">IF(N62="","",ROUNDUP(N62/75,0))</f>
        <v/>
      </c>
    </row>
    <row r="63" customFormat="false" ht="15" hidden="false" customHeight="false" outlineLevel="0" collapsed="false">
      <c r="A63" s="0" t="s">
        <v>33</v>
      </c>
      <c r="B63" s="0" t="s">
        <v>95</v>
      </c>
      <c r="C63" s="0" t="n">
        <v>48</v>
      </c>
      <c r="D63" s="0" t="n">
        <v>1</v>
      </c>
      <c r="E63" s="0" t="n">
        <v>27</v>
      </c>
      <c r="F63" s="0" t="n">
        <f aca="false">COUNTIF($A$2:A63,A63)</f>
        <v>62</v>
      </c>
      <c r="G63" s="0" t="n">
        <f aca="false">ROUNDUP(C63*1.236/75,0)</f>
        <v>1</v>
      </c>
      <c r="H63" s="0" t="str">
        <f aca="false">IF(MOD(F63-1,2)=0,SUMPRODUCT(($A$2:$A$644=A63)*(ROW($A$2:$A$644)&gt;=ROW())*(ROW($A$2:$A$644)&lt;ROW()+2)*$C$2:$C$644),"")</f>
        <v/>
      </c>
      <c r="I63" s="0" t="str">
        <f aca="false">IF(H63="","",ROUNDUP(H63/75,0))</f>
        <v/>
      </c>
      <c r="J63" s="0" t="str">
        <f aca="false">IF(MOD(F63-1,3)=0,SUMPRODUCT(($A$2:$A$644=A63)*(ROW($A$2:$A$644)&gt;=ROW())*(ROW($A$2:$A$644)&lt;ROW()+3)*$C$2:$C$644),"")</f>
        <v/>
      </c>
      <c r="K63" s="0" t="str">
        <f aca="false">IF(J63="","",ROUNDUP(J63/75,0))</f>
        <v/>
      </c>
      <c r="L63" s="0" t="str">
        <f aca="false">IF(MOD(F63-1,5)=0,SUMPRODUCT(($A$2:$A$644=A63)*(ROW($A$2:$A$644)&gt;=ROW())*(ROW($A$2:$A$644)&lt;ROW()+5)*$C$2:$C$644),"")</f>
        <v/>
      </c>
      <c r="M63" s="0" t="str">
        <f aca="false">IF(L63="","",ROUNDUP(L63/75,0))</f>
        <v/>
      </c>
      <c r="N63" s="0" t="str">
        <f aca="false">IF(MOD(F63-1,7)=0,SUMPRODUCT(($A$2:$A$644=A63)*(ROW($A$2:$A$644)&gt;=ROW())*(ROW($A$2:$A$644)&lt;ROW()+7)*$C$2:$C$644),"")</f>
        <v/>
      </c>
      <c r="O63" s="0" t="str">
        <f aca="false">IF(N63="","",ROUNDUP(N63/75,0))</f>
        <v/>
      </c>
    </row>
    <row r="64" customFormat="false" ht="15" hidden="false" customHeight="false" outlineLevel="0" collapsed="false">
      <c r="A64" s="0" t="s">
        <v>33</v>
      </c>
      <c r="B64" s="0" t="s">
        <v>96</v>
      </c>
      <c r="C64" s="0" t="n">
        <v>30</v>
      </c>
      <c r="D64" s="0" t="n">
        <v>1</v>
      </c>
      <c r="E64" s="0" t="n">
        <v>45</v>
      </c>
      <c r="F64" s="0" t="n">
        <f aca="false">COUNTIF($A$2:A64,A64)</f>
        <v>63</v>
      </c>
      <c r="G64" s="0" t="n">
        <f aca="false">ROUNDUP(C64*1.236/75,0)</f>
        <v>1</v>
      </c>
      <c r="H64" s="0" t="n">
        <f aca="false">IF(MOD(F64-1,2)=0,SUMPRODUCT(($A$2:$A$644=A64)*(ROW($A$2:$A$644)&gt;=ROW())*(ROW($A$2:$A$644)&lt;ROW()+2)*$C$2:$C$644),"")</f>
        <v>126</v>
      </c>
      <c r="I64" s="0" t="n">
        <f aca="false">IF(H64="","",ROUNDUP(H64/75,0))</f>
        <v>2</v>
      </c>
      <c r="J64" s="0" t="str">
        <f aca="false">IF(MOD(F64-1,3)=0,SUMPRODUCT(($A$2:$A$644=A64)*(ROW($A$2:$A$644)&gt;=ROW())*(ROW($A$2:$A$644)&lt;ROW()+3)*$C$2:$C$644),"")</f>
        <v/>
      </c>
      <c r="K64" s="0" t="str">
        <f aca="false">IF(J64="","",ROUNDUP(J64/75,0))</f>
        <v/>
      </c>
      <c r="L64" s="0" t="str">
        <f aca="false">IF(MOD(F64-1,5)=0,SUMPRODUCT(($A$2:$A$644=A64)*(ROW($A$2:$A$644)&gt;=ROW())*(ROW($A$2:$A$644)&lt;ROW()+5)*$C$2:$C$644),"")</f>
        <v/>
      </c>
      <c r="M64" s="0" t="str">
        <f aca="false">IF(L64="","",ROUNDUP(L64/75,0))</f>
        <v/>
      </c>
      <c r="N64" s="0" t="str">
        <f aca="false">IF(MOD(F64-1,7)=0,SUMPRODUCT(($A$2:$A$644=A64)*(ROW($A$2:$A$644)&gt;=ROW())*(ROW($A$2:$A$644)&lt;ROW()+7)*$C$2:$C$644),"")</f>
        <v/>
      </c>
      <c r="O64" s="0" t="str">
        <f aca="false">IF(N64="","",ROUNDUP(N64/75,0))</f>
        <v/>
      </c>
    </row>
    <row r="65" customFormat="false" ht="15" hidden="false" customHeight="false" outlineLevel="0" collapsed="false">
      <c r="A65" s="0" t="s">
        <v>33</v>
      </c>
      <c r="B65" s="0" t="s">
        <v>97</v>
      </c>
      <c r="C65" s="0" t="n">
        <v>96</v>
      </c>
      <c r="D65" s="0" t="n">
        <v>2</v>
      </c>
      <c r="E65" s="0" t="n">
        <v>54</v>
      </c>
      <c r="F65" s="0" t="n">
        <f aca="false">COUNTIF($A$2:A65,A65)</f>
        <v>64</v>
      </c>
      <c r="G65" s="0" t="n">
        <f aca="false">ROUNDUP(C65*1.236/75,0)</f>
        <v>2</v>
      </c>
      <c r="H65" s="0" t="str">
        <f aca="false">IF(MOD(F65-1,2)=0,SUMPRODUCT(($A$2:$A$644=A65)*(ROW($A$2:$A$644)&gt;=ROW())*(ROW($A$2:$A$644)&lt;ROW()+2)*$C$2:$C$644),"")</f>
        <v/>
      </c>
      <c r="I65" s="0" t="str">
        <f aca="false">IF(H65="","",ROUNDUP(H65/75,0))</f>
        <v/>
      </c>
      <c r="J65" s="0" t="n">
        <f aca="false">IF(MOD(F65-1,3)=0,SUMPRODUCT(($A$2:$A$644=A65)*(ROW($A$2:$A$644)&gt;=ROW())*(ROW($A$2:$A$644)&lt;ROW()+3)*$C$2:$C$644),"")</f>
        <v>264</v>
      </c>
      <c r="K65" s="0" t="n">
        <f aca="false">IF(J65="","",ROUNDUP(J65/75,0))</f>
        <v>4</v>
      </c>
      <c r="L65" s="0" t="str">
        <f aca="false">IF(MOD(F65-1,5)=0,SUMPRODUCT(($A$2:$A$644=A65)*(ROW($A$2:$A$644)&gt;=ROW())*(ROW($A$2:$A$644)&lt;ROW()+5)*$C$2:$C$644),"")</f>
        <v/>
      </c>
      <c r="M65" s="0" t="str">
        <f aca="false">IF(L65="","",ROUNDUP(L65/75,0))</f>
        <v/>
      </c>
      <c r="N65" s="0" t="n">
        <f aca="false">IF(MOD(F65-1,7)=0,SUMPRODUCT(($A$2:$A$644=A65)*(ROW($A$2:$A$644)&gt;=ROW())*(ROW($A$2:$A$644)&lt;ROW()+7)*$C$2:$C$644),"")</f>
        <v>594</v>
      </c>
      <c r="O65" s="0" t="n">
        <f aca="false">IF(N65="","",ROUNDUP(N65/75,0))</f>
        <v>8</v>
      </c>
    </row>
    <row r="66" customFormat="false" ht="15" hidden="false" customHeight="false" outlineLevel="0" collapsed="false">
      <c r="A66" s="0" t="s">
        <v>33</v>
      </c>
      <c r="B66" s="0" t="s">
        <v>98</v>
      </c>
      <c r="C66" s="0" t="n">
        <v>114</v>
      </c>
      <c r="D66" s="0" t="n">
        <v>2</v>
      </c>
      <c r="E66" s="0" t="n">
        <v>36</v>
      </c>
      <c r="F66" s="0" t="n">
        <f aca="false">COUNTIF($A$2:A66,A66)</f>
        <v>65</v>
      </c>
      <c r="G66" s="0" t="n">
        <f aca="false">ROUNDUP(C66*1.236/75,0)</f>
        <v>2</v>
      </c>
      <c r="H66" s="0" t="n">
        <f aca="false">IF(MOD(F66-1,2)=0,SUMPRODUCT(($A$2:$A$644=A66)*(ROW($A$2:$A$644)&gt;=ROW())*(ROW($A$2:$A$644)&lt;ROW()+2)*$C$2:$C$644),"")</f>
        <v>168</v>
      </c>
      <c r="I66" s="0" t="n">
        <f aca="false">IF(H66="","",ROUNDUP(H66/75,0))</f>
        <v>3</v>
      </c>
      <c r="J66" s="0" t="str">
        <f aca="false">IF(MOD(F66-1,3)=0,SUMPRODUCT(($A$2:$A$644=A66)*(ROW($A$2:$A$644)&gt;=ROW())*(ROW($A$2:$A$644)&lt;ROW()+3)*$C$2:$C$644),"")</f>
        <v/>
      </c>
      <c r="K66" s="0" t="str">
        <f aca="false">IF(J66="","",ROUNDUP(J66/75,0))</f>
        <v/>
      </c>
      <c r="L66" s="0" t="str">
        <f aca="false">IF(MOD(F66-1,5)=0,SUMPRODUCT(($A$2:$A$644=A66)*(ROW($A$2:$A$644)&gt;=ROW())*(ROW($A$2:$A$644)&lt;ROW()+5)*$C$2:$C$644),"")</f>
        <v/>
      </c>
      <c r="M66" s="0" t="str">
        <f aca="false">IF(L66="","",ROUNDUP(L66/75,0))</f>
        <v/>
      </c>
      <c r="N66" s="0" t="str">
        <f aca="false">IF(MOD(F66-1,7)=0,SUMPRODUCT(($A$2:$A$644=A66)*(ROW($A$2:$A$644)&gt;=ROW())*(ROW($A$2:$A$644)&lt;ROW()+7)*$C$2:$C$644),"")</f>
        <v/>
      </c>
      <c r="O66" s="0" t="str">
        <f aca="false">IF(N66="","",ROUNDUP(N66/75,0))</f>
        <v/>
      </c>
    </row>
    <row r="67" customFormat="false" ht="15" hidden="false" customHeight="false" outlineLevel="0" collapsed="false">
      <c r="A67" s="0" t="s">
        <v>33</v>
      </c>
      <c r="B67" s="0" t="s">
        <v>99</v>
      </c>
      <c r="C67" s="0" t="n">
        <v>54</v>
      </c>
      <c r="D67" s="0" t="n">
        <v>1</v>
      </c>
      <c r="E67" s="0" t="n">
        <v>21</v>
      </c>
      <c r="F67" s="0" t="n">
        <f aca="false">COUNTIF($A$2:A67,A67)</f>
        <v>66</v>
      </c>
      <c r="G67" s="0" t="n">
        <f aca="false">ROUNDUP(C67*1.236/75,0)</f>
        <v>1</v>
      </c>
      <c r="H67" s="0" t="str">
        <f aca="false">IF(MOD(F67-1,2)=0,SUMPRODUCT(($A$2:$A$644=A67)*(ROW($A$2:$A$644)&gt;=ROW())*(ROW($A$2:$A$644)&lt;ROW()+2)*$C$2:$C$644),"")</f>
        <v/>
      </c>
      <c r="I67" s="0" t="str">
        <f aca="false">IF(H67="","",ROUNDUP(H67/75,0))</f>
        <v/>
      </c>
      <c r="J67" s="0" t="str">
        <f aca="false">IF(MOD(F67-1,3)=0,SUMPRODUCT(($A$2:$A$644=A67)*(ROW($A$2:$A$644)&gt;=ROW())*(ROW($A$2:$A$644)&lt;ROW()+3)*$C$2:$C$644),"")</f>
        <v/>
      </c>
      <c r="K67" s="0" t="str">
        <f aca="false">IF(J67="","",ROUNDUP(J67/75,0))</f>
        <v/>
      </c>
      <c r="L67" s="0" t="n">
        <f aca="false">IF(MOD(F67-1,5)=0,SUMPRODUCT(($A$2:$A$644=A67)*(ROW($A$2:$A$644)&gt;=ROW())*(ROW($A$2:$A$644)&lt;ROW()+5)*$C$2:$C$644),"")</f>
        <v>384</v>
      </c>
      <c r="M67" s="0" t="n">
        <f aca="false">IF(L67="","",ROUNDUP(L67/75,0))</f>
        <v>6</v>
      </c>
      <c r="N67" s="0" t="str">
        <f aca="false">IF(MOD(F67-1,7)=0,SUMPRODUCT(($A$2:$A$644=A67)*(ROW($A$2:$A$644)&gt;=ROW())*(ROW($A$2:$A$644)&lt;ROW()+7)*$C$2:$C$644),"")</f>
        <v/>
      </c>
      <c r="O67" s="0" t="str">
        <f aca="false">IF(N67="","",ROUNDUP(N67/75,0))</f>
        <v/>
      </c>
    </row>
    <row r="68" customFormat="false" ht="15" hidden="false" customHeight="false" outlineLevel="0" collapsed="false">
      <c r="A68" s="0" t="s">
        <v>33</v>
      </c>
      <c r="B68" s="0" t="s">
        <v>100</v>
      </c>
      <c r="C68" s="0" t="n">
        <v>66</v>
      </c>
      <c r="D68" s="0" t="n">
        <v>1</v>
      </c>
      <c r="E68" s="0" t="n">
        <v>9</v>
      </c>
      <c r="F68" s="0" t="n">
        <f aca="false">COUNTIF($A$2:A68,A68)</f>
        <v>67</v>
      </c>
      <c r="G68" s="0" t="n">
        <f aca="false">ROUNDUP(C68*1.236/75,0)</f>
        <v>2</v>
      </c>
      <c r="H68" s="0" t="n">
        <f aca="false">IF(MOD(F68-1,2)=0,SUMPRODUCT(($A$2:$A$644=A68)*(ROW($A$2:$A$644)&gt;=ROW())*(ROW($A$2:$A$644)&lt;ROW()+2)*$C$2:$C$644),"")</f>
        <v>132</v>
      </c>
      <c r="I68" s="0" t="n">
        <f aca="false">IF(H68="","",ROUNDUP(H68/75,0))</f>
        <v>2</v>
      </c>
      <c r="J68" s="0" t="n">
        <f aca="false">IF(MOD(F68-1,3)=0,SUMPRODUCT(($A$2:$A$644=A68)*(ROW($A$2:$A$644)&gt;=ROW())*(ROW($A$2:$A$644)&lt;ROW()+3)*$C$2:$C$644),"")</f>
        <v>228</v>
      </c>
      <c r="K68" s="0" t="n">
        <f aca="false">IF(J68="","",ROUNDUP(J68/75,0))</f>
        <v>4</v>
      </c>
      <c r="L68" s="0" t="str">
        <f aca="false">IF(MOD(F68-1,5)=0,SUMPRODUCT(($A$2:$A$644=A68)*(ROW($A$2:$A$644)&gt;=ROW())*(ROW($A$2:$A$644)&lt;ROW()+5)*$C$2:$C$644),"")</f>
        <v/>
      </c>
      <c r="M68" s="0" t="str">
        <f aca="false">IF(L68="","",ROUNDUP(L68/75,0))</f>
        <v/>
      </c>
      <c r="N68" s="0" t="str">
        <f aca="false">IF(MOD(F68-1,7)=0,SUMPRODUCT(($A$2:$A$644=A68)*(ROW($A$2:$A$644)&gt;=ROW())*(ROW($A$2:$A$644)&lt;ROW()+7)*$C$2:$C$644),"")</f>
        <v/>
      </c>
      <c r="O68" s="0" t="str">
        <f aca="false">IF(N68="","",ROUNDUP(N68/75,0))</f>
        <v/>
      </c>
    </row>
    <row r="69" customFormat="false" ht="15" hidden="false" customHeight="false" outlineLevel="0" collapsed="false">
      <c r="A69" s="0" t="s">
        <v>33</v>
      </c>
      <c r="B69" s="0" t="s">
        <v>101</v>
      </c>
      <c r="C69" s="0" t="n">
        <v>66</v>
      </c>
      <c r="D69" s="0" t="n">
        <v>1</v>
      </c>
      <c r="E69" s="0" t="n">
        <v>9</v>
      </c>
      <c r="F69" s="0" t="n">
        <f aca="false">COUNTIF($A$2:A69,A69)</f>
        <v>68</v>
      </c>
      <c r="G69" s="0" t="n">
        <f aca="false">ROUNDUP(C69*1.236/75,0)</f>
        <v>2</v>
      </c>
      <c r="H69" s="0" t="str">
        <f aca="false">IF(MOD(F69-1,2)=0,SUMPRODUCT(($A$2:$A$644=A69)*(ROW($A$2:$A$644)&gt;=ROW())*(ROW($A$2:$A$644)&lt;ROW()+2)*$C$2:$C$644),"")</f>
        <v/>
      </c>
      <c r="I69" s="0" t="str">
        <f aca="false">IF(H69="","",ROUNDUP(H69/75,0))</f>
        <v/>
      </c>
      <c r="J69" s="0" t="str">
        <f aca="false">IF(MOD(F69-1,3)=0,SUMPRODUCT(($A$2:$A$644=A69)*(ROW($A$2:$A$644)&gt;=ROW())*(ROW($A$2:$A$644)&lt;ROW()+3)*$C$2:$C$644),"")</f>
        <v/>
      </c>
      <c r="K69" s="0" t="str">
        <f aca="false">IF(J69="","",ROUNDUP(J69/75,0))</f>
        <v/>
      </c>
      <c r="L69" s="0" t="str">
        <f aca="false">IF(MOD(F69-1,5)=0,SUMPRODUCT(($A$2:$A$644=A69)*(ROW($A$2:$A$644)&gt;=ROW())*(ROW($A$2:$A$644)&lt;ROW()+5)*$C$2:$C$644),"")</f>
        <v/>
      </c>
      <c r="M69" s="0" t="str">
        <f aca="false">IF(L69="","",ROUNDUP(L69/75,0))</f>
        <v/>
      </c>
      <c r="N69" s="0" t="str">
        <f aca="false">IF(MOD(F69-1,7)=0,SUMPRODUCT(($A$2:$A$644=A69)*(ROW($A$2:$A$644)&gt;=ROW())*(ROW($A$2:$A$644)&lt;ROW()+7)*$C$2:$C$644),"")</f>
        <v/>
      </c>
      <c r="O69" s="0" t="str">
        <f aca="false">IF(N69="","",ROUNDUP(N69/75,0))</f>
        <v/>
      </c>
    </row>
    <row r="70" customFormat="false" ht="15" hidden="false" customHeight="false" outlineLevel="0" collapsed="false">
      <c r="A70" s="0" t="s">
        <v>33</v>
      </c>
      <c r="B70" s="0" t="s">
        <v>102</v>
      </c>
      <c r="C70" s="0" t="n">
        <v>96</v>
      </c>
      <c r="D70" s="0" t="n">
        <v>2</v>
      </c>
      <c r="E70" s="0" t="n">
        <v>54</v>
      </c>
      <c r="F70" s="0" t="n">
        <f aca="false">COUNTIF($A$2:A70,A70)</f>
        <v>69</v>
      </c>
      <c r="G70" s="0" t="n">
        <f aca="false">ROUNDUP(C70*1.236/75,0)</f>
        <v>2</v>
      </c>
      <c r="H70" s="0" t="n">
        <f aca="false">IF(MOD(F70-1,2)=0,SUMPRODUCT(($A$2:$A$644=A70)*(ROW($A$2:$A$644)&gt;=ROW())*(ROW($A$2:$A$644)&lt;ROW()+2)*$C$2:$C$644),"")</f>
        <v>198</v>
      </c>
      <c r="I70" s="0" t="n">
        <f aca="false">IF(H70="","",ROUNDUP(H70/75,0))</f>
        <v>3</v>
      </c>
      <c r="J70" s="0" t="str">
        <f aca="false">IF(MOD(F70-1,3)=0,SUMPRODUCT(($A$2:$A$644=A70)*(ROW($A$2:$A$644)&gt;=ROW())*(ROW($A$2:$A$644)&lt;ROW()+3)*$C$2:$C$644),"")</f>
        <v/>
      </c>
      <c r="K70" s="0" t="str">
        <f aca="false">IF(J70="","",ROUNDUP(J70/75,0))</f>
        <v/>
      </c>
      <c r="L70" s="0" t="str">
        <f aca="false">IF(MOD(F70-1,5)=0,SUMPRODUCT(($A$2:$A$644=A70)*(ROW($A$2:$A$644)&gt;=ROW())*(ROW($A$2:$A$644)&lt;ROW()+5)*$C$2:$C$644),"")</f>
        <v/>
      </c>
      <c r="M70" s="0" t="str">
        <f aca="false">IF(L70="","",ROUNDUP(L70/75,0))</f>
        <v/>
      </c>
      <c r="N70" s="0" t="str">
        <f aca="false">IF(MOD(F70-1,7)=0,SUMPRODUCT(($A$2:$A$644=A70)*(ROW($A$2:$A$644)&gt;=ROW())*(ROW($A$2:$A$644)&lt;ROW()+7)*$C$2:$C$644),"")</f>
        <v/>
      </c>
      <c r="O70" s="0" t="str">
        <f aca="false">IF(N70="","",ROUNDUP(N70/75,0))</f>
        <v/>
      </c>
    </row>
    <row r="71" customFormat="false" ht="15" hidden="false" customHeight="false" outlineLevel="0" collapsed="false">
      <c r="A71" s="0" t="s">
        <v>33</v>
      </c>
      <c r="B71" s="0" t="s">
        <v>103</v>
      </c>
      <c r="C71" s="0" t="n">
        <v>102</v>
      </c>
      <c r="D71" s="0" t="n">
        <v>2</v>
      </c>
      <c r="E71" s="0" t="n">
        <v>48</v>
      </c>
      <c r="F71" s="0" t="n">
        <f aca="false">COUNTIF($A$2:A71,A71)</f>
        <v>70</v>
      </c>
      <c r="G71" s="0" t="n">
        <f aca="false">ROUNDUP(C71*1.236/75,0)</f>
        <v>2</v>
      </c>
      <c r="H71" s="0" t="str">
        <f aca="false">IF(MOD(F71-1,2)=0,SUMPRODUCT(($A$2:$A$644=A71)*(ROW($A$2:$A$644)&gt;=ROW())*(ROW($A$2:$A$644)&lt;ROW()+2)*$C$2:$C$644),"")</f>
        <v/>
      </c>
      <c r="I71" s="0" t="str">
        <f aca="false">IF(H71="","",ROUNDUP(H71/75,0))</f>
        <v/>
      </c>
      <c r="J71" s="0" t="n">
        <f aca="false">IF(MOD(F71-1,3)=0,SUMPRODUCT(($A$2:$A$644=A71)*(ROW($A$2:$A$644)&gt;=ROW())*(ROW($A$2:$A$644)&lt;ROW()+3)*$C$2:$C$644),"")</f>
        <v>168</v>
      </c>
      <c r="K71" s="0" t="n">
        <f aca="false">IF(J71="","",ROUNDUP(J71/75,0))</f>
        <v>3</v>
      </c>
      <c r="L71" s="0" t="str">
        <f aca="false">IF(MOD(F71-1,5)=0,SUMPRODUCT(($A$2:$A$644=A71)*(ROW($A$2:$A$644)&gt;=ROW())*(ROW($A$2:$A$644)&lt;ROW()+5)*$C$2:$C$644),"")</f>
        <v/>
      </c>
      <c r="M71" s="0" t="str">
        <f aca="false">IF(L71="","",ROUNDUP(L71/75,0))</f>
        <v/>
      </c>
      <c r="N71" s="0" t="str">
        <f aca="false">IF(MOD(F71-1,7)=0,SUMPRODUCT(($A$2:$A$644=A71)*(ROW($A$2:$A$644)&gt;=ROW())*(ROW($A$2:$A$644)&lt;ROW()+7)*$C$2:$C$644),"")</f>
        <v/>
      </c>
      <c r="O71" s="0" t="str">
        <f aca="false">IF(N71="","",ROUNDUP(N71/75,0))</f>
        <v/>
      </c>
    </row>
    <row r="72" customFormat="false" ht="15" hidden="false" customHeight="false" outlineLevel="0" collapsed="false">
      <c r="A72" s="0" t="s">
        <v>33</v>
      </c>
      <c r="B72" s="0" t="s">
        <v>104</v>
      </c>
      <c r="C72" s="0" t="n">
        <v>48</v>
      </c>
      <c r="D72" s="0" t="n">
        <v>1</v>
      </c>
      <c r="E72" s="0" t="n">
        <v>27</v>
      </c>
      <c r="F72" s="0" t="n">
        <f aca="false">COUNTIF($A$2:A72,A72)</f>
        <v>71</v>
      </c>
      <c r="G72" s="0" t="n">
        <f aca="false">ROUNDUP(C72*1.236/75,0)</f>
        <v>1</v>
      </c>
      <c r="H72" s="0" t="n">
        <f aca="false">IF(MOD(F72-1,2)=0,SUMPRODUCT(($A$2:$A$644=A72)*(ROW($A$2:$A$644)&gt;=ROW())*(ROW($A$2:$A$644)&lt;ROW()+2)*$C$2:$C$644),"")</f>
        <v>66</v>
      </c>
      <c r="I72" s="0" t="n">
        <f aca="false">IF(H72="","",ROUNDUP(H72/75,0))</f>
        <v>1</v>
      </c>
      <c r="J72" s="0" t="str">
        <f aca="false">IF(MOD(F72-1,3)=0,SUMPRODUCT(($A$2:$A$644=A72)*(ROW($A$2:$A$644)&gt;=ROW())*(ROW($A$2:$A$644)&lt;ROW()+3)*$C$2:$C$644),"")</f>
        <v/>
      </c>
      <c r="K72" s="0" t="str">
        <f aca="false">IF(J72="","",ROUNDUP(J72/75,0))</f>
        <v/>
      </c>
      <c r="L72" s="0" t="n">
        <f aca="false">IF(MOD(F72-1,5)=0,SUMPRODUCT(($A$2:$A$644=A72)*(ROW($A$2:$A$644)&gt;=ROW())*(ROW($A$2:$A$644)&lt;ROW()+5)*$C$2:$C$644),"")</f>
        <v>186</v>
      </c>
      <c r="M72" s="0" t="n">
        <f aca="false">IF(L72="","",ROUNDUP(L72/75,0))</f>
        <v>3</v>
      </c>
      <c r="N72" s="0" t="n">
        <f aca="false">IF(MOD(F72-1,7)=0,SUMPRODUCT(($A$2:$A$644=A72)*(ROW($A$2:$A$644)&gt;=ROW())*(ROW($A$2:$A$644)&lt;ROW()+7)*$C$2:$C$644),"")</f>
        <v>402</v>
      </c>
      <c r="O72" s="0" t="n">
        <f aca="false">IF(N72="","",ROUNDUP(N72/75,0))</f>
        <v>6</v>
      </c>
    </row>
    <row r="73" customFormat="false" ht="15" hidden="false" customHeight="false" outlineLevel="0" collapsed="false">
      <c r="A73" s="0" t="s">
        <v>33</v>
      </c>
      <c r="B73" s="0" t="s">
        <v>105</v>
      </c>
      <c r="C73" s="0" t="n">
        <v>18</v>
      </c>
      <c r="D73" s="0" t="n">
        <v>1</v>
      </c>
      <c r="E73" s="0" t="n">
        <v>57</v>
      </c>
      <c r="F73" s="0" t="n">
        <f aca="false">COUNTIF($A$2:A73,A73)</f>
        <v>72</v>
      </c>
      <c r="G73" s="0" t="n">
        <f aca="false">ROUNDUP(C73*1.236/75,0)</f>
        <v>1</v>
      </c>
      <c r="H73" s="0" t="str">
        <f aca="false">IF(MOD(F73-1,2)=0,SUMPRODUCT(($A$2:$A$644=A73)*(ROW($A$2:$A$644)&gt;=ROW())*(ROW($A$2:$A$644)&lt;ROW()+2)*$C$2:$C$644),"")</f>
        <v/>
      </c>
      <c r="I73" s="0" t="str">
        <f aca="false">IF(H73="","",ROUNDUP(H73/75,0))</f>
        <v/>
      </c>
      <c r="J73" s="0" t="str">
        <f aca="false">IF(MOD(F73-1,3)=0,SUMPRODUCT(($A$2:$A$644=A73)*(ROW($A$2:$A$644)&gt;=ROW())*(ROW($A$2:$A$644)&lt;ROW()+3)*$C$2:$C$644),"")</f>
        <v/>
      </c>
      <c r="K73" s="0" t="str">
        <f aca="false">IF(J73="","",ROUNDUP(J73/75,0))</f>
        <v/>
      </c>
      <c r="L73" s="0" t="str">
        <f aca="false">IF(MOD(F73-1,5)=0,SUMPRODUCT(($A$2:$A$644=A73)*(ROW($A$2:$A$644)&gt;=ROW())*(ROW($A$2:$A$644)&lt;ROW()+5)*$C$2:$C$644),"")</f>
        <v/>
      </c>
      <c r="M73" s="0" t="str">
        <f aca="false">IF(L73="","",ROUNDUP(L73/75,0))</f>
        <v/>
      </c>
      <c r="N73" s="0" t="str">
        <f aca="false">IF(MOD(F73-1,7)=0,SUMPRODUCT(($A$2:$A$644=A73)*(ROW($A$2:$A$644)&gt;=ROW())*(ROW($A$2:$A$644)&lt;ROW()+7)*$C$2:$C$644),"")</f>
        <v/>
      </c>
      <c r="O73" s="0" t="str">
        <f aca="false">IF(N73="","",ROUNDUP(N73/75,0))</f>
        <v/>
      </c>
    </row>
    <row r="74" customFormat="false" ht="15" hidden="false" customHeight="false" outlineLevel="0" collapsed="false">
      <c r="A74" s="0" t="s">
        <v>33</v>
      </c>
      <c r="B74" s="0" t="s">
        <v>106</v>
      </c>
      <c r="C74" s="0" t="n">
        <v>30</v>
      </c>
      <c r="D74" s="0" t="n">
        <v>1</v>
      </c>
      <c r="E74" s="0" t="n">
        <v>45</v>
      </c>
      <c r="F74" s="0" t="n">
        <f aca="false">COUNTIF($A$2:A74,A74)</f>
        <v>73</v>
      </c>
      <c r="G74" s="0" t="n">
        <f aca="false">ROUNDUP(C74*1.236/75,0)</f>
        <v>1</v>
      </c>
      <c r="H74" s="0" t="n">
        <f aca="false">IF(MOD(F74-1,2)=0,SUMPRODUCT(($A$2:$A$644=A74)*(ROW($A$2:$A$644)&gt;=ROW())*(ROW($A$2:$A$644)&lt;ROW()+2)*$C$2:$C$644),"")</f>
        <v>60</v>
      </c>
      <c r="I74" s="0" t="n">
        <f aca="false">IF(H74="","",ROUNDUP(H74/75,0))</f>
        <v>1</v>
      </c>
      <c r="J74" s="0" t="n">
        <f aca="false">IF(MOD(F74-1,3)=0,SUMPRODUCT(($A$2:$A$644=A74)*(ROW($A$2:$A$644)&gt;=ROW())*(ROW($A$2:$A$644)&lt;ROW()+3)*$C$2:$C$644),"")</f>
        <v>120</v>
      </c>
      <c r="K74" s="0" t="n">
        <f aca="false">IF(J74="","",ROUNDUP(J74/75,0))</f>
        <v>2</v>
      </c>
      <c r="L74" s="0" t="str">
        <f aca="false">IF(MOD(F74-1,5)=0,SUMPRODUCT(($A$2:$A$644=A74)*(ROW($A$2:$A$644)&gt;=ROW())*(ROW($A$2:$A$644)&lt;ROW()+5)*$C$2:$C$644),"")</f>
        <v/>
      </c>
      <c r="M74" s="0" t="str">
        <f aca="false">IF(L74="","",ROUNDUP(L74/75,0))</f>
        <v/>
      </c>
      <c r="N74" s="0" t="str">
        <f aca="false">IF(MOD(F74-1,7)=0,SUMPRODUCT(($A$2:$A$644=A74)*(ROW($A$2:$A$644)&gt;=ROW())*(ROW($A$2:$A$644)&lt;ROW()+7)*$C$2:$C$644),"")</f>
        <v/>
      </c>
      <c r="O74" s="0" t="str">
        <f aca="false">IF(N74="","",ROUNDUP(N74/75,0))</f>
        <v/>
      </c>
    </row>
    <row r="75" customFormat="false" ht="15" hidden="false" customHeight="false" outlineLevel="0" collapsed="false">
      <c r="A75" s="0" t="s">
        <v>33</v>
      </c>
      <c r="B75" s="0" t="s">
        <v>107</v>
      </c>
      <c r="C75" s="0" t="n">
        <v>30</v>
      </c>
      <c r="D75" s="0" t="n">
        <v>1</v>
      </c>
      <c r="E75" s="0" t="n">
        <v>45</v>
      </c>
      <c r="F75" s="0" t="n">
        <f aca="false">COUNTIF($A$2:A75,A75)</f>
        <v>74</v>
      </c>
      <c r="G75" s="0" t="n">
        <f aca="false">ROUNDUP(C75*1.236/75,0)</f>
        <v>1</v>
      </c>
      <c r="H75" s="0" t="str">
        <f aca="false">IF(MOD(F75-1,2)=0,SUMPRODUCT(($A$2:$A$644=A75)*(ROW($A$2:$A$644)&gt;=ROW())*(ROW($A$2:$A$644)&lt;ROW()+2)*$C$2:$C$644),"")</f>
        <v/>
      </c>
      <c r="I75" s="0" t="str">
        <f aca="false">IF(H75="","",ROUNDUP(H75/75,0))</f>
        <v/>
      </c>
      <c r="J75" s="0" t="str">
        <f aca="false">IF(MOD(F75-1,3)=0,SUMPRODUCT(($A$2:$A$644=A75)*(ROW($A$2:$A$644)&gt;=ROW())*(ROW($A$2:$A$644)&lt;ROW()+3)*$C$2:$C$644),"")</f>
        <v/>
      </c>
      <c r="K75" s="0" t="str">
        <f aca="false">IF(J75="","",ROUNDUP(J75/75,0))</f>
        <v/>
      </c>
      <c r="L75" s="0" t="str">
        <f aca="false">IF(MOD(F75-1,5)=0,SUMPRODUCT(($A$2:$A$644=A75)*(ROW($A$2:$A$644)&gt;=ROW())*(ROW($A$2:$A$644)&lt;ROW()+5)*$C$2:$C$644),"")</f>
        <v/>
      </c>
      <c r="M75" s="0" t="str">
        <f aca="false">IF(L75="","",ROUNDUP(L75/75,0))</f>
        <v/>
      </c>
      <c r="N75" s="0" t="str">
        <f aca="false">IF(MOD(F75-1,7)=0,SUMPRODUCT(($A$2:$A$644=A75)*(ROW($A$2:$A$644)&gt;=ROW())*(ROW($A$2:$A$644)&lt;ROW()+7)*$C$2:$C$644),"")</f>
        <v/>
      </c>
      <c r="O75" s="0" t="str">
        <f aca="false">IF(N75="","",ROUNDUP(N75/75,0))</f>
        <v/>
      </c>
    </row>
    <row r="76" customFormat="false" ht="15" hidden="false" customHeight="false" outlineLevel="0" collapsed="false">
      <c r="A76" s="0" t="s">
        <v>33</v>
      </c>
      <c r="B76" s="0" t="s">
        <v>108</v>
      </c>
      <c r="C76" s="0" t="n">
        <v>60</v>
      </c>
      <c r="D76" s="0" t="n">
        <v>1</v>
      </c>
      <c r="E76" s="0" t="n">
        <v>15</v>
      </c>
      <c r="F76" s="0" t="n">
        <f aca="false">COUNTIF($A$2:A76,A76)</f>
        <v>75</v>
      </c>
      <c r="G76" s="0" t="n">
        <f aca="false">ROUNDUP(C76*1.236/75,0)</f>
        <v>1</v>
      </c>
      <c r="H76" s="0" t="n">
        <f aca="false">IF(MOD(F76-1,2)=0,SUMPRODUCT(($A$2:$A$644=A76)*(ROW($A$2:$A$644)&gt;=ROW())*(ROW($A$2:$A$644)&lt;ROW()+2)*$C$2:$C$644),"")</f>
        <v>186</v>
      </c>
      <c r="I76" s="0" t="n">
        <f aca="false">IF(H76="","",ROUNDUP(H76/75,0))</f>
        <v>3</v>
      </c>
      <c r="J76" s="0" t="str">
        <f aca="false">IF(MOD(F76-1,3)=0,SUMPRODUCT(($A$2:$A$644=A76)*(ROW($A$2:$A$644)&gt;=ROW())*(ROW($A$2:$A$644)&lt;ROW()+3)*$C$2:$C$644),"")</f>
        <v/>
      </c>
      <c r="K76" s="0" t="str">
        <f aca="false">IF(J76="","",ROUNDUP(J76/75,0))</f>
        <v/>
      </c>
      <c r="L76" s="0" t="str">
        <f aca="false">IF(MOD(F76-1,5)=0,SUMPRODUCT(($A$2:$A$644=A76)*(ROW($A$2:$A$644)&gt;=ROW())*(ROW($A$2:$A$644)&lt;ROW()+5)*$C$2:$C$644),"")</f>
        <v/>
      </c>
      <c r="M76" s="0" t="str">
        <f aca="false">IF(L76="","",ROUNDUP(L76/75,0))</f>
        <v/>
      </c>
      <c r="N76" s="0" t="str">
        <f aca="false">IF(MOD(F76-1,7)=0,SUMPRODUCT(($A$2:$A$644=A76)*(ROW($A$2:$A$644)&gt;=ROW())*(ROW($A$2:$A$644)&lt;ROW()+7)*$C$2:$C$644),"")</f>
        <v/>
      </c>
      <c r="O76" s="0" t="str">
        <f aca="false">IF(N76="","",ROUNDUP(N76/75,0))</f>
        <v/>
      </c>
    </row>
    <row r="77" customFormat="false" ht="15" hidden="false" customHeight="false" outlineLevel="0" collapsed="false">
      <c r="A77" s="0" t="s">
        <v>33</v>
      </c>
      <c r="B77" s="0" t="s">
        <v>109</v>
      </c>
      <c r="C77" s="0" t="n">
        <v>126</v>
      </c>
      <c r="D77" s="0" t="n">
        <v>2</v>
      </c>
      <c r="E77" s="0" t="n">
        <v>24</v>
      </c>
      <c r="F77" s="0" t="n">
        <f aca="false">COUNTIF($A$2:A77,A77)</f>
        <v>76</v>
      </c>
      <c r="G77" s="0" t="n">
        <f aca="false">ROUNDUP(C77*1.236/75,0)</f>
        <v>3</v>
      </c>
      <c r="H77" s="0" t="str">
        <f aca="false">IF(MOD(F77-1,2)=0,SUMPRODUCT(($A$2:$A$644=A77)*(ROW($A$2:$A$644)&gt;=ROW())*(ROW($A$2:$A$644)&lt;ROW()+2)*$C$2:$C$644),"")</f>
        <v/>
      </c>
      <c r="I77" s="0" t="str">
        <f aca="false">IF(H77="","",ROUNDUP(H77/75,0))</f>
        <v/>
      </c>
      <c r="J77" s="0" t="n">
        <f aca="false">IF(MOD(F77-1,3)=0,SUMPRODUCT(($A$2:$A$644=A77)*(ROW($A$2:$A$644)&gt;=ROW())*(ROW($A$2:$A$644)&lt;ROW()+3)*$C$2:$C$644),"")</f>
        <v>312</v>
      </c>
      <c r="K77" s="0" t="n">
        <f aca="false">IF(J77="","",ROUNDUP(J77/75,0))</f>
        <v>5</v>
      </c>
      <c r="L77" s="0" t="n">
        <f aca="false">IF(MOD(F77-1,5)=0,SUMPRODUCT(($A$2:$A$644=A77)*(ROW($A$2:$A$644)&gt;=ROW())*(ROW($A$2:$A$644)&lt;ROW()+5)*$C$2:$C$644),"")</f>
        <v>468</v>
      </c>
      <c r="M77" s="0" t="n">
        <f aca="false">IF(L77="","",ROUNDUP(L77/75,0))</f>
        <v>7</v>
      </c>
      <c r="N77" s="0" t="str">
        <f aca="false">IF(MOD(F77-1,7)=0,SUMPRODUCT(($A$2:$A$644=A77)*(ROW($A$2:$A$644)&gt;=ROW())*(ROW($A$2:$A$644)&lt;ROW()+7)*$C$2:$C$644),"")</f>
        <v/>
      </c>
      <c r="O77" s="0" t="str">
        <f aca="false">IF(N77="","",ROUNDUP(N77/75,0))</f>
        <v/>
      </c>
    </row>
    <row r="78" customFormat="false" ht="15" hidden="false" customHeight="false" outlineLevel="0" collapsed="false">
      <c r="A78" s="0" t="s">
        <v>33</v>
      </c>
      <c r="B78" s="0" t="s">
        <v>110</v>
      </c>
      <c r="C78" s="0" t="n">
        <v>90</v>
      </c>
      <c r="D78" s="0" t="n">
        <v>2</v>
      </c>
      <c r="E78" s="0" t="n">
        <v>60</v>
      </c>
      <c r="F78" s="0" t="n">
        <f aca="false">COUNTIF($A$2:A78,A78)</f>
        <v>77</v>
      </c>
      <c r="G78" s="0" t="n">
        <f aca="false">ROUNDUP(C78*1.236/75,0)</f>
        <v>2</v>
      </c>
      <c r="H78" s="0" t="n">
        <f aca="false">IF(MOD(F78-1,2)=0,SUMPRODUCT(($A$2:$A$644=A78)*(ROW($A$2:$A$644)&gt;=ROW())*(ROW($A$2:$A$644)&lt;ROW()+2)*$C$2:$C$644),"")</f>
        <v>186</v>
      </c>
      <c r="I78" s="0" t="n">
        <f aca="false">IF(H78="","",ROUNDUP(H78/75,0))</f>
        <v>3</v>
      </c>
      <c r="J78" s="0" t="str">
        <f aca="false">IF(MOD(F78-1,3)=0,SUMPRODUCT(($A$2:$A$644=A78)*(ROW($A$2:$A$644)&gt;=ROW())*(ROW($A$2:$A$644)&lt;ROW()+3)*$C$2:$C$644),"")</f>
        <v/>
      </c>
      <c r="K78" s="0" t="str">
        <f aca="false">IF(J78="","",ROUNDUP(J78/75,0))</f>
        <v/>
      </c>
      <c r="L78" s="0" t="str">
        <f aca="false">IF(MOD(F78-1,5)=0,SUMPRODUCT(($A$2:$A$644=A78)*(ROW($A$2:$A$644)&gt;=ROW())*(ROW($A$2:$A$644)&lt;ROW()+5)*$C$2:$C$644),"")</f>
        <v/>
      </c>
      <c r="M78" s="0" t="str">
        <f aca="false">IF(L78="","",ROUNDUP(L78/75,0))</f>
        <v/>
      </c>
      <c r="N78" s="0" t="str">
        <f aca="false">IF(MOD(F78-1,7)=0,SUMPRODUCT(($A$2:$A$644=A78)*(ROW($A$2:$A$644)&gt;=ROW())*(ROW($A$2:$A$644)&lt;ROW()+7)*$C$2:$C$644),"")</f>
        <v/>
      </c>
      <c r="O78" s="0" t="str">
        <f aca="false">IF(N78="","",ROUNDUP(N78/75,0))</f>
        <v/>
      </c>
    </row>
    <row r="79" customFormat="false" ht="15" hidden="false" customHeight="false" outlineLevel="0" collapsed="false">
      <c r="A79" s="0" t="s">
        <v>33</v>
      </c>
      <c r="B79" s="0" t="s">
        <v>111</v>
      </c>
      <c r="C79" s="0" t="n">
        <v>96</v>
      </c>
      <c r="D79" s="0" t="n">
        <v>2</v>
      </c>
      <c r="E79" s="0" t="n">
        <v>54</v>
      </c>
      <c r="F79" s="0" t="n">
        <f aca="false">COUNTIF($A$2:A79,A79)</f>
        <v>78</v>
      </c>
      <c r="G79" s="0" t="n">
        <f aca="false">ROUNDUP(C79*1.236/75,0)</f>
        <v>2</v>
      </c>
      <c r="H79" s="0" t="str">
        <f aca="false">IF(MOD(F79-1,2)=0,SUMPRODUCT(($A$2:$A$644=A79)*(ROW($A$2:$A$644)&gt;=ROW())*(ROW($A$2:$A$644)&lt;ROW()+2)*$C$2:$C$644),"")</f>
        <v/>
      </c>
      <c r="I79" s="0" t="str">
        <f aca="false">IF(H79="","",ROUNDUP(H79/75,0))</f>
        <v/>
      </c>
      <c r="J79" s="0" t="str">
        <f aca="false">IF(MOD(F79-1,3)=0,SUMPRODUCT(($A$2:$A$644=A79)*(ROW($A$2:$A$644)&gt;=ROW())*(ROW($A$2:$A$644)&lt;ROW()+3)*$C$2:$C$644),"")</f>
        <v/>
      </c>
      <c r="K79" s="0" t="str">
        <f aca="false">IF(J79="","",ROUNDUP(J79/75,0))</f>
        <v/>
      </c>
      <c r="L79" s="0" t="str">
        <f aca="false">IF(MOD(F79-1,5)=0,SUMPRODUCT(($A$2:$A$644=A79)*(ROW($A$2:$A$644)&gt;=ROW())*(ROW($A$2:$A$644)&lt;ROW()+5)*$C$2:$C$644),"")</f>
        <v/>
      </c>
      <c r="M79" s="0" t="str">
        <f aca="false">IF(L79="","",ROUNDUP(L79/75,0))</f>
        <v/>
      </c>
      <c r="N79" s="0" t="n">
        <f aca="false">IF(MOD(F79-1,7)=0,SUMPRODUCT(($A$2:$A$644=A79)*(ROW($A$2:$A$644)&gt;=ROW())*(ROW($A$2:$A$644)&lt;ROW()+7)*$C$2:$C$644),"")</f>
        <v>546</v>
      </c>
      <c r="O79" s="0" t="n">
        <f aca="false">IF(N79="","",ROUNDUP(N79/75,0))</f>
        <v>8</v>
      </c>
    </row>
    <row r="80" customFormat="false" ht="15" hidden="false" customHeight="false" outlineLevel="0" collapsed="false">
      <c r="A80" s="0" t="s">
        <v>33</v>
      </c>
      <c r="B80" s="0" t="s">
        <v>112</v>
      </c>
      <c r="C80" s="0" t="n">
        <v>54</v>
      </c>
      <c r="D80" s="0" t="n">
        <v>1</v>
      </c>
      <c r="E80" s="0" t="n">
        <v>21</v>
      </c>
      <c r="F80" s="0" t="n">
        <f aca="false">COUNTIF($A$2:A80,A80)</f>
        <v>79</v>
      </c>
      <c r="G80" s="0" t="n">
        <f aca="false">ROUNDUP(C80*1.236/75,0)</f>
        <v>1</v>
      </c>
      <c r="H80" s="0" t="n">
        <f aca="false">IF(MOD(F80-1,2)=0,SUMPRODUCT(($A$2:$A$644=A80)*(ROW($A$2:$A$644)&gt;=ROW())*(ROW($A$2:$A$644)&lt;ROW()+2)*$C$2:$C$644),"")</f>
        <v>156</v>
      </c>
      <c r="I80" s="0" t="n">
        <f aca="false">IF(H80="","",ROUNDUP(H80/75,0))</f>
        <v>3</v>
      </c>
      <c r="J80" s="0" t="n">
        <f aca="false">IF(MOD(F80-1,3)=0,SUMPRODUCT(($A$2:$A$644=A80)*(ROW($A$2:$A$644)&gt;=ROW())*(ROW($A$2:$A$644)&lt;ROW()+3)*$C$2:$C$644),"")</f>
        <v>240</v>
      </c>
      <c r="K80" s="0" t="n">
        <f aca="false">IF(J80="","",ROUNDUP(J80/75,0))</f>
        <v>4</v>
      </c>
      <c r="L80" s="0" t="str">
        <f aca="false">IF(MOD(F80-1,5)=0,SUMPRODUCT(($A$2:$A$644=A80)*(ROW($A$2:$A$644)&gt;=ROW())*(ROW($A$2:$A$644)&lt;ROW()+5)*$C$2:$C$644),"")</f>
        <v/>
      </c>
      <c r="M80" s="0" t="str">
        <f aca="false">IF(L80="","",ROUNDUP(L80/75,0))</f>
        <v/>
      </c>
      <c r="N80" s="0" t="str">
        <f aca="false">IF(MOD(F80-1,7)=0,SUMPRODUCT(($A$2:$A$644=A80)*(ROW($A$2:$A$644)&gt;=ROW())*(ROW($A$2:$A$644)&lt;ROW()+7)*$C$2:$C$644),"")</f>
        <v/>
      </c>
      <c r="O80" s="0" t="str">
        <f aca="false">IF(N80="","",ROUNDUP(N80/75,0))</f>
        <v/>
      </c>
    </row>
    <row r="81" customFormat="false" ht="15" hidden="false" customHeight="false" outlineLevel="0" collapsed="false">
      <c r="A81" s="0" t="s">
        <v>33</v>
      </c>
      <c r="B81" s="0" t="s">
        <v>113</v>
      </c>
      <c r="C81" s="0" t="n">
        <v>102</v>
      </c>
      <c r="D81" s="0" t="n">
        <v>2</v>
      </c>
      <c r="E81" s="0" t="n">
        <v>48</v>
      </c>
      <c r="F81" s="0" t="n">
        <f aca="false">COUNTIF($A$2:A81,A81)</f>
        <v>80</v>
      </c>
      <c r="G81" s="0" t="n">
        <f aca="false">ROUNDUP(C81*1.236/75,0)</f>
        <v>2</v>
      </c>
      <c r="H81" s="0" t="str">
        <f aca="false">IF(MOD(F81-1,2)=0,SUMPRODUCT(($A$2:$A$644=A81)*(ROW($A$2:$A$644)&gt;=ROW())*(ROW($A$2:$A$644)&lt;ROW()+2)*$C$2:$C$644),"")</f>
        <v/>
      </c>
      <c r="I81" s="0" t="str">
        <f aca="false">IF(H81="","",ROUNDUP(H81/75,0))</f>
        <v/>
      </c>
      <c r="J81" s="0" t="str">
        <f aca="false">IF(MOD(F81-1,3)=0,SUMPRODUCT(($A$2:$A$644=A81)*(ROW($A$2:$A$644)&gt;=ROW())*(ROW($A$2:$A$644)&lt;ROW()+3)*$C$2:$C$644),"")</f>
        <v/>
      </c>
      <c r="K81" s="0" t="str">
        <f aca="false">IF(J81="","",ROUNDUP(J81/75,0))</f>
        <v/>
      </c>
      <c r="L81" s="0" t="str">
        <f aca="false">IF(MOD(F81-1,5)=0,SUMPRODUCT(($A$2:$A$644=A81)*(ROW($A$2:$A$644)&gt;=ROW())*(ROW($A$2:$A$644)&lt;ROW()+5)*$C$2:$C$644),"")</f>
        <v/>
      </c>
      <c r="M81" s="0" t="str">
        <f aca="false">IF(L81="","",ROUNDUP(L81/75,0))</f>
        <v/>
      </c>
      <c r="N81" s="0" t="str">
        <f aca="false">IF(MOD(F81-1,7)=0,SUMPRODUCT(($A$2:$A$644=A81)*(ROW($A$2:$A$644)&gt;=ROW())*(ROW($A$2:$A$644)&lt;ROW()+7)*$C$2:$C$644),"")</f>
        <v/>
      </c>
      <c r="O81" s="0" t="str">
        <f aca="false">IF(N81="","",ROUNDUP(N81/75,0))</f>
        <v/>
      </c>
    </row>
    <row r="82" customFormat="false" ht="15" hidden="false" customHeight="false" outlineLevel="0" collapsed="false">
      <c r="A82" s="0" t="s">
        <v>33</v>
      </c>
      <c r="B82" s="0" t="s">
        <v>114</v>
      </c>
      <c r="C82" s="0" t="n">
        <v>84</v>
      </c>
      <c r="D82" s="0" t="n">
        <v>2</v>
      </c>
      <c r="E82" s="0" t="n">
        <v>66</v>
      </c>
      <c r="F82" s="0" t="n">
        <f aca="false">COUNTIF($A$2:A82,A82)</f>
        <v>81</v>
      </c>
      <c r="G82" s="0" t="n">
        <f aca="false">ROUNDUP(C82*1.236/75,0)</f>
        <v>2</v>
      </c>
      <c r="H82" s="0" t="n">
        <f aca="false">IF(MOD(F82-1,2)=0,SUMPRODUCT(($A$2:$A$644=A82)*(ROW($A$2:$A$644)&gt;=ROW())*(ROW($A$2:$A$644)&lt;ROW()+2)*$C$2:$C$644),"")</f>
        <v>114</v>
      </c>
      <c r="I82" s="0" t="n">
        <f aca="false">IF(H82="","",ROUNDUP(H82/75,0))</f>
        <v>2</v>
      </c>
      <c r="J82" s="0" t="str">
        <f aca="false">IF(MOD(F82-1,3)=0,SUMPRODUCT(($A$2:$A$644=A82)*(ROW($A$2:$A$644)&gt;=ROW())*(ROW($A$2:$A$644)&lt;ROW()+3)*$C$2:$C$644),"")</f>
        <v/>
      </c>
      <c r="K82" s="0" t="str">
        <f aca="false">IF(J82="","",ROUNDUP(J82/75,0))</f>
        <v/>
      </c>
      <c r="L82" s="0" t="n">
        <f aca="false">IF(MOD(F82-1,5)=0,SUMPRODUCT(($A$2:$A$644=A82)*(ROW($A$2:$A$644)&gt;=ROW())*(ROW($A$2:$A$644)&lt;ROW()+5)*$C$2:$C$644),"")</f>
        <v>342</v>
      </c>
      <c r="M82" s="0" t="n">
        <f aca="false">IF(L82="","",ROUNDUP(L82/75,0))</f>
        <v>5</v>
      </c>
      <c r="N82" s="0" t="str">
        <f aca="false">IF(MOD(F82-1,7)=0,SUMPRODUCT(($A$2:$A$644=A82)*(ROW($A$2:$A$644)&gt;=ROW())*(ROW($A$2:$A$644)&lt;ROW()+7)*$C$2:$C$644),"")</f>
        <v/>
      </c>
      <c r="O82" s="0" t="str">
        <f aca="false">IF(N82="","",ROUNDUP(N82/75,0))</f>
        <v/>
      </c>
    </row>
    <row r="83" customFormat="false" ht="15" hidden="false" customHeight="false" outlineLevel="0" collapsed="false">
      <c r="A83" s="0" t="s">
        <v>33</v>
      </c>
      <c r="B83" s="0" t="s">
        <v>115</v>
      </c>
      <c r="C83" s="0" t="n">
        <v>30</v>
      </c>
      <c r="D83" s="0" t="n">
        <v>1</v>
      </c>
      <c r="E83" s="0" t="n">
        <v>45</v>
      </c>
      <c r="F83" s="0" t="n">
        <f aca="false">COUNTIF($A$2:A83,A83)</f>
        <v>82</v>
      </c>
      <c r="G83" s="0" t="n">
        <f aca="false">ROUNDUP(C83*1.236/75,0)</f>
        <v>1</v>
      </c>
      <c r="H83" s="0" t="str">
        <f aca="false">IF(MOD(F83-1,2)=0,SUMPRODUCT(($A$2:$A$644=A83)*(ROW($A$2:$A$644)&gt;=ROW())*(ROW($A$2:$A$644)&lt;ROW()+2)*$C$2:$C$644),"")</f>
        <v/>
      </c>
      <c r="I83" s="0" t="str">
        <f aca="false">IF(H83="","",ROUNDUP(H83/75,0))</f>
        <v/>
      </c>
      <c r="J83" s="0" t="n">
        <f aca="false">IF(MOD(F83-1,3)=0,SUMPRODUCT(($A$2:$A$644=A83)*(ROW($A$2:$A$644)&gt;=ROW())*(ROW($A$2:$A$644)&lt;ROW()+3)*$C$2:$C$644),"")</f>
        <v>210</v>
      </c>
      <c r="K83" s="0" t="n">
        <f aca="false">IF(J83="","",ROUNDUP(J83/75,0))</f>
        <v>3</v>
      </c>
      <c r="L83" s="0" t="str">
        <f aca="false">IF(MOD(F83-1,5)=0,SUMPRODUCT(($A$2:$A$644=A83)*(ROW($A$2:$A$644)&gt;=ROW())*(ROW($A$2:$A$644)&lt;ROW()+5)*$C$2:$C$644),"")</f>
        <v/>
      </c>
      <c r="M83" s="0" t="str">
        <f aca="false">IF(L83="","",ROUNDUP(L83/75,0))</f>
        <v/>
      </c>
      <c r="N83" s="0" t="str">
        <f aca="false">IF(MOD(F83-1,7)=0,SUMPRODUCT(($A$2:$A$644=A83)*(ROW($A$2:$A$644)&gt;=ROW())*(ROW($A$2:$A$644)&lt;ROW()+7)*$C$2:$C$644),"")</f>
        <v/>
      </c>
      <c r="O83" s="0" t="str">
        <f aca="false">IF(N83="","",ROUNDUP(N83/75,0))</f>
        <v/>
      </c>
    </row>
    <row r="84" customFormat="false" ht="15" hidden="false" customHeight="false" outlineLevel="0" collapsed="false">
      <c r="A84" s="0" t="s">
        <v>33</v>
      </c>
      <c r="B84" s="0" t="s">
        <v>116</v>
      </c>
      <c r="C84" s="0" t="n">
        <v>108</v>
      </c>
      <c r="D84" s="0" t="n">
        <v>2</v>
      </c>
      <c r="E84" s="0" t="n">
        <v>42</v>
      </c>
      <c r="F84" s="0" t="n">
        <f aca="false">COUNTIF($A$2:A84,A84)</f>
        <v>83</v>
      </c>
      <c r="G84" s="0" t="n">
        <f aca="false">ROUNDUP(C84*1.236/75,0)</f>
        <v>2</v>
      </c>
      <c r="H84" s="0" t="n">
        <f aca="false">IF(MOD(F84-1,2)=0,SUMPRODUCT(($A$2:$A$644=A84)*(ROW($A$2:$A$644)&gt;=ROW())*(ROW($A$2:$A$644)&lt;ROW()+2)*$C$2:$C$644),"")</f>
        <v>180</v>
      </c>
      <c r="I84" s="0" t="n">
        <f aca="false">IF(H84="","",ROUNDUP(H84/75,0))</f>
        <v>3</v>
      </c>
      <c r="J84" s="0" t="str">
        <f aca="false">IF(MOD(F84-1,3)=0,SUMPRODUCT(($A$2:$A$644=A84)*(ROW($A$2:$A$644)&gt;=ROW())*(ROW($A$2:$A$644)&lt;ROW()+3)*$C$2:$C$644),"")</f>
        <v/>
      </c>
      <c r="K84" s="0" t="str">
        <f aca="false">IF(J84="","",ROUNDUP(J84/75,0))</f>
        <v/>
      </c>
      <c r="L84" s="0" t="str">
        <f aca="false">IF(MOD(F84-1,5)=0,SUMPRODUCT(($A$2:$A$644=A84)*(ROW($A$2:$A$644)&gt;=ROW())*(ROW($A$2:$A$644)&lt;ROW()+5)*$C$2:$C$644),"")</f>
        <v/>
      </c>
      <c r="M84" s="0" t="str">
        <f aca="false">IF(L84="","",ROUNDUP(L84/75,0))</f>
        <v/>
      </c>
      <c r="N84" s="0" t="str">
        <f aca="false">IF(MOD(F84-1,7)=0,SUMPRODUCT(($A$2:$A$644=A84)*(ROW($A$2:$A$644)&gt;=ROW())*(ROW($A$2:$A$644)&lt;ROW()+7)*$C$2:$C$644),"")</f>
        <v/>
      </c>
      <c r="O84" s="0" t="str">
        <f aca="false">IF(N84="","",ROUNDUP(N84/75,0))</f>
        <v/>
      </c>
    </row>
    <row r="85" customFormat="false" ht="15" hidden="false" customHeight="false" outlineLevel="0" collapsed="false">
      <c r="A85" s="0" t="s">
        <v>33</v>
      </c>
      <c r="B85" s="0" t="s">
        <v>117</v>
      </c>
      <c r="C85" s="0" t="n">
        <v>72</v>
      </c>
      <c r="D85" s="0" t="n">
        <v>1</v>
      </c>
      <c r="E85" s="0" t="n">
        <v>3</v>
      </c>
      <c r="F85" s="0" t="n">
        <f aca="false">COUNTIF($A$2:A85,A85)</f>
        <v>84</v>
      </c>
      <c r="G85" s="0" t="n">
        <f aca="false">ROUNDUP(C85*1.236/75,0)</f>
        <v>2</v>
      </c>
      <c r="H85" s="0" t="str">
        <f aca="false">IF(MOD(F85-1,2)=0,SUMPRODUCT(($A$2:$A$644=A85)*(ROW($A$2:$A$644)&gt;=ROW())*(ROW($A$2:$A$644)&lt;ROW()+2)*$C$2:$C$644),"")</f>
        <v/>
      </c>
      <c r="I85" s="0" t="str">
        <f aca="false">IF(H85="","",ROUNDUP(H85/75,0))</f>
        <v/>
      </c>
      <c r="J85" s="0" t="str">
        <f aca="false">IF(MOD(F85-1,3)=0,SUMPRODUCT(($A$2:$A$644=A85)*(ROW($A$2:$A$644)&gt;=ROW())*(ROW($A$2:$A$644)&lt;ROW()+3)*$C$2:$C$644),"")</f>
        <v/>
      </c>
      <c r="K85" s="0" t="str">
        <f aca="false">IF(J85="","",ROUNDUP(J85/75,0))</f>
        <v/>
      </c>
      <c r="L85" s="0" t="str">
        <f aca="false">IF(MOD(F85-1,5)=0,SUMPRODUCT(($A$2:$A$644=A85)*(ROW($A$2:$A$644)&gt;=ROW())*(ROW($A$2:$A$644)&lt;ROW()+5)*$C$2:$C$644),"")</f>
        <v/>
      </c>
      <c r="M85" s="0" t="str">
        <f aca="false">IF(L85="","",ROUNDUP(L85/75,0))</f>
        <v/>
      </c>
      <c r="N85" s="0" t="str">
        <f aca="false">IF(MOD(F85-1,7)=0,SUMPRODUCT(($A$2:$A$644=A85)*(ROW($A$2:$A$644)&gt;=ROW())*(ROW($A$2:$A$644)&lt;ROW()+7)*$C$2:$C$644),"")</f>
        <v/>
      </c>
      <c r="O85" s="0" t="str">
        <f aca="false">IF(N85="","",ROUNDUP(N85/75,0))</f>
        <v/>
      </c>
    </row>
    <row r="86" customFormat="false" ht="15" hidden="false" customHeight="false" outlineLevel="0" collapsed="false">
      <c r="A86" s="0" t="s">
        <v>33</v>
      </c>
      <c r="B86" s="0" t="s">
        <v>118</v>
      </c>
      <c r="C86" s="0" t="n">
        <v>48</v>
      </c>
      <c r="D86" s="0" t="n">
        <v>1</v>
      </c>
      <c r="E86" s="0" t="n">
        <v>27</v>
      </c>
      <c r="F86" s="0" t="n">
        <f aca="false">COUNTIF($A$2:A86,A86)</f>
        <v>85</v>
      </c>
      <c r="G86" s="0" t="n">
        <f aca="false">ROUNDUP(C86*1.236/75,0)</f>
        <v>1</v>
      </c>
      <c r="H86" s="0" t="n">
        <f aca="false">IF(MOD(F86-1,2)=0,SUMPRODUCT(($A$2:$A$644=A86)*(ROW($A$2:$A$644)&gt;=ROW())*(ROW($A$2:$A$644)&lt;ROW()+2)*$C$2:$C$644),"")</f>
        <v>78</v>
      </c>
      <c r="I86" s="0" t="n">
        <f aca="false">IF(H86="","",ROUNDUP(H86/75,0))</f>
        <v>2</v>
      </c>
      <c r="J86" s="0" t="n">
        <f aca="false">IF(MOD(F86-1,3)=0,SUMPRODUCT(($A$2:$A$644=A86)*(ROW($A$2:$A$644)&gt;=ROW())*(ROW($A$2:$A$644)&lt;ROW()+3)*$C$2:$C$644),"")</f>
        <v>162</v>
      </c>
      <c r="K86" s="0" t="n">
        <f aca="false">IF(J86="","",ROUNDUP(J86/75,0))</f>
        <v>3</v>
      </c>
      <c r="L86" s="0" t="str">
        <f aca="false">IF(MOD(F86-1,5)=0,SUMPRODUCT(($A$2:$A$644=A86)*(ROW($A$2:$A$644)&gt;=ROW())*(ROW($A$2:$A$644)&lt;ROW()+5)*$C$2:$C$644),"")</f>
        <v/>
      </c>
      <c r="M86" s="0" t="str">
        <f aca="false">IF(L86="","",ROUNDUP(L86/75,0))</f>
        <v/>
      </c>
      <c r="N86" s="0" t="n">
        <f aca="false">IF(MOD(F86-1,7)=0,SUMPRODUCT(($A$2:$A$644=A86)*(ROW($A$2:$A$644)&gt;=ROW())*(ROW($A$2:$A$644)&lt;ROW()+7)*$C$2:$C$644),"")</f>
        <v>528</v>
      </c>
      <c r="O86" s="0" t="n">
        <f aca="false">IF(N86="","",ROUNDUP(N86/75,0))</f>
        <v>8</v>
      </c>
    </row>
    <row r="87" customFormat="false" ht="15" hidden="false" customHeight="false" outlineLevel="0" collapsed="false">
      <c r="A87" s="0" t="s">
        <v>33</v>
      </c>
      <c r="B87" s="0" t="s">
        <v>119</v>
      </c>
      <c r="C87" s="0" t="n">
        <v>30</v>
      </c>
      <c r="D87" s="0" t="n">
        <v>1</v>
      </c>
      <c r="E87" s="0" t="n">
        <v>45</v>
      </c>
      <c r="F87" s="0" t="n">
        <f aca="false">COUNTIF($A$2:A87,A87)</f>
        <v>86</v>
      </c>
      <c r="G87" s="0" t="n">
        <f aca="false">ROUNDUP(C87*1.236/75,0)</f>
        <v>1</v>
      </c>
      <c r="H87" s="0" t="str">
        <f aca="false">IF(MOD(F87-1,2)=0,SUMPRODUCT(($A$2:$A$644=A87)*(ROW($A$2:$A$644)&gt;=ROW())*(ROW($A$2:$A$644)&lt;ROW()+2)*$C$2:$C$644),"")</f>
        <v/>
      </c>
      <c r="I87" s="0" t="str">
        <f aca="false">IF(H87="","",ROUNDUP(H87/75,0))</f>
        <v/>
      </c>
      <c r="J87" s="0" t="str">
        <f aca="false">IF(MOD(F87-1,3)=0,SUMPRODUCT(($A$2:$A$644=A87)*(ROW($A$2:$A$644)&gt;=ROW())*(ROW($A$2:$A$644)&lt;ROW()+3)*$C$2:$C$644),"")</f>
        <v/>
      </c>
      <c r="K87" s="0" t="str">
        <f aca="false">IF(J87="","",ROUNDUP(J87/75,0))</f>
        <v/>
      </c>
      <c r="L87" s="0" t="n">
        <f aca="false">IF(MOD(F87-1,5)=0,SUMPRODUCT(($A$2:$A$644=A87)*(ROW($A$2:$A$644)&gt;=ROW())*(ROW($A$2:$A$644)&lt;ROW()+5)*$C$2:$C$644),"")</f>
        <v>354</v>
      </c>
      <c r="M87" s="0" t="n">
        <f aca="false">IF(L87="","",ROUNDUP(L87/75,0))</f>
        <v>5</v>
      </c>
      <c r="N87" s="0" t="str">
        <f aca="false">IF(MOD(F87-1,7)=0,SUMPRODUCT(($A$2:$A$644=A87)*(ROW($A$2:$A$644)&gt;=ROW())*(ROW($A$2:$A$644)&lt;ROW()+7)*$C$2:$C$644),"")</f>
        <v/>
      </c>
      <c r="O87" s="0" t="str">
        <f aca="false">IF(N87="","",ROUNDUP(N87/75,0))</f>
        <v/>
      </c>
    </row>
    <row r="88" customFormat="false" ht="15" hidden="false" customHeight="false" outlineLevel="0" collapsed="false">
      <c r="A88" s="0" t="s">
        <v>33</v>
      </c>
      <c r="B88" s="0" t="s">
        <v>120</v>
      </c>
      <c r="C88" s="0" t="n">
        <v>84</v>
      </c>
      <c r="D88" s="0" t="n">
        <v>2</v>
      </c>
      <c r="E88" s="0" t="n">
        <v>66</v>
      </c>
      <c r="F88" s="0" t="n">
        <f aca="false">COUNTIF($A$2:A88,A88)</f>
        <v>87</v>
      </c>
      <c r="G88" s="0" t="n">
        <f aca="false">ROUNDUP(C88*1.236/75,0)</f>
        <v>2</v>
      </c>
      <c r="H88" s="0" t="n">
        <f aca="false">IF(MOD(F88-1,2)=0,SUMPRODUCT(($A$2:$A$644=A88)*(ROW($A$2:$A$644)&gt;=ROW())*(ROW($A$2:$A$644)&lt;ROW()+2)*$C$2:$C$644),"")</f>
        <v>180</v>
      </c>
      <c r="I88" s="0" t="n">
        <f aca="false">IF(H88="","",ROUNDUP(H88/75,0))</f>
        <v>3</v>
      </c>
      <c r="J88" s="0" t="str">
        <f aca="false">IF(MOD(F88-1,3)=0,SUMPRODUCT(($A$2:$A$644=A88)*(ROW($A$2:$A$644)&gt;=ROW())*(ROW($A$2:$A$644)&lt;ROW()+3)*$C$2:$C$644),"")</f>
        <v/>
      </c>
      <c r="K88" s="0" t="str">
        <f aca="false">IF(J88="","",ROUNDUP(J88/75,0))</f>
        <v/>
      </c>
      <c r="L88" s="0" t="str">
        <f aca="false">IF(MOD(F88-1,5)=0,SUMPRODUCT(($A$2:$A$644=A88)*(ROW($A$2:$A$644)&gt;=ROW())*(ROW($A$2:$A$644)&lt;ROW()+5)*$C$2:$C$644),"")</f>
        <v/>
      </c>
      <c r="M88" s="0" t="str">
        <f aca="false">IF(L88="","",ROUNDUP(L88/75,0))</f>
        <v/>
      </c>
      <c r="N88" s="0" t="str">
        <f aca="false">IF(MOD(F88-1,7)=0,SUMPRODUCT(($A$2:$A$644=A88)*(ROW($A$2:$A$644)&gt;=ROW())*(ROW($A$2:$A$644)&lt;ROW()+7)*$C$2:$C$644),"")</f>
        <v/>
      </c>
      <c r="O88" s="0" t="str">
        <f aca="false">IF(N88="","",ROUNDUP(N88/75,0))</f>
        <v/>
      </c>
    </row>
    <row r="89" customFormat="false" ht="15" hidden="false" customHeight="false" outlineLevel="0" collapsed="false">
      <c r="A89" s="0" t="s">
        <v>33</v>
      </c>
      <c r="B89" s="0" t="s">
        <v>121</v>
      </c>
      <c r="C89" s="0" t="n">
        <v>96</v>
      </c>
      <c r="D89" s="0" t="n">
        <v>2</v>
      </c>
      <c r="E89" s="0" t="n">
        <v>54</v>
      </c>
      <c r="F89" s="0" t="n">
        <f aca="false">COUNTIF($A$2:A89,A89)</f>
        <v>88</v>
      </c>
      <c r="G89" s="0" t="n">
        <f aca="false">ROUNDUP(C89*1.236/75,0)</f>
        <v>2</v>
      </c>
      <c r="H89" s="0" t="str">
        <f aca="false">IF(MOD(F89-1,2)=0,SUMPRODUCT(($A$2:$A$644=A89)*(ROW($A$2:$A$644)&gt;=ROW())*(ROW($A$2:$A$644)&lt;ROW()+2)*$C$2:$C$644),"")</f>
        <v/>
      </c>
      <c r="I89" s="0" t="str">
        <f aca="false">IF(H89="","",ROUNDUP(H89/75,0))</f>
        <v/>
      </c>
      <c r="J89" s="0" t="n">
        <f aca="false">IF(MOD(F89-1,3)=0,SUMPRODUCT(($A$2:$A$644=A89)*(ROW($A$2:$A$644)&gt;=ROW())*(ROW($A$2:$A$644)&lt;ROW()+3)*$C$2:$C$644),"")</f>
        <v>240</v>
      </c>
      <c r="K89" s="0" t="n">
        <f aca="false">IF(J89="","",ROUNDUP(J89/75,0))</f>
        <v>4</v>
      </c>
      <c r="L89" s="0" t="str">
        <f aca="false">IF(MOD(F89-1,5)=0,SUMPRODUCT(($A$2:$A$644=A89)*(ROW($A$2:$A$644)&gt;=ROW())*(ROW($A$2:$A$644)&lt;ROW()+5)*$C$2:$C$644),"")</f>
        <v/>
      </c>
      <c r="M89" s="0" t="str">
        <f aca="false">IF(L89="","",ROUNDUP(L89/75,0))</f>
        <v/>
      </c>
      <c r="N89" s="0" t="str">
        <f aca="false">IF(MOD(F89-1,7)=0,SUMPRODUCT(($A$2:$A$644=A89)*(ROW($A$2:$A$644)&gt;=ROW())*(ROW($A$2:$A$644)&lt;ROW()+7)*$C$2:$C$644),"")</f>
        <v/>
      </c>
      <c r="O89" s="0" t="str">
        <f aca="false">IF(N89="","",ROUNDUP(N89/75,0))</f>
        <v/>
      </c>
    </row>
    <row r="90" customFormat="false" ht="15" hidden="false" customHeight="false" outlineLevel="0" collapsed="false">
      <c r="A90" s="0" t="s">
        <v>33</v>
      </c>
      <c r="B90" s="0" t="s">
        <v>122</v>
      </c>
      <c r="C90" s="0" t="n">
        <v>120</v>
      </c>
      <c r="D90" s="0" t="n">
        <v>2</v>
      </c>
      <c r="E90" s="0" t="n">
        <v>30</v>
      </c>
      <c r="F90" s="0" t="n">
        <f aca="false">COUNTIF($A$2:A90,A90)</f>
        <v>89</v>
      </c>
      <c r="G90" s="0" t="n">
        <f aca="false">ROUNDUP(C90*1.236/75,0)</f>
        <v>2</v>
      </c>
      <c r="H90" s="0" t="n">
        <f aca="false">IF(MOD(F90-1,2)=0,SUMPRODUCT(($A$2:$A$644=A90)*(ROW($A$2:$A$644)&gt;=ROW())*(ROW($A$2:$A$644)&lt;ROW()+2)*$C$2:$C$644),"")</f>
        <v>144</v>
      </c>
      <c r="I90" s="0" t="n">
        <f aca="false">IF(H90="","",ROUNDUP(H90/75,0))</f>
        <v>2</v>
      </c>
      <c r="J90" s="0" t="str">
        <f aca="false">IF(MOD(F90-1,3)=0,SUMPRODUCT(($A$2:$A$644=A90)*(ROW($A$2:$A$644)&gt;=ROW())*(ROW($A$2:$A$644)&lt;ROW()+3)*$C$2:$C$644),"")</f>
        <v/>
      </c>
      <c r="K90" s="0" t="str">
        <f aca="false">IF(J90="","",ROUNDUP(J90/75,0))</f>
        <v/>
      </c>
      <c r="L90" s="0" t="str">
        <f aca="false">IF(MOD(F90-1,5)=0,SUMPRODUCT(($A$2:$A$644=A90)*(ROW($A$2:$A$644)&gt;=ROW())*(ROW($A$2:$A$644)&lt;ROW()+5)*$C$2:$C$644),"")</f>
        <v/>
      </c>
      <c r="M90" s="0" t="str">
        <f aca="false">IF(L90="","",ROUNDUP(L90/75,0))</f>
        <v/>
      </c>
      <c r="N90" s="0" t="str">
        <f aca="false">IF(MOD(F90-1,7)=0,SUMPRODUCT(($A$2:$A$644=A90)*(ROW($A$2:$A$644)&gt;=ROW())*(ROW($A$2:$A$644)&lt;ROW()+7)*$C$2:$C$644),"")</f>
        <v/>
      </c>
      <c r="O90" s="0" t="str">
        <f aca="false">IF(N90="","",ROUNDUP(N90/75,0))</f>
        <v/>
      </c>
    </row>
    <row r="91" customFormat="false" ht="15" hidden="false" customHeight="false" outlineLevel="0" collapsed="false">
      <c r="A91" s="0" t="s">
        <v>33</v>
      </c>
      <c r="B91" s="0" t="s">
        <v>123</v>
      </c>
      <c r="C91" s="0" t="n">
        <v>24</v>
      </c>
      <c r="D91" s="0" t="n">
        <v>1</v>
      </c>
      <c r="E91" s="0" t="n">
        <v>51</v>
      </c>
      <c r="F91" s="0" t="n">
        <f aca="false">COUNTIF($A$2:A91,A91)</f>
        <v>90</v>
      </c>
      <c r="G91" s="0" t="n">
        <f aca="false">ROUNDUP(C91*1.236/75,0)</f>
        <v>1</v>
      </c>
      <c r="H91" s="0" t="str">
        <f aca="false">IF(MOD(F91-1,2)=0,SUMPRODUCT(($A$2:$A$644=A91)*(ROW($A$2:$A$644)&gt;=ROW())*(ROW($A$2:$A$644)&lt;ROW()+2)*$C$2:$C$644),"")</f>
        <v/>
      </c>
      <c r="I91" s="0" t="str">
        <f aca="false">IF(H91="","",ROUNDUP(H91/75,0))</f>
        <v/>
      </c>
      <c r="J91" s="0" t="str">
        <f aca="false">IF(MOD(F91-1,3)=0,SUMPRODUCT(($A$2:$A$644=A91)*(ROW($A$2:$A$644)&gt;=ROW())*(ROW($A$2:$A$644)&lt;ROW()+3)*$C$2:$C$644),"")</f>
        <v/>
      </c>
      <c r="K91" s="0" t="str">
        <f aca="false">IF(J91="","",ROUNDUP(J91/75,0))</f>
        <v/>
      </c>
      <c r="L91" s="0" t="str">
        <f aca="false">IF(MOD(F91-1,5)=0,SUMPRODUCT(($A$2:$A$644=A91)*(ROW($A$2:$A$644)&gt;=ROW())*(ROW($A$2:$A$644)&lt;ROW()+5)*$C$2:$C$644),"")</f>
        <v/>
      </c>
      <c r="M91" s="0" t="str">
        <f aca="false">IF(L91="","",ROUNDUP(L91/75,0))</f>
        <v/>
      </c>
      <c r="N91" s="0" t="str">
        <f aca="false">IF(MOD(F91-1,7)=0,SUMPRODUCT(($A$2:$A$644=A91)*(ROW($A$2:$A$644)&gt;=ROW())*(ROW($A$2:$A$644)&lt;ROW()+7)*$C$2:$C$644),"")</f>
        <v/>
      </c>
      <c r="O91" s="0" t="str">
        <f aca="false">IF(N91="","",ROUNDUP(N91/75,0))</f>
        <v/>
      </c>
    </row>
    <row r="92" customFormat="false" ht="15" hidden="false" customHeight="false" outlineLevel="0" collapsed="false">
      <c r="A92" s="0" t="s">
        <v>33</v>
      </c>
      <c r="B92" s="0" t="s">
        <v>124</v>
      </c>
      <c r="C92" s="0" t="n">
        <v>126</v>
      </c>
      <c r="D92" s="0" t="n">
        <v>2</v>
      </c>
      <c r="E92" s="0" t="n">
        <v>24</v>
      </c>
      <c r="F92" s="0" t="n">
        <f aca="false">COUNTIF($A$2:A92,A92)</f>
        <v>91</v>
      </c>
      <c r="G92" s="0" t="n">
        <f aca="false">ROUNDUP(C92*1.236/75,0)</f>
        <v>3</v>
      </c>
      <c r="H92" s="0" t="n">
        <f aca="false">IF(MOD(F92-1,2)=0,SUMPRODUCT(($A$2:$A$644=A92)*(ROW($A$2:$A$644)&gt;=ROW())*(ROW($A$2:$A$644)&lt;ROW()+2)*$C$2:$C$644),"")</f>
        <v>186</v>
      </c>
      <c r="I92" s="0" t="n">
        <f aca="false">IF(H92="","",ROUNDUP(H92/75,0))</f>
        <v>3</v>
      </c>
      <c r="J92" s="0" t="n">
        <f aca="false">IF(MOD(F92-1,3)=0,SUMPRODUCT(($A$2:$A$644=A92)*(ROW($A$2:$A$644)&gt;=ROW())*(ROW($A$2:$A$644)&lt;ROW()+3)*$C$2:$C$644),"")</f>
        <v>240</v>
      </c>
      <c r="K92" s="0" t="n">
        <f aca="false">IF(J92="","",ROUNDUP(J92/75,0))</f>
        <v>4</v>
      </c>
      <c r="L92" s="0" t="n">
        <f aca="false">IF(MOD(F92-1,5)=0,SUMPRODUCT(($A$2:$A$644=A92)*(ROW($A$2:$A$644)&gt;=ROW())*(ROW($A$2:$A$644)&lt;ROW()+5)*$C$2:$C$644),"")</f>
        <v>372</v>
      </c>
      <c r="M92" s="0" t="n">
        <f aca="false">IF(L92="","",ROUNDUP(L92/75,0))</f>
        <v>5</v>
      </c>
      <c r="N92" s="0" t="str">
        <f aca="false">IF(MOD(F92-1,7)=0,SUMPRODUCT(($A$2:$A$644=A92)*(ROW($A$2:$A$644)&gt;=ROW())*(ROW($A$2:$A$644)&lt;ROW()+7)*$C$2:$C$644),"")</f>
        <v/>
      </c>
      <c r="O92" s="0" t="str">
        <f aca="false">IF(N92="","",ROUNDUP(N92/75,0))</f>
        <v/>
      </c>
    </row>
    <row r="93" customFormat="false" ht="15" hidden="false" customHeight="false" outlineLevel="0" collapsed="false">
      <c r="A93" s="0" t="s">
        <v>33</v>
      </c>
      <c r="B93" s="0" t="s">
        <v>125</v>
      </c>
      <c r="C93" s="0" t="n">
        <v>60</v>
      </c>
      <c r="D93" s="0" t="n">
        <v>1</v>
      </c>
      <c r="E93" s="0" t="n">
        <v>15</v>
      </c>
      <c r="F93" s="0" t="n">
        <f aca="false">COUNTIF($A$2:A93,A93)</f>
        <v>92</v>
      </c>
      <c r="G93" s="0" t="n">
        <f aca="false">ROUNDUP(C93*1.236/75,0)</f>
        <v>1</v>
      </c>
      <c r="H93" s="0" t="str">
        <f aca="false">IF(MOD(F93-1,2)=0,SUMPRODUCT(($A$2:$A$644=A93)*(ROW($A$2:$A$644)&gt;=ROW())*(ROW($A$2:$A$644)&lt;ROW()+2)*$C$2:$C$644),"")</f>
        <v/>
      </c>
      <c r="I93" s="0" t="str">
        <f aca="false">IF(H93="","",ROUNDUP(H93/75,0))</f>
        <v/>
      </c>
      <c r="J93" s="0" t="str">
        <f aca="false">IF(MOD(F93-1,3)=0,SUMPRODUCT(($A$2:$A$644=A93)*(ROW($A$2:$A$644)&gt;=ROW())*(ROW($A$2:$A$644)&lt;ROW()+3)*$C$2:$C$644),"")</f>
        <v/>
      </c>
      <c r="K93" s="0" t="str">
        <f aca="false">IF(J93="","",ROUNDUP(J93/75,0))</f>
        <v/>
      </c>
      <c r="L93" s="0" t="str">
        <f aca="false">IF(MOD(F93-1,5)=0,SUMPRODUCT(($A$2:$A$644=A93)*(ROW($A$2:$A$644)&gt;=ROW())*(ROW($A$2:$A$644)&lt;ROW()+5)*$C$2:$C$644),"")</f>
        <v/>
      </c>
      <c r="M93" s="0" t="str">
        <f aca="false">IF(L93="","",ROUNDUP(L93/75,0))</f>
        <v/>
      </c>
      <c r="N93" s="0" t="n">
        <f aca="false">IF(MOD(F93-1,7)=0,SUMPRODUCT(($A$2:$A$644=A93)*(ROW($A$2:$A$644)&gt;=ROW())*(ROW($A$2:$A$644)&lt;ROW()+7)*$C$2:$C$644),"")</f>
        <v>414</v>
      </c>
      <c r="O93" s="0" t="n">
        <f aca="false">IF(N93="","",ROUNDUP(N93/75,0))</f>
        <v>6</v>
      </c>
    </row>
    <row r="94" customFormat="false" ht="15" hidden="false" customHeight="false" outlineLevel="0" collapsed="false">
      <c r="A94" s="0" t="s">
        <v>33</v>
      </c>
      <c r="B94" s="0" t="s">
        <v>126</v>
      </c>
      <c r="C94" s="0" t="n">
        <v>54</v>
      </c>
      <c r="D94" s="0" t="n">
        <v>1</v>
      </c>
      <c r="E94" s="0" t="n">
        <v>21</v>
      </c>
      <c r="F94" s="0" t="n">
        <f aca="false">COUNTIF($A$2:A94,A94)</f>
        <v>93</v>
      </c>
      <c r="G94" s="0" t="n">
        <f aca="false">ROUNDUP(C94*1.236/75,0)</f>
        <v>1</v>
      </c>
      <c r="H94" s="0" t="n">
        <f aca="false">IF(MOD(F94-1,2)=0,SUMPRODUCT(($A$2:$A$644=A94)*(ROW($A$2:$A$644)&gt;=ROW())*(ROW($A$2:$A$644)&lt;ROW()+2)*$C$2:$C$644),"")</f>
        <v>78</v>
      </c>
      <c r="I94" s="0" t="n">
        <f aca="false">IF(H94="","",ROUNDUP(H94/75,0))</f>
        <v>2</v>
      </c>
      <c r="J94" s="0" t="str">
        <f aca="false">IF(MOD(F94-1,3)=0,SUMPRODUCT(($A$2:$A$644=A94)*(ROW($A$2:$A$644)&gt;=ROW())*(ROW($A$2:$A$644)&lt;ROW()+3)*$C$2:$C$644),"")</f>
        <v/>
      </c>
      <c r="K94" s="0" t="str">
        <f aca="false">IF(J94="","",ROUNDUP(J94/75,0))</f>
        <v/>
      </c>
      <c r="L94" s="0" t="str">
        <f aca="false">IF(MOD(F94-1,5)=0,SUMPRODUCT(($A$2:$A$644=A94)*(ROW($A$2:$A$644)&gt;=ROW())*(ROW($A$2:$A$644)&lt;ROW()+5)*$C$2:$C$644),"")</f>
        <v/>
      </c>
      <c r="M94" s="0" t="str">
        <f aca="false">IF(L94="","",ROUNDUP(L94/75,0))</f>
        <v/>
      </c>
      <c r="N94" s="0" t="str">
        <f aca="false">IF(MOD(F94-1,7)=0,SUMPRODUCT(($A$2:$A$644=A94)*(ROW($A$2:$A$644)&gt;=ROW())*(ROW($A$2:$A$644)&lt;ROW()+7)*$C$2:$C$644),"")</f>
        <v/>
      </c>
      <c r="O94" s="0" t="str">
        <f aca="false">IF(N94="","",ROUNDUP(N94/75,0))</f>
        <v/>
      </c>
    </row>
    <row r="95" customFormat="false" ht="15" hidden="false" customHeight="false" outlineLevel="0" collapsed="false">
      <c r="A95" s="0" t="s">
        <v>33</v>
      </c>
      <c r="B95" s="0" t="s">
        <v>127</v>
      </c>
      <c r="C95" s="0" t="n">
        <v>24</v>
      </c>
      <c r="D95" s="0" t="n">
        <v>1</v>
      </c>
      <c r="E95" s="0" t="n">
        <v>51</v>
      </c>
      <c r="F95" s="0" t="n">
        <f aca="false">COUNTIF($A$2:A95,A95)</f>
        <v>94</v>
      </c>
      <c r="G95" s="0" t="n">
        <f aca="false">ROUNDUP(C95*1.236/75,0)</f>
        <v>1</v>
      </c>
      <c r="H95" s="0" t="str">
        <f aca="false">IF(MOD(F95-1,2)=0,SUMPRODUCT(($A$2:$A$644=A95)*(ROW($A$2:$A$644)&gt;=ROW())*(ROW($A$2:$A$644)&lt;ROW()+2)*$C$2:$C$644),"")</f>
        <v/>
      </c>
      <c r="I95" s="0" t="str">
        <f aca="false">IF(H95="","",ROUNDUP(H95/75,0))</f>
        <v/>
      </c>
      <c r="J95" s="0" t="n">
        <f aca="false">IF(MOD(F95-1,3)=0,SUMPRODUCT(($A$2:$A$644=A95)*(ROW($A$2:$A$644)&gt;=ROW())*(ROW($A$2:$A$644)&lt;ROW()+3)*$C$2:$C$644),"")</f>
        <v>198</v>
      </c>
      <c r="K95" s="0" t="n">
        <f aca="false">IF(J95="","",ROUNDUP(J95/75,0))</f>
        <v>3</v>
      </c>
      <c r="L95" s="0" t="str">
        <f aca="false">IF(MOD(F95-1,5)=0,SUMPRODUCT(($A$2:$A$644=A95)*(ROW($A$2:$A$644)&gt;=ROW())*(ROW($A$2:$A$644)&lt;ROW()+5)*$C$2:$C$644),"")</f>
        <v/>
      </c>
      <c r="M95" s="0" t="str">
        <f aca="false">IF(L95="","",ROUNDUP(L95/75,0))</f>
        <v/>
      </c>
      <c r="N95" s="0" t="str">
        <f aca="false">IF(MOD(F95-1,7)=0,SUMPRODUCT(($A$2:$A$644=A95)*(ROW($A$2:$A$644)&gt;=ROW())*(ROW($A$2:$A$644)&lt;ROW()+7)*$C$2:$C$644),"")</f>
        <v/>
      </c>
      <c r="O95" s="0" t="str">
        <f aca="false">IF(N95="","",ROUNDUP(N95/75,0))</f>
        <v/>
      </c>
    </row>
    <row r="96" customFormat="false" ht="15" hidden="false" customHeight="false" outlineLevel="0" collapsed="false">
      <c r="A96" s="0" t="s">
        <v>33</v>
      </c>
      <c r="B96" s="0" t="s">
        <v>128</v>
      </c>
      <c r="C96" s="0" t="n">
        <v>108</v>
      </c>
      <c r="D96" s="0" t="n">
        <v>2</v>
      </c>
      <c r="E96" s="0" t="n">
        <v>42</v>
      </c>
      <c r="F96" s="0" t="n">
        <f aca="false">COUNTIF($A$2:A96,A96)</f>
        <v>95</v>
      </c>
      <c r="G96" s="0" t="n">
        <f aca="false">ROUNDUP(C96*1.236/75,0)</f>
        <v>2</v>
      </c>
      <c r="H96" s="0" t="n">
        <f aca="false">IF(MOD(F96-1,2)=0,SUMPRODUCT(($A$2:$A$644=A96)*(ROW($A$2:$A$644)&gt;=ROW())*(ROW($A$2:$A$644)&lt;ROW()+2)*$C$2:$C$644),"")</f>
        <v>174</v>
      </c>
      <c r="I96" s="0" t="n">
        <f aca="false">IF(H96="","",ROUNDUP(H96/75,0))</f>
        <v>3</v>
      </c>
      <c r="J96" s="0" t="str">
        <f aca="false">IF(MOD(F96-1,3)=0,SUMPRODUCT(($A$2:$A$644=A96)*(ROW($A$2:$A$644)&gt;=ROW())*(ROW($A$2:$A$644)&lt;ROW()+3)*$C$2:$C$644),"")</f>
        <v/>
      </c>
      <c r="K96" s="0" t="str">
        <f aca="false">IF(J96="","",ROUNDUP(J96/75,0))</f>
        <v/>
      </c>
      <c r="L96" s="0" t="str">
        <f aca="false">IF(MOD(F96-1,5)=0,SUMPRODUCT(($A$2:$A$644=A96)*(ROW($A$2:$A$644)&gt;=ROW())*(ROW($A$2:$A$644)&lt;ROW()+5)*$C$2:$C$644),"")</f>
        <v/>
      </c>
      <c r="M96" s="0" t="str">
        <f aca="false">IF(L96="","",ROUNDUP(L96/75,0))</f>
        <v/>
      </c>
      <c r="N96" s="0" t="str">
        <f aca="false">IF(MOD(F96-1,7)=0,SUMPRODUCT(($A$2:$A$644=A96)*(ROW($A$2:$A$644)&gt;=ROW())*(ROW($A$2:$A$644)&lt;ROW()+7)*$C$2:$C$644),"")</f>
        <v/>
      </c>
      <c r="O96" s="0" t="str">
        <f aca="false">IF(N96="","",ROUNDUP(N96/75,0))</f>
        <v/>
      </c>
    </row>
    <row r="97" customFormat="false" ht="15" hidden="false" customHeight="false" outlineLevel="0" collapsed="false">
      <c r="A97" s="0" t="s">
        <v>33</v>
      </c>
      <c r="B97" s="0" t="s">
        <v>129</v>
      </c>
      <c r="C97" s="0" t="n">
        <v>66</v>
      </c>
      <c r="D97" s="0" t="n">
        <v>1</v>
      </c>
      <c r="E97" s="0" t="n">
        <v>9</v>
      </c>
      <c r="F97" s="0" t="n">
        <f aca="false">COUNTIF($A$2:A97,A97)</f>
        <v>96</v>
      </c>
      <c r="G97" s="0" t="n">
        <f aca="false">ROUNDUP(C97*1.236/75,0)</f>
        <v>2</v>
      </c>
      <c r="H97" s="0" t="str">
        <f aca="false">IF(MOD(F97-1,2)=0,SUMPRODUCT(($A$2:$A$644=A97)*(ROW($A$2:$A$644)&gt;=ROW())*(ROW($A$2:$A$644)&lt;ROW()+2)*$C$2:$C$644),"")</f>
        <v/>
      </c>
      <c r="I97" s="0" t="str">
        <f aca="false">IF(H97="","",ROUNDUP(H97/75,0))</f>
        <v/>
      </c>
      <c r="J97" s="0" t="str">
        <f aca="false">IF(MOD(F97-1,3)=0,SUMPRODUCT(($A$2:$A$644=A97)*(ROW($A$2:$A$644)&gt;=ROW())*(ROW($A$2:$A$644)&lt;ROW()+3)*$C$2:$C$644),"")</f>
        <v/>
      </c>
      <c r="K97" s="0" t="str">
        <f aca="false">IF(J97="","",ROUNDUP(J97/75,0))</f>
        <v/>
      </c>
      <c r="L97" s="0" t="n">
        <f aca="false">IF(MOD(F97-1,5)=0,SUMPRODUCT(($A$2:$A$644=A97)*(ROW($A$2:$A$644)&gt;=ROW())*(ROW($A$2:$A$644)&lt;ROW()+5)*$C$2:$C$644),"")</f>
        <v>354</v>
      </c>
      <c r="M97" s="0" t="n">
        <f aca="false">IF(L97="","",ROUNDUP(L97/75,0))</f>
        <v>5</v>
      </c>
      <c r="N97" s="0" t="str">
        <f aca="false">IF(MOD(F97-1,7)=0,SUMPRODUCT(($A$2:$A$644=A97)*(ROW($A$2:$A$644)&gt;=ROW())*(ROW($A$2:$A$644)&lt;ROW()+7)*$C$2:$C$644),"")</f>
        <v/>
      </c>
      <c r="O97" s="0" t="str">
        <f aca="false">IF(N97="","",ROUNDUP(N97/75,0))</f>
        <v/>
      </c>
    </row>
    <row r="98" customFormat="false" ht="15" hidden="false" customHeight="false" outlineLevel="0" collapsed="false">
      <c r="A98" s="0" t="s">
        <v>33</v>
      </c>
      <c r="B98" s="0" t="s">
        <v>130</v>
      </c>
      <c r="C98" s="0" t="n">
        <v>72</v>
      </c>
      <c r="D98" s="0" t="n">
        <v>1</v>
      </c>
      <c r="E98" s="0" t="n">
        <v>3</v>
      </c>
      <c r="F98" s="0" t="n">
        <f aca="false">COUNTIF($A$2:A98,A98)</f>
        <v>97</v>
      </c>
      <c r="G98" s="0" t="n">
        <f aca="false">ROUNDUP(C98*1.236/75,0)</f>
        <v>2</v>
      </c>
      <c r="H98" s="0" t="n">
        <f aca="false">IF(MOD(F98-1,2)=0,SUMPRODUCT(($A$2:$A$644=A98)*(ROW($A$2:$A$644)&gt;=ROW())*(ROW($A$2:$A$644)&lt;ROW()+2)*$C$2:$C$644),"")</f>
        <v>102</v>
      </c>
      <c r="I98" s="0" t="n">
        <f aca="false">IF(H98="","",ROUNDUP(H98/75,0))</f>
        <v>2</v>
      </c>
      <c r="J98" s="0" t="n">
        <f aca="false">IF(MOD(F98-1,3)=0,SUMPRODUCT(($A$2:$A$644=A98)*(ROW($A$2:$A$644)&gt;=ROW())*(ROW($A$2:$A$644)&lt;ROW()+3)*$C$2:$C$644),"")</f>
        <v>216</v>
      </c>
      <c r="K98" s="0" t="n">
        <f aca="false">IF(J98="","",ROUNDUP(J98/75,0))</f>
        <v>3</v>
      </c>
      <c r="L98" s="0" t="str">
        <f aca="false">IF(MOD(F98-1,5)=0,SUMPRODUCT(($A$2:$A$644=A98)*(ROW($A$2:$A$644)&gt;=ROW())*(ROW($A$2:$A$644)&lt;ROW()+5)*$C$2:$C$644),"")</f>
        <v/>
      </c>
      <c r="M98" s="0" t="str">
        <f aca="false">IF(L98="","",ROUNDUP(L98/75,0))</f>
        <v/>
      </c>
      <c r="N98" s="0" t="str">
        <f aca="false">IF(MOD(F98-1,7)=0,SUMPRODUCT(($A$2:$A$644=A98)*(ROW($A$2:$A$644)&gt;=ROW())*(ROW($A$2:$A$644)&lt;ROW()+7)*$C$2:$C$644),"")</f>
        <v/>
      </c>
      <c r="O98" s="0" t="str">
        <f aca="false">IF(N98="","",ROUNDUP(N98/75,0))</f>
        <v/>
      </c>
    </row>
    <row r="99" customFormat="false" ht="15" hidden="false" customHeight="false" outlineLevel="0" collapsed="false">
      <c r="A99" s="0" t="s">
        <v>33</v>
      </c>
      <c r="B99" s="0" t="s">
        <v>131</v>
      </c>
      <c r="C99" s="0" t="n">
        <v>30</v>
      </c>
      <c r="D99" s="0" t="n">
        <v>1</v>
      </c>
      <c r="E99" s="0" t="n">
        <v>45</v>
      </c>
      <c r="F99" s="0" t="n">
        <f aca="false">COUNTIF($A$2:A99,A99)</f>
        <v>98</v>
      </c>
      <c r="G99" s="0" t="n">
        <f aca="false">ROUNDUP(C99*1.236/75,0)</f>
        <v>1</v>
      </c>
      <c r="H99" s="0" t="str">
        <f aca="false">IF(MOD(F99-1,2)=0,SUMPRODUCT(($A$2:$A$644=A99)*(ROW($A$2:$A$644)&gt;=ROW())*(ROW($A$2:$A$644)&lt;ROW()+2)*$C$2:$C$644),"")</f>
        <v/>
      </c>
      <c r="I99" s="0" t="str">
        <f aca="false">IF(H99="","",ROUNDUP(H99/75,0))</f>
        <v/>
      </c>
      <c r="J99" s="0" t="str">
        <f aca="false">IF(MOD(F99-1,3)=0,SUMPRODUCT(($A$2:$A$644=A99)*(ROW($A$2:$A$644)&gt;=ROW())*(ROW($A$2:$A$644)&lt;ROW()+3)*$C$2:$C$644),"")</f>
        <v/>
      </c>
      <c r="K99" s="0" t="str">
        <f aca="false">IF(J99="","",ROUNDUP(J99/75,0))</f>
        <v/>
      </c>
      <c r="L99" s="0" t="str">
        <f aca="false">IF(MOD(F99-1,5)=0,SUMPRODUCT(($A$2:$A$644=A99)*(ROW($A$2:$A$644)&gt;=ROW())*(ROW($A$2:$A$644)&lt;ROW()+5)*$C$2:$C$644),"")</f>
        <v/>
      </c>
      <c r="M99" s="0" t="str">
        <f aca="false">IF(L99="","",ROUNDUP(L99/75,0))</f>
        <v/>
      </c>
      <c r="N99" s="0" t="str">
        <f aca="false">IF(MOD(F99-1,7)=0,SUMPRODUCT(($A$2:$A$644=A99)*(ROW($A$2:$A$644)&gt;=ROW())*(ROW($A$2:$A$644)&lt;ROW()+7)*$C$2:$C$644),"")</f>
        <v/>
      </c>
      <c r="O99" s="0" t="str">
        <f aca="false">IF(N99="","",ROUNDUP(N99/75,0))</f>
        <v/>
      </c>
    </row>
    <row r="100" customFormat="false" ht="15" hidden="false" customHeight="false" outlineLevel="0" collapsed="false">
      <c r="A100" s="0" t="s">
        <v>33</v>
      </c>
      <c r="B100" s="0" t="s">
        <v>132</v>
      </c>
      <c r="C100" s="0" t="n">
        <v>114</v>
      </c>
      <c r="D100" s="0" t="n">
        <v>2</v>
      </c>
      <c r="E100" s="0" t="n">
        <v>36</v>
      </c>
      <c r="F100" s="0" t="n">
        <f aca="false">COUNTIF($A$2:A100,A100)</f>
        <v>99</v>
      </c>
      <c r="G100" s="0" t="n">
        <f aca="false">ROUNDUP(C100*1.236/75,0)</f>
        <v>2</v>
      </c>
      <c r="H100" s="0" t="n">
        <f aca="false">IF(MOD(F100-1,2)=0,SUMPRODUCT(($A$2:$A$644=A100)*(ROW($A$2:$A$644)&gt;=ROW())*(ROW($A$2:$A$644)&lt;ROW()+2)*$C$2:$C$644),"")</f>
        <v>186</v>
      </c>
      <c r="I100" s="0" t="n">
        <f aca="false">IF(H100="","",ROUNDUP(H100/75,0))</f>
        <v>3</v>
      </c>
      <c r="J100" s="0" t="str">
        <f aca="false">IF(MOD(F100-1,3)=0,SUMPRODUCT(($A$2:$A$644=A100)*(ROW($A$2:$A$644)&gt;=ROW())*(ROW($A$2:$A$644)&lt;ROW()+3)*$C$2:$C$644),"")</f>
        <v/>
      </c>
      <c r="K100" s="0" t="str">
        <f aca="false">IF(J100="","",ROUNDUP(J100/75,0))</f>
        <v/>
      </c>
      <c r="L100" s="0" t="str">
        <f aca="false">IF(MOD(F100-1,5)=0,SUMPRODUCT(($A$2:$A$644=A100)*(ROW($A$2:$A$644)&gt;=ROW())*(ROW($A$2:$A$644)&lt;ROW()+5)*$C$2:$C$644),"")</f>
        <v/>
      </c>
      <c r="M100" s="0" t="str">
        <f aca="false">IF(L100="","",ROUNDUP(L100/75,0))</f>
        <v/>
      </c>
      <c r="N100" s="0" t="n">
        <f aca="false">IF(MOD(F100-1,7)=0,SUMPRODUCT(($A$2:$A$644=A100)*(ROW($A$2:$A$644)&gt;=ROW())*(ROW($A$2:$A$644)&lt;ROW()+7)*$C$2:$C$644),"")</f>
        <v>516</v>
      </c>
      <c r="O100" s="0" t="n">
        <f aca="false">IF(N100="","",ROUNDUP(N100/75,0))</f>
        <v>7</v>
      </c>
    </row>
    <row r="101" customFormat="false" ht="15" hidden="false" customHeight="false" outlineLevel="0" collapsed="false">
      <c r="A101" s="0" t="s">
        <v>33</v>
      </c>
      <c r="B101" s="0" t="s">
        <v>133</v>
      </c>
      <c r="C101" s="0" t="n">
        <v>72</v>
      </c>
      <c r="D101" s="0" t="n">
        <v>1</v>
      </c>
      <c r="E101" s="0" t="n">
        <v>3</v>
      </c>
      <c r="F101" s="0" t="n">
        <f aca="false">COUNTIF($A$2:A101,A101)</f>
        <v>100</v>
      </c>
      <c r="G101" s="0" t="n">
        <f aca="false">ROUNDUP(C101*1.236/75,0)</f>
        <v>2</v>
      </c>
      <c r="H101" s="0" t="str">
        <f aca="false">IF(MOD(F101-1,2)=0,SUMPRODUCT(($A$2:$A$644=A101)*(ROW($A$2:$A$644)&gt;=ROW())*(ROW($A$2:$A$644)&lt;ROW()+2)*$C$2:$C$644),"")</f>
        <v/>
      </c>
      <c r="I101" s="0" t="str">
        <f aca="false">IF(H101="","",ROUNDUP(H101/75,0))</f>
        <v/>
      </c>
      <c r="J101" s="0" t="n">
        <f aca="false">IF(MOD(F101-1,3)=0,SUMPRODUCT(($A$2:$A$644=A101)*(ROW($A$2:$A$644)&gt;=ROW())*(ROW($A$2:$A$644)&lt;ROW()+3)*$C$2:$C$644),"")</f>
        <v>192</v>
      </c>
      <c r="K101" s="0" t="n">
        <f aca="false">IF(J101="","",ROUNDUP(J101/75,0))</f>
        <v>3</v>
      </c>
      <c r="L101" s="0" t="str">
        <f aca="false">IF(MOD(F101-1,5)=0,SUMPRODUCT(($A$2:$A$644=A101)*(ROW($A$2:$A$644)&gt;=ROW())*(ROW($A$2:$A$644)&lt;ROW()+5)*$C$2:$C$644),"")</f>
        <v/>
      </c>
      <c r="M101" s="0" t="str">
        <f aca="false">IF(L101="","",ROUNDUP(L101/75,0))</f>
        <v/>
      </c>
      <c r="N101" s="0" t="str">
        <f aca="false">IF(MOD(F101-1,7)=0,SUMPRODUCT(($A$2:$A$644=A101)*(ROW($A$2:$A$644)&gt;=ROW())*(ROW($A$2:$A$644)&lt;ROW()+7)*$C$2:$C$644),"")</f>
        <v/>
      </c>
      <c r="O101" s="0" t="str">
        <f aca="false">IF(N101="","",ROUNDUP(N101/75,0))</f>
        <v/>
      </c>
    </row>
    <row r="102" customFormat="false" ht="15" hidden="false" customHeight="false" outlineLevel="0" collapsed="false">
      <c r="A102" s="0" t="s">
        <v>33</v>
      </c>
      <c r="B102" s="0" t="s">
        <v>134</v>
      </c>
      <c r="C102" s="0" t="n">
        <v>108</v>
      </c>
      <c r="D102" s="0" t="n">
        <v>2</v>
      </c>
      <c r="E102" s="0" t="n">
        <v>42</v>
      </c>
      <c r="F102" s="0" t="n">
        <f aca="false">COUNTIF($A$2:A102,A102)</f>
        <v>101</v>
      </c>
      <c r="G102" s="0" t="n">
        <f aca="false">ROUNDUP(C102*1.236/75,0)</f>
        <v>2</v>
      </c>
      <c r="H102" s="0" t="n">
        <f aca="false">IF(MOD(F102-1,2)=0,SUMPRODUCT(($A$2:$A$644=A102)*(ROW($A$2:$A$644)&gt;=ROW())*(ROW($A$2:$A$644)&lt;ROW()+2)*$C$2:$C$644),"")</f>
        <v>120</v>
      </c>
      <c r="I102" s="0" t="n">
        <f aca="false">IF(H102="","",ROUNDUP(H102/75,0))</f>
        <v>2</v>
      </c>
      <c r="J102" s="0" t="str">
        <f aca="false">IF(MOD(F102-1,3)=0,SUMPRODUCT(($A$2:$A$644=A102)*(ROW($A$2:$A$644)&gt;=ROW())*(ROW($A$2:$A$644)&lt;ROW()+3)*$C$2:$C$644),"")</f>
        <v/>
      </c>
      <c r="K102" s="0" t="str">
        <f aca="false">IF(J102="","",ROUNDUP(J102/75,0))</f>
        <v/>
      </c>
      <c r="L102" s="0" t="n">
        <f aca="false">IF(MOD(F102-1,5)=0,SUMPRODUCT(($A$2:$A$644=A102)*(ROW($A$2:$A$644)&gt;=ROW())*(ROW($A$2:$A$644)&lt;ROW()+5)*$C$2:$C$644),"")</f>
        <v>330</v>
      </c>
      <c r="M102" s="0" t="n">
        <f aca="false">IF(L102="","",ROUNDUP(L102/75,0))</f>
        <v>5</v>
      </c>
      <c r="N102" s="0" t="str">
        <f aca="false">IF(MOD(F102-1,7)=0,SUMPRODUCT(($A$2:$A$644=A102)*(ROW($A$2:$A$644)&gt;=ROW())*(ROW($A$2:$A$644)&lt;ROW()+7)*$C$2:$C$644),"")</f>
        <v/>
      </c>
      <c r="O102" s="0" t="str">
        <f aca="false">IF(N102="","",ROUNDUP(N102/75,0))</f>
        <v/>
      </c>
    </row>
    <row r="103" customFormat="false" ht="15" hidden="false" customHeight="false" outlineLevel="0" collapsed="false">
      <c r="A103" s="0" t="s">
        <v>33</v>
      </c>
      <c r="B103" s="0" t="s">
        <v>135</v>
      </c>
      <c r="C103" s="0" t="n">
        <v>12</v>
      </c>
      <c r="D103" s="0" t="n">
        <v>1</v>
      </c>
      <c r="E103" s="0" t="n">
        <v>63</v>
      </c>
      <c r="F103" s="0" t="n">
        <f aca="false">COUNTIF($A$2:A103,A103)</f>
        <v>102</v>
      </c>
      <c r="G103" s="0" t="n">
        <f aca="false">ROUNDUP(C103*1.236/75,0)</f>
        <v>1</v>
      </c>
      <c r="H103" s="0" t="str">
        <f aca="false">IF(MOD(F103-1,2)=0,SUMPRODUCT(($A$2:$A$644=A103)*(ROW($A$2:$A$644)&gt;=ROW())*(ROW($A$2:$A$644)&lt;ROW()+2)*$C$2:$C$644),"")</f>
        <v/>
      </c>
      <c r="I103" s="0" t="str">
        <f aca="false">IF(H103="","",ROUNDUP(H103/75,0))</f>
        <v/>
      </c>
      <c r="J103" s="0" t="str">
        <f aca="false">IF(MOD(F103-1,3)=0,SUMPRODUCT(($A$2:$A$644=A103)*(ROW($A$2:$A$644)&gt;=ROW())*(ROW($A$2:$A$644)&lt;ROW()+3)*$C$2:$C$644),"")</f>
        <v/>
      </c>
      <c r="K103" s="0" t="str">
        <f aca="false">IF(J103="","",ROUNDUP(J103/75,0))</f>
        <v/>
      </c>
      <c r="L103" s="0" t="str">
        <f aca="false">IF(MOD(F103-1,5)=0,SUMPRODUCT(($A$2:$A$644=A103)*(ROW($A$2:$A$644)&gt;=ROW())*(ROW($A$2:$A$644)&lt;ROW()+5)*$C$2:$C$644),"")</f>
        <v/>
      </c>
      <c r="M103" s="0" t="str">
        <f aca="false">IF(L103="","",ROUNDUP(L103/75,0))</f>
        <v/>
      </c>
      <c r="N103" s="0" t="str">
        <f aca="false">IF(MOD(F103-1,7)=0,SUMPRODUCT(($A$2:$A$644=A103)*(ROW($A$2:$A$644)&gt;=ROW())*(ROW($A$2:$A$644)&lt;ROW()+7)*$C$2:$C$644),"")</f>
        <v/>
      </c>
      <c r="O103" s="0" t="str">
        <f aca="false">IF(N103="","",ROUNDUP(N103/75,0))</f>
        <v/>
      </c>
    </row>
    <row r="104" customFormat="false" ht="15" hidden="false" customHeight="false" outlineLevel="0" collapsed="false">
      <c r="A104" s="0" t="s">
        <v>33</v>
      </c>
      <c r="B104" s="0" t="s">
        <v>136</v>
      </c>
      <c r="C104" s="0" t="n">
        <v>72</v>
      </c>
      <c r="D104" s="0" t="n">
        <v>1</v>
      </c>
      <c r="E104" s="0" t="n">
        <v>3</v>
      </c>
      <c r="F104" s="0" t="n">
        <f aca="false">COUNTIF($A$2:A104,A104)</f>
        <v>103</v>
      </c>
      <c r="G104" s="0" t="n">
        <f aca="false">ROUNDUP(C104*1.236/75,0)</f>
        <v>2</v>
      </c>
      <c r="H104" s="0" t="n">
        <f aca="false">IF(MOD(F104-1,2)=0,SUMPRODUCT(($A$2:$A$644=A104)*(ROW($A$2:$A$644)&gt;=ROW())*(ROW($A$2:$A$644)&lt;ROW()+2)*$C$2:$C$644),"")</f>
        <v>120</v>
      </c>
      <c r="I104" s="0" t="n">
        <f aca="false">IF(H104="","",ROUNDUP(H104/75,0))</f>
        <v>2</v>
      </c>
      <c r="J104" s="0" t="n">
        <f aca="false">IF(MOD(F104-1,3)=0,SUMPRODUCT(($A$2:$A$644=A104)*(ROW($A$2:$A$644)&gt;=ROW())*(ROW($A$2:$A$644)&lt;ROW()+3)*$C$2:$C$644),"")</f>
        <v>210</v>
      </c>
      <c r="K104" s="0" t="n">
        <f aca="false">IF(J104="","",ROUNDUP(J104/75,0))</f>
        <v>3</v>
      </c>
      <c r="L104" s="0" t="str">
        <f aca="false">IF(MOD(F104-1,5)=0,SUMPRODUCT(($A$2:$A$644=A104)*(ROW($A$2:$A$644)&gt;=ROW())*(ROW($A$2:$A$644)&lt;ROW()+5)*$C$2:$C$644),"")</f>
        <v/>
      </c>
      <c r="M104" s="0" t="str">
        <f aca="false">IF(L104="","",ROUNDUP(L104/75,0))</f>
        <v/>
      </c>
      <c r="N104" s="0" t="str">
        <f aca="false">IF(MOD(F104-1,7)=0,SUMPRODUCT(($A$2:$A$644=A104)*(ROW($A$2:$A$644)&gt;=ROW())*(ROW($A$2:$A$644)&lt;ROW()+7)*$C$2:$C$644),"")</f>
        <v/>
      </c>
      <c r="O104" s="0" t="str">
        <f aca="false">IF(N104="","",ROUNDUP(N104/75,0))</f>
        <v/>
      </c>
    </row>
    <row r="105" customFormat="false" ht="15" hidden="false" customHeight="false" outlineLevel="0" collapsed="false">
      <c r="A105" s="0" t="s">
        <v>33</v>
      </c>
      <c r="B105" s="0" t="s">
        <v>137</v>
      </c>
      <c r="C105" s="0" t="n">
        <v>48</v>
      </c>
      <c r="D105" s="0" t="n">
        <v>1</v>
      </c>
      <c r="E105" s="0" t="n">
        <v>27</v>
      </c>
      <c r="F105" s="0" t="n">
        <f aca="false">COUNTIF($A$2:A105,A105)</f>
        <v>104</v>
      </c>
      <c r="G105" s="0" t="n">
        <f aca="false">ROUNDUP(C105*1.236/75,0)</f>
        <v>1</v>
      </c>
      <c r="H105" s="0" t="str">
        <f aca="false">IF(MOD(F105-1,2)=0,SUMPRODUCT(($A$2:$A$644=A105)*(ROW($A$2:$A$644)&gt;=ROW())*(ROW($A$2:$A$644)&lt;ROW()+2)*$C$2:$C$644),"")</f>
        <v/>
      </c>
      <c r="I105" s="0" t="str">
        <f aca="false">IF(H105="","",ROUNDUP(H105/75,0))</f>
        <v/>
      </c>
      <c r="J105" s="0" t="str">
        <f aca="false">IF(MOD(F105-1,3)=0,SUMPRODUCT(($A$2:$A$644=A105)*(ROW($A$2:$A$644)&gt;=ROW())*(ROW($A$2:$A$644)&lt;ROW()+3)*$C$2:$C$644),"")</f>
        <v/>
      </c>
      <c r="K105" s="0" t="str">
        <f aca="false">IF(J105="","",ROUNDUP(J105/75,0))</f>
        <v/>
      </c>
      <c r="L105" s="0" t="str">
        <f aca="false">IF(MOD(F105-1,5)=0,SUMPRODUCT(($A$2:$A$644=A105)*(ROW($A$2:$A$644)&gt;=ROW())*(ROW($A$2:$A$644)&lt;ROW()+5)*$C$2:$C$644),"")</f>
        <v/>
      </c>
      <c r="M105" s="0" t="str">
        <f aca="false">IF(L105="","",ROUNDUP(L105/75,0))</f>
        <v/>
      </c>
      <c r="N105" s="0" t="str">
        <f aca="false">IF(MOD(F105-1,7)=0,SUMPRODUCT(($A$2:$A$644=A105)*(ROW($A$2:$A$644)&gt;=ROW())*(ROW($A$2:$A$644)&lt;ROW()+7)*$C$2:$C$644),"")</f>
        <v/>
      </c>
      <c r="O105" s="0" t="str">
        <f aca="false">IF(N105="","",ROUNDUP(N105/75,0))</f>
        <v/>
      </c>
    </row>
    <row r="106" customFormat="false" ht="15" hidden="false" customHeight="false" outlineLevel="0" collapsed="false">
      <c r="A106" s="0" t="s">
        <v>33</v>
      </c>
      <c r="B106" s="0" t="s">
        <v>138</v>
      </c>
      <c r="C106" s="0" t="n">
        <v>90</v>
      </c>
      <c r="D106" s="0" t="n">
        <v>2</v>
      </c>
      <c r="E106" s="0" t="n">
        <v>60</v>
      </c>
      <c r="F106" s="0" t="n">
        <f aca="false">COUNTIF($A$2:A106,A106)</f>
        <v>105</v>
      </c>
      <c r="G106" s="0" t="n">
        <f aca="false">ROUNDUP(C106*1.236/75,0)</f>
        <v>2</v>
      </c>
      <c r="H106" s="0" t="n">
        <f aca="false">IF(MOD(F106-1,2)=0,SUMPRODUCT(($A$2:$A$644=A106)*(ROW($A$2:$A$644)&gt;=ROW())*(ROW($A$2:$A$644)&lt;ROW()+2)*$C$2:$C$644),"")</f>
        <v>144</v>
      </c>
      <c r="I106" s="0" t="n">
        <f aca="false">IF(H106="","",ROUNDUP(H106/75,0))</f>
        <v>2</v>
      </c>
      <c r="J106" s="0" t="str">
        <f aca="false">IF(MOD(F106-1,3)=0,SUMPRODUCT(($A$2:$A$644=A106)*(ROW($A$2:$A$644)&gt;=ROW())*(ROW($A$2:$A$644)&lt;ROW()+3)*$C$2:$C$644),"")</f>
        <v/>
      </c>
      <c r="K106" s="0" t="str">
        <f aca="false">IF(J106="","",ROUNDUP(J106/75,0))</f>
        <v/>
      </c>
      <c r="L106" s="0" t="str">
        <f aca="false">IF(MOD(F106-1,5)=0,SUMPRODUCT(($A$2:$A$644=A106)*(ROW($A$2:$A$644)&gt;=ROW())*(ROW($A$2:$A$644)&lt;ROW()+5)*$C$2:$C$644),"")</f>
        <v/>
      </c>
      <c r="M106" s="0" t="str">
        <f aca="false">IF(L106="","",ROUNDUP(L106/75,0))</f>
        <v/>
      </c>
      <c r="N106" s="0" t="str">
        <f aca="false">IF(MOD(F106-1,7)=0,SUMPRODUCT(($A$2:$A$644=A106)*(ROW($A$2:$A$644)&gt;=ROW())*(ROW($A$2:$A$644)&lt;ROW()+7)*$C$2:$C$644),"")</f>
        <v/>
      </c>
      <c r="O106" s="0" t="str">
        <f aca="false">IF(N106="","",ROUNDUP(N106/75,0))</f>
        <v/>
      </c>
    </row>
    <row r="107" customFormat="false" ht="15" hidden="false" customHeight="false" outlineLevel="0" collapsed="false">
      <c r="A107" s="0" t="s">
        <v>33</v>
      </c>
      <c r="B107" s="0" t="s">
        <v>139</v>
      </c>
      <c r="C107" s="0" t="n">
        <v>54</v>
      </c>
      <c r="D107" s="0" t="n">
        <v>1</v>
      </c>
      <c r="E107" s="0" t="n">
        <v>21</v>
      </c>
      <c r="F107" s="0" t="n">
        <f aca="false">COUNTIF($A$2:A107,A107)</f>
        <v>106</v>
      </c>
      <c r="G107" s="0" t="n">
        <f aca="false">ROUNDUP(C107*1.236/75,0)</f>
        <v>1</v>
      </c>
      <c r="H107" s="0" t="str">
        <f aca="false">IF(MOD(F107-1,2)=0,SUMPRODUCT(($A$2:$A$644=A107)*(ROW($A$2:$A$644)&gt;=ROW())*(ROW($A$2:$A$644)&lt;ROW()+2)*$C$2:$C$644),"")</f>
        <v/>
      </c>
      <c r="I107" s="0" t="str">
        <f aca="false">IF(H107="","",ROUNDUP(H107/75,0))</f>
        <v/>
      </c>
      <c r="J107" s="0" t="n">
        <f aca="false">IF(MOD(F107-1,3)=0,SUMPRODUCT(($A$2:$A$644=A107)*(ROW($A$2:$A$644)&gt;=ROW())*(ROW($A$2:$A$644)&lt;ROW()+3)*$C$2:$C$644),"")</f>
        <v>174</v>
      </c>
      <c r="K107" s="0" t="n">
        <f aca="false">IF(J107="","",ROUNDUP(J107/75,0))</f>
        <v>3</v>
      </c>
      <c r="L107" s="0" t="n">
        <f aca="false">IF(MOD(F107-1,5)=0,SUMPRODUCT(($A$2:$A$644=A107)*(ROW($A$2:$A$644)&gt;=ROW())*(ROW($A$2:$A$644)&lt;ROW()+5)*$C$2:$C$644),"")</f>
        <v>306</v>
      </c>
      <c r="M107" s="0" t="n">
        <f aca="false">IF(L107="","",ROUNDUP(L107/75,0))</f>
        <v>5</v>
      </c>
      <c r="N107" s="0" t="n">
        <f aca="false">IF(MOD(F107-1,7)=0,SUMPRODUCT(($A$2:$A$644=A107)*(ROW($A$2:$A$644)&gt;=ROW())*(ROW($A$2:$A$644)&lt;ROW()+7)*$C$2:$C$644),"")</f>
        <v>456</v>
      </c>
      <c r="O107" s="0" t="n">
        <f aca="false">IF(N107="","",ROUNDUP(N107/75,0))</f>
        <v>7</v>
      </c>
    </row>
    <row r="108" customFormat="false" ht="15" hidden="false" customHeight="false" outlineLevel="0" collapsed="false">
      <c r="A108" s="0" t="s">
        <v>33</v>
      </c>
      <c r="B108" s="0" t="s">
        <v>140</v>
      </c>
      <c r="C108" s="0" t="n">
        <v>66</v>
      </c>
      <c r="D108" s="0" t="n">
        <v>1</v>
      </c>
      <c r="E108" s="0" t="n">
        <v>9</v>
      </c>
      <c r="F108" s="0" t="n">
        <f aca="false">COUNTIF($A$2:A108,A108)</f>
        <v>107</v>
      </c>
      <c r="G108" s="0" t="n">
        <f aca="false">ROUNDUP(C108*1.236/75,0)</f>
        <v>2</v>
      </c>
      <c r="H108" s="0" t="n">
        <f aca="false">IF(MOD(F108-1,2)=0,SUMPRODUCT(($A$2:$A$644=A108)*(ROW($A$2:$A$644)&gt;=ROW())*(ROW($A$2:$A$644)&lt;ROW()+2)*$C$2:$C$644),"")</f>
        <v>120</v>
      </c>
      <c r="I108" s="0" t="n">
        <f aca="false">IF(H108="","",ROUNDUP(H108/75,0))</f>
        <v>2</v>
      </c>
      <c r="J108" s="0" t="str">
        <f aca="false">IF(MOD(F108-1,3)=0,SUMPRODUCT(($A$2:$A$644=A108)*(ROW($A$2:$A$644)&gt;=ROW())*(ROW($A$2:$A$644)&lt;ROW()+3)*$C$2:$C$644),"")</f>
        <v/>
      </c>
      <c r="K108" s="0" t="str">
        <f aca="false">IF(J108="","",ROUNDUP(J108/75,0))</f>
        <v/>
      </c>
      <c r="L108" s="0" t="str">
        <f aca="false">IF(MOD(F108-1,5)=0,SUMPRODUCT(($A$2:$A$644=A108)*(ROW($A$2:$A$644)&gt;=ROW())*(ROW($A$2:$A$644)&lt;ROW()+5)*$C$2:$C$644),"")</f>
        <v/>
      </c>
      <c r="M108" s="0" t="str">
        <f aca="false">IF(L108="","",ROUNDUP(L108/75,0))</f>
        <v/>
      </c>
      <c r="N108" s="0" t="str">
        <f aca="false">IF(MOD(F108-1,7)=0,SUMPRODUCT(($A$2:$A$644=A108)*(ROW($A$2:$A$644)&gt;=ROW())*(ROW($A$2:$A$644)&lt;ROW()+7)*$C$2:$C$644),"")</f>
        <v/>
      </c>
      <c r="O108" s="0" t="str">
        <f aca="false">IF(N108="","",ROUNDUP(N108/75,0))</f>
        <v/>
      </c>
    </row>
    <row r="109" customFormat="false" ht="15" hidden="false" customHeight="false" outlineLevel="0" collapsed="false">
      <c r="A109" s="0" t="s">
        <v>33</v>
      </c>
      <c r="B109" s="0" t="s">
        <v>141</v>
      </c>
      <c r="C109" s="0" t="n">
        <v>54</v>
      </c>
      <c r="D109" s="0" t="n">
        <v>1</v>
      </c>
      <c r="E109" s="0" t="n">
        <v>21</v>
      </c>
      <c r="F109" s="0" t="n">
        <f aca="false">COUNTIF($A$2:A109,A109)</f>
        <v>108</v>
      </c>
      <c r="G109" s="0" t="n">
        <f aca="false">ROUNDUP(C109*1.236/75,0)</f>
        <v>1</v>
      </c>
      <c r="H109" s="0" t="str">
        <f aca="false">IF(MOD(F109-1,2)=0,SUMPRODUCT(($A$2:$A$644=A109)*(ROW($A$2:$A$644)&gt;=ROW())*(ROW($A$2:$A$644)&lt;ROW()+2)*$C$2:$C$644),"")</f>
        <v/>
      </c>
      <c r="I109" s="0" t="str">
        <f aca="false">IF(H109="","",ROUNDUP(H109/75,0))</f>
        <v/>
      </c>
      <c r="J109" s="0" t="str">
        <f aca="false">IF(MOD(F109-1,3)=0,SUMPRODUCT(($A$2:$A$644=A109)*(ROW($A$2:$A$644)&gt;=ROW())*(ROW($A$2:$A$644)&lt;ROW()+3)*$C$2:$C$644),"")</f>
        <v/>
      </c>
      <c r="K109" s="0" t="str">
        <f aca="false">IF(J109="","",ROUNDUP(J109/75,0))</f>
        <v/>
      </c>
      <c r="L109" s="0" t="str">
        <f aca="false">IF(MOD(F109-1,5)=0,SUMPRODUCT(($A$2:$A$644=A109)*(ROW($A$2:$A$644)&gt;=ROW())*(ROW($A$2:$A$644)&lt;ROW()+5)*$C$2:$C$644),"")</f>
        <v/>
      </c>
      <c r="M109" s="0" t="str">
        <f aca="false">IF(L109="","",ROUNDUP(L109/75,0))</f>
        <v/>
      </c>
      <c r="N109" s="0" t="str">
        <f aca="false">IF(MOD(F109-1,7)=0,SUMPRODUCT(($A$2:$A$644=A109)*(ROW($A$2:$A$644)&gt;=ROW())*(ROW($A$2:$A$644)&lt;ROW()+7)*$C$2:$C$644),"")</f>
        <v/>
      </c>
      <c r="O109" s="0" t="str">
        <f aca="false">IF(N109="","",ROUNDUP(N109/75,0))</f>
        <v/>
      </c>
    </row>
    <row r="110" customFormat="false" ht="15" hidden="false" customHeight="false" outlineLevel="0" collapsed="false">
      <c r="A110" s="0" t="s">
        <v>33</v>
      </c>
      <c r="B110" s="0" t="s">
        <v>142</v>
      </c>
      <c r="C110" s="0" t="n">
        <v>66</v>
      </c>
      <c r="D110" s="0" t="n">
        <v>1</v>
      </c>
      <c r="E110" s="0" t="n">
        <v>9</v>
      </c>
      <c r="F110" s="0" t="n">
        <f aca="false">COUNTIF($A$2:A110,A110)</f>
        <v>109</v>
      </c>
      <c r="G110" s="0" t="n">
        <f aca="false">ROUNDUP(C110*1.236/75,0)</f>
        <v>2</v>
      </c>
      <c r="H110" s="0" t="n">
        <f aca="false">IF(MOD(F110-1,2)=0,SUMPRODUCT(($A$2:$A$644=A110)*(ROW($A$2:$A$644)&gt;=ROW())*(ROW($A$2:$A$644)&lt;ROW()+2)*$C$2:$C$644),"")</f>
        <v>132</v>
      </c>
      <c r="I110" s="0" t="n">
        <f aca="false">IF(H110="","",ROUNDUP(H110/75,0))</f>
        <v>2</v>
      </c>
      <c r="J110" s="0" t="n">
        <f aca="false">IF(MOD(F110-1,3)=0,SUMPRODUCT(($A$2:$A$644=A110)*(ROW($A$2:$A$644)&gt;=ROW())*(ROW($A$2:$A$644)&lt;ROW()+3)*$C$2:$C$644),"")</f>
        <v>228</v>
      </c>
      <c r="K110" s="0" t="n">
        <f aca="false">IF(J110="","",ROUNDUP(J110/75,0))</f>
        <v>4</v>
      </c>
      <c r="L110" s="0" t="str">
        <f aca="false">IF(MOD(F110-1,5)=0,SUMPRODUCT(($A$2:$A$644=A110)*(ROW($A$2:$A$644)&gt;=ROW())*(ROW($A$2:$A$644)&lt;ROW()+5)*$C$2:$C$644),"")</f>
        <v/>
      </c>
      <c r="M110" s="0" t="str">
        <f aca="false">IF(L110="","",ROUNDUP(L110/75,0))</f>
        <v/>
      </c>
      <c r="N110" s="0" t="str">
        <f aca="false">IF(MOD(F110-1,7)=0,SUMPRODUCT(($A$2:$A$644=A110)*(ROW($A$2:$A$644)&gt;=ROW())*(ROW($A$2:$A$644)&lt;ROW()+7)*$C$2:$C$644),"")</f>
        <v/>
      </c>
      <c r="O110" s="0" t="str">
        <f aca="false">IF(N110="","",ROUNDUP(N110/75,0))</f>
        <v/>
      </c>
    </row>
    <row r="111" customFormat="false" ht="15" hidden="false" customHeight="false" outlineLevel="0" collapsed="false">
      <c r="A111" s="0" t="s">
        <v>33</v>
      </c>
      <c r="B111" s="0" t="s">
        <v>143</v>
      </c>
      <c r="C111" s="0" t="n">
        <v>66</v>
      </c>
      <c r="D111" s="0" t="n">
        <v>1</v>
      </c>
      <c r="E111" s="0" t="n">
        <v>9</v>
      </c>
      <c r="F111" s="0" t="n">
        <f aca="false">COUNTIF($A$2:A111,A111)</f>
        <v>110</v>
      </c>
      <c r="G111" s="0" t="n">
        <f aca="false">ROUNDUP(C111*1.236/75,0)</f>
        <v>2</v>
      </c>
      <c r="H111" s="0" t="str">
        <f aca="false">IF(MOD(F111-1,2)=0,SUMPRODUCT(($A$2:$A$644=A111)*(ROW($A$2:$A$644)&gt;=ROW())*(ROW($A$2:$A$644)&lt;ROW()+2)*$C$2:$C$644),"")</f>
        <v/>
      </c>
      <c r="I111" s="0" t="str">
        <f aca="false">IF(H111="","",ROUNDUP(H111/75,0))</f>
        <v/>
      </c>
      <c r="J111" s="0" t="str">
        <f aca="false">IF(MOD(F111-1,3)=0,SUMPRODUCT(($A$2:$A$644=A111)*(ROW($A$2:$A$644)&gt;=ROW())*(ROW($A$2:$A$644)&lt;ROW()+3)*$C$2:$C$644),"")</f>
        <v/>
      </c>
      <c r="K111" s="0" t="str">
        <f aca="false">IF(J111="","",ROUNDUP(J111/75,0))</f>
        <v/>
      </c>
      <c r="L111" s="0" t="str">
        <f aca="false">IF(MOD(F111-1,5)=0,SUMPRODUCT(($A$2:$A$644=A111)*(ROW($A$2:$A$644)&gt;=ROW())*(ROW($A$2:$A$644)&lt;ROW()+5)*$C$2:$C$644),"")</f>
        <v/>
      </c>
      <c r="M111" s="0" t="str">
        <f aca="false">IF(L111="","",ROUNDUP(L111/75,0))</f>
        <v/>
      </c>
      <c r="N111" s="0" t="str">
        <f aca="false">IF(MOD(F111-1,7)=0,SUMPRODUCT(($A$2:$A$644=A111)*(ROW($A$2:$A$644)&gt;=ROW())*(ROW($A$2:$A$644)&lt;ROW()+7)*$C$2:$C$644),"")</f>
        <v/>
      </c>
      <c r="O111" s="0" t="str">
        <f aca="false">IF(N111="","",ROUNDUP(N111/75,0))</f>
        <v/>
      </c>
    </row>
    <row r="112" customFormat="false" ht="15" hidden="false" customHeight="false" outlineLevel="0" collapsed="false">
      <c r="A112" s="0" t="s">
        <v>33</v>
      </c>
      <c r="B112" s="0" t="s">
        <v>144</v>
      </c>
      <c r="C112" s="0" t="n">
        <v>96</v>
      </c>
      <c r="D112" s="0" t="n">
        <v>2</v>
      </c>
      <c r="E112" s="0" t="n">
        <v>54</v>
      </c>
      <c r="F112" s="0" t="n">
        <f aca="false">COUNTIF($A$2:A112,A112)</f>
        <v>111</v>
      </c>
      <c r="G112" s="0" t="n">
        <f aca="false">ROUNDUP(C112*1.236/75,0)</f>
        <v>2</v>
      </c>
      <c r="H112" s="0" t="n">
        <f aca="false">IF(MOD(F112-1,2)=0,SUMPRODUCT(($A$2:$A$644=A112)*(ROW($A$2:$A$644)&gt;=ROW())*(ROW($A$2:$A$644)&lt;ROW()+2)*$C$2:$C$644),"")</f>
        <v>150</v>
      </c>
      <c r="I112" s="0" t="n">
        <f aca="false">IF(H112="","",ROUNDUP(H112/75,0))</f>
        <v>2</v>
      </c>
      <c r="J112" s="0" t="str">
        <f aca="false">IF(MOD(F112-1,3)=0,SUMPRODUCT(($A$2:$A$644=A112)*(ROW($A$2:$A$644)&gt;=ROW())*(ROW($A$2:$A$644)&lt;ROW()+3)*$C$2:$C$644),"")</f>
        <v/>
      </c>
      <c r="K112" s="0" t="str">
        <f aca="false">IF(J112="","",ROUNDUP(J112/75,0))</f>
        <v/>
      </c>
      <c r="L112" s="0" t="n">
        <f aca="false">IF(MOD(F112-1,5)=0,SUMPRODUCT(($A$2:$A$644=A112)*(ROW($A$2:$A$644)&gt;=ROW())*(ROW($A$2:$A$644)&lt;ROW()+5)*$C$2:$C$644),"")</f>
        <v>306</v>
      </c>
      <c r="M112" s="0" t="n">
        <f aca="false">IF(L112="","",ROUNDUP(L112/75,0))</f>
        <v>5</v>
      </c>
      <c r="N112" s="0" t="str">
        <f aca="false">IF(MOD(F112-1,7)=0,SUMPRODUCT(($A$2:$A$644=A112)*(ROW($A$2:$A$644)&gt;=ROW())*(ROW($A$2:$A$644)&lt;ROW()+7)*$C$2:$C$644),"")</f>
        <v/>
      </c>
      <c r="O112" s="0" t="str">
        <f aca="false">IF(N112="","",ROUNDUP(N112/75,0))</f>
        <v/>
      </c>
    </row>
    <row r="113" customFormat="false" ht="15" hidden="false" customHeight="false" outlineLevel="0" collapsed="false">
      <c r="A113" s="0" t="s">
        <v>33</v>
      </c>
      <c r="B113" s="0" t="s">
        <v>145</v>
      </c>
      <c r="C113" s="0" t="n">
        <v>54</v>
      </c>
      <c r="D113" s="0" t="n">
        <v>1</v>
      </c>
      <c r="E113" s="0" t="n">
        <v>21</v>
      </c>
      <c r="F113" s="0" t="n">
        <f aca="false">COUNTIF($A$2:A113,A113)</f>
        <v>112</v>
      </c>
      <c r="G113" s="0" t="n">
        <f aca="false">ROUNDUP(C113*1.236/75,0)</f>
        <v>1</v>
      </c>
      <c r="H113" s="0" t="str">
        <f aca="false">IF(MOD(F113-1,2)=0,SUMPRODUCT(($A$2:$A$644=A113)*(ROW($A$2:$A$644)&gt;=ROW())*(ROW($A$2:$A$644)&lt;ROW()+2)*$C$2:$C$644),"")</f>
        <v/>
      </c>
      <c r="I113" s="0" t="str">
        <f aca="false">IF(H113="","",ROUNDUP(H113/75,0))</f>
        <v/>
      </c>
      <c r="J113" s="0" t="n">
        <f aca="false">IF(MOD(F113-1,3)=0,SUMPRODUCT(($A$2:$A$644=A113)*(ROW($A$2:$A$644)&gt;=ROW())*(ROW($A$2:$A$644)&lt;ROW()+3)*$C$2:$C$644),"")</f>
        <v>180</v>
      </c>
      <c r="K113" s="0" t="n">
        <f aca="false">IF(J113="","",ROUNDUP(J113/75,0))</f>
        <v>3</v>
      </c>
      <c r="L113" s="0" t="str">
        <f aca="false">IF(MOD(F113-1,5)=0,SUMPRODUCT(($A$2:$A$644=A113)*(ROW($A$2:$A$644)&gt;=ROW())*(ROW($A$2:$A$644)&lt;ROW()+5)*$C$2:$C$644),"")</f>
        <v/>
      </c>
      <c r="M113" s="0" t="str">
        <f aca="false">IF(L113="","",ROUNDUP(L113/75,0))</f>
        <v/>
      </c>
      <c r="N113" s="0" t="str">
        <f aca="false">IF(MOD(F113-1,7)=0,SUMPRODUCT(($A$2:$A$644=A113)*(ROW($A$2:$A$644)&gt;=ROW())*(ROW($A$2:$A$644)&lt;ROW()+7)*$C$2:$C$644),"")</f>
        <v/>
      </c>
      <c r="O113" s="0" t="str">
        <f aca="false">IF(N113="","",ROUNDUP(N113/75,0))</f>
        <v/>
      </c>
    </row>
    <row r="114" customFormat="false" ht="15" hidden="false" customHeight="false" outlineLevel="0" collapsed="false">
      <c r="A114" s="0" t="s">
        <v>33</v>
      </c>
      <c r="B114" s="0" t="s">
        <v>146</v>
      </c>
      <c r="C114" s="0" t="n">
        <v>60</v>
      </c>
      <c r="D114" s="0" t="n">
        <v>1</v>
      </c>
      <c r="E114" s="0" t="n">
        <v>15</v>
      </c>
      <c r="F114" s="0" t="n">
        <f aca="false">COUNTIF($A$2:A114,A114)</f>
        <v>113</v>
      </c>
      <c r="G114" s="0" t="n">
        <f aca="false">ROUNDUP(C114*1.236/75,0)</f>
        <v>1</v>
      </c>
      <c r="H114" s="0" t="n">
        <f aca="false">IF(MOD(F114-1,2)=0,SUMPRODUCT(($A$2:$A$644=A114)*(ROW($A$2:$A$644)&gt;=ROW())*(ROW($A$2:$A$644)&lt;ROW()+2)*$C$2:$C$644),"")</f>
        <v>126</v>
      </c>
      <c r="I114" s="0" t="n">
        <f aca="false">IF(H114="","",ROUNDUP(H114/75,0))</f>
        <v>2</v>
      </c>
      <c r="J114" s="0" t="str">
        <f aca="false">IF(MOD(F114-1,3)=0,SUMPRODUCT(($A$2:$A$644=A114)*(ROW($A$2:$A$644)&gt;=ROW())*(ROW($A$2:$A$644)&lt;ROW()+3)*$C$2:$C$644),"")</f>
        <v/>
      </c>
      <c r="K114" s="0" t="str">
        <f aca="false">IF(J114="","",ROUNDUP(J114/75,0))</f>
        <v/>
      </c>
      <c r="L114" s="0" t="str">
        <f aca="false">IF(MOD(F114-1,5)=0,SUMPRODUCT(($A$2:$A$644=A114)*(ROW($A$2:$A$644)&gt;=ROW())*(ROW($A$2:$A$644)&lt;ROW()+5)*$C$2:$C$644),"")</f>
        <v/>
      </c>
      <c r="M114" s="0" t="str">
        <f aca="false">IF(L114="","",ROUNDUP(L114/75,0))</f>
        <v/>
      </c>
      <c r="N114" s="0" t="n">
        <f aca="false">IF(MOD(F114-1,7)=0,SUMPRODUCT(($A$2:$A$644=A114)*(ROW($A$2:$A$644)&gt;=ROW())*(ROW($A$2:$A$644)&lt;ROW()+7)*$C$2:$C$644),"")</f>
        <v>345</v>
      </c>
      <c r="O114" s="0" t="n">
        <f aca="false">IF(N114="","",ROUNDUP(N114/75,0))</f>
        <v>5</v>
      </c>
    </row>
    <row r="115" customFormat="false" ht="15" hidden="false" customHeight="false" outlineLevel="0" collapsed="false">
      <c r="A115" s="0" t="s">
        <v>33</v>
      </c>
      <c r="B115" s="0" t="s">
        <v>147</v>
      </c>
      <c r="C115" s="0" t="n">
        <v>66</v>
      </c>
      <c r="D115" s="0" t="n">
        <v>1</v>
      </c>
      <c r="E115" s="0" t="n">
        <v>9</v>
      </c>
      <c r="F115" s="0" t="n">
        <f aca="false">COUNTIF($A$2:A115,A115)</f>
        <v>114</v>
      </c>
      <c r="G115" s="0" t="n">
        <f aca="false">ROUNDUP(C115*1.236/75,0)</f>
        <v>2</v>
      </c>
      <c r="H115" s="0" t="str">
        <f aca="false">IF(MOD(F115-1,2)=0,SUMPRODUCT(($A$2:$A$644=A115)*(ROW($A$2:$A$644)&gt;=ROW())*(ROW($A$2:$A$644)&lt;ROW()+2)*$C$2:$C$644),"")</f>
        <v/>
      </c>
      <c r="I115" s="0" t="str">
        <f aca="false">IF(H115="","",ROUNDUP(H115/75,0))</f>
        <v/>
      </c>
      <c r="J115" s="0" t="str">
        <f aca="false">IF(MOD(F115-1,3)=0,SUMPRODUCT(($A$2:$A$644=A115)*(ROW($A$2:$A$644)&gt;=ROW())*(ROW($A$2:$A$644)&lt;ROW()+3)*$C$2:$C$644),"")</f>
        <v/>
      </c>
      <c r="K115" s="0" t="str">
        <f aca="false">IF(J115="","",ROUNDUP(J115/75,0))</f>
        <v/>
      </c>
      <c r="L115" s="0" t="str">
        <f aca="false">IF(MOD(F115-1,5)=0,SUMPRODUCT(($A$2:$A$644=A115)*(ROW($A$2:$A$644)&gt;=ROW())*(ROW($A$2:$A$644)&lt;ROW()+5)*$C$2:$C$644),"")</f>
        <v/>
      </c>
      <c r="M115" s="0" t="str">
        <f aca="false">IF(L115="","",ROUNDUP(L115/75,0))</f>
        <v/>
      </c>
      <c r="N115" s="0" t="str">
        <f aca="false">IF(MOD(F115-1,7)=0,SUMPRODUCT(($A$2:$A$644=A115)*(ROW($A$2:$A$644)&gt;=ROW())*(ROW($A$2:$A$644)&lt;ROW()+7)*$C$2:$C$644),"")</f>
        <v/>
      </c>
      <c r="O115" s="0" t="str">
        <f aca="false">IF(N115="","",ROUNDUP(N115/75,0))</f>
        <v/>
      </c>
    </row>
    <row r="116" customFormat="false" ht="15" hidden="false" customHeight="false" outlineLevel="0" collapsed="false">
      <c r="A116" s="0" t="s">
        <v>33</v>
      </c>
      <c r="B116" s="0" t="s">
        <v>148</v>
      </c>
      <c r="C116" s="0" t="n">
        <v>30</v>
      </c>
      <c r="D116" s="0" t="n">
        <v>1</v>
      </c>
      <c r="E116" s="0" t="n">
        <v>45</v>
      </c>
      <c r="F116" s="0" t="n">
        <f aca="false">COUNTIF($A$2:A116,A116)</f>
        <v>115</v>
      </c>
      <c r="G116" s="0" t="n">
        <f aca="false">ROUNDUP(C116*1.236/75,0)</f>
        <v>1</v>
      </c>
      <c r="H116" s="0" t="n">
        <f aca="false">IF(MOD(F116-1,2)=0,SUMPRODUCT(($A$2:$A$644=A116)*(ROW($A$2:$A$644)&gt;=ROW())*(ROW($A$2:$A$644)&lt;ROW()+2)*$C$2:$C$644),"")</f>
        <v>72</v>
      </c>
      <c r="I116" s="0" t="n">
        <f aca="false">IF(H116="","",ROUNDUP(H116/75,0))</f>
        <v>1</v>
      </c>
      <c r="J116" s="0" t="n">
        <f aca="false">IF(MOD(F116-1,3)=0,SUMPRODUCT(($A$2:$A$644=A116)*(ROW($A$2:$A$644)&gt;=ROW())*(ROW($A$2:$A$644)&lt;ROW()+3)*$C$2:$C$644),"")</f>
        <v>180</v>
      </c>
      <c r="K116" s="0" t="n">
        <f aca="false">IF(J116="","",ROUNDUP(J116/75,0))</f>
        <v>3</v>
      </c>
      <c r="L116" s="0" t="str">
        <f aca="false">IF(MOD(F116-1,5)=0,SUMPRODUCT(($A$2:$A$644=A116)*(ROW($A$2:$A$644)&gt;=ROW())*(ROW($A$2:$A$644)&lt;ROW()+5)*$C$2:$C$644),"")</f>
        <v/>
      </c>
      <c r="M116" s="0" t="str">
        <f aca="false">IF(L116="","",ROUNDUP(L116/75,0))</f>
        <v/>
      </c>
      <c r="N116" s="0" t="str">
        <f aca="false">IF(MOD(F116-1,7)=0,SUMPRODUCT(($A$2:$A$644=A116)*(ROW($A$2:$A$644)&gt;=ROW())*(ROW($A$2:$A$644)&lt;ROW()+7)*$C$2:$C$644),"")</f>
        <v/>
      </c>
      <c r="O116" s="0" t="str">
        <f aca="false">IF(N116="","",ROUNDUP(N116/75,0))</f>
        <v/>
      </c>
    </row>
    <row r="117" customFormat="false" ht="15" hidden="false" customHeight="false" outlineLevel="0" collapsed="false">
      <c r="A117" s="0" t="s">
        <v>33</v>
      </c>
      <c r="B117" s="0" t="s">
        <v>149</v>
      </c>
      <c r="C117" s="0" t="n">
        <v>42</v>
      </c>
      <c r="D117" s="0" t="n">
        <v>1</v>
      </c>
      <c r="E117" s="0" t="n">
        <v>33</v>
      </c>
      <c r="F117" s="0" t="n">
        <f aca="false">COUNTIF($A$2:A117,A117)</f>
        <v>116</v>
      </c>
      <c r="G117" s="0" t="n">
        <f aca="false">ROUNDUP(C117*1.236/75,0)</f>
        <v>1</v>
      </c>
      <c r="H117" s="0" t="str">
        <f aca="false">IF(MOD(F117-1,2)=0,SUMPRODUCT(($A$2:$A$644=A117)*(ROW($A$2:$A$644)&gt;=ROW())*(ROW($A$2:$A$644)&lt;ROW()+2)*$C$2:$C$644),"")</f>
        <v/>
      </c>
      <c r="I117" s="0" t="str">
        <f aca="false">IF(H117="","",ROUNDUP(H117/75,0))</f>
        <v/>
      </c>
      <c r="J117" s="0" t="str">
        <f aca="false">IF(MOD(F117-1,3)=0,SUMPRODUCT(($A$2:$A$644=A117)*(ROW($A$2:$A$644)&gt;=ROW())*(ROW($A$2:$A$644)&lt;ROW()+3)*$C$2:$C$644),"")</f>
        <v/>
      </c>
      <c r="K117" s="0" t="str">
        <f aca="false">IF(J117="","",ROUNDUP(J117/75,0))</f>
        <v/>
      </c>
      <c r="L117" s="0" t="n">
        <f aca="false">IF(MOD(F117-1,5)=0,SUMPRODUCT(($A$2:$A$644=A117)*(ROW($A$2:$A$644)&gt;=ROW())*(ROW($A$2:$A$644)&lt;ROW()+5)*$C$2:$C$644),"")</f>
        <v>213</v>
      </c>
      <c r="M117" s="0" t="n">
        <f aca="false">IF(L117="","",ROUNDUP(L117/75,0))</f>
        <v>3</v>
      </c>
      <c r="N117" s="0" t="str">
        <f aca="false">IF(MOD(F117-1,7)=0,SUMPRODUCT(($A$2:$A$644=A117)*(ROW($A$2:$A$644)&gt;=ROW())*(ROW($A$2:$A$644)&lt;ROW()+7)*$C$2:$C$644),"")</f>
        <v/>
      </c>
      <c r="O117" s="0" t="str">
        <f aca="false">IF(N117="","",ROUNDUP(N117/75,0))</f>
        <v/>
      </c>
    </row>
    <row r="118" customFormat="false" ht="15" hidden="false" customHeight="false" outlineLevel="0" collapsed="false">
      <c r="A118" s="0" t="s">
        <v>33</v>
      </c>
      <c r="B118" s="0" t="s">
        <v>150</v>
      </c>
      <c r="C118" s="0" t="n">
        <v>108</v>
      </c>
      <c r="D118" s="0" t="n">
        <v>2</v>
      </c>
      <c r="E118" s="0" t="n">
        <v>42</v>
      </c>
      <c r="F118" s="0" t="n">
        <f aca="false">COUNTIF($A$2:A118,A118)</f>
        <v>117</v>
      </c>
      <c r="G118" s="0" t="n">
        <f aca="false">ROUNDUP(C118*1.236/75,0)</f>
        <v>2</v>
      </c>
      <c r="H118" s="0" t="n">
        <f aca="false">IF(MOD(F118-1,2)=0,SUMPRODUCT(($A$2:$A$644=A118)*(ROW($A$2:$A$644)&gt;=ROW())*(ROW($A$2:$A$644)&lt;ROW()+2)*$C$2:$C$644),"")</f>
        <v>126</v>
      </c>
      <c r="I118" s="0" t="n">
        <f aca="false">IF(H118="","",ROUNDUP(H118/75,0))</f>
        <v>2</v>
      </c>
      <c r="J118" s="0" t="str">
        <f aca="false">IF(MOD(F118-1,3)=0,SUMPRODUCT(($A$2:$A$644=A118)*(ROW($A$2:$A$644)&gt;=ROW())*(ROW($A$2:$A$644)&lt;ROW()+3)*$C$2:$C$644),"")</f>
        <v/>
      </c>
      <c r="K118" s="0" t="str">
        <f aca="false">IF(J118="","",ROUNDUP(J118/75,0))</f>
        <v/>
      </c>
      <c r="L118" s="0" t="str">
        <f aca="false">IF(MOD(F118-1,5)=0,SUMPRODUCT(($A$2:$A$644=A118)*(ROW($A$2:$A$644)&gt;=ROW())*(ROW($A$2:$A$644)&lt;ROW()+5)*$C$2:$C$644),"")</f>
        <v/>
      </c>
      <c r="M118" s="0" t="str">
        <f aca="false">IF(L118="","",ROUNDUP(L118/75,0))</f>
        <v/>
      </c>
      <c r="N118" s="0" t="str">
        <f aca="false">IF(MOD(F118-1,7)=0,SUMPRODUCT(($A$2:$A$644=A118)*(ROW($A$2:$A$644)&gt;=ROW())*(ROW($A$2:$A$644)&lt;ROW()+7)*$C$2:$C$644),"")</f>
        <v/>
      </c>
      <c r="O118" s="0" t="str">
        <f aca="false">IF(N118="","",ROUNDUP(N118/75,0))</f>
        <v/>
      </c>
    </row>
    <row r="119" customFormat="false" ht="15" hidden="false" customHeight="false" outlineLevel="0" collapsed="false">
      <c r="A119" s="0" t="s">
        <v>33</v>
      </c>
      <c r="B119" s="0" t="s">
        <v>151</v>
      </c>
      <c r="C119" s="0" t="n">
        <v>18</v>
      </c>
      <c r="D119" s="0" t="n">
        <v>1</v>
      </c>
      <c r="E119" s="0" t="n">
        <v>57</v>
      </c>
      <c r="F119" s="0" t="n">
        <f aca="false">COUNTIF($A$2:A119,A119)</f>
        <v>118</v>
      </c>
      <c r="G119" s="0" t="n">
        <f aca="false">ROUNDUP(C119*1.236/75,0)</f>
        <v>1</v>
      </c>
      <c r="H119" s="0" t="str">
        <f aca="false">IF(MOD(F119-1,2)=0,SUMPRODUCT(($A$2:$A$644=A119)*(ROW($A$2:$A$644)&gt;=ROW())*(ROW($A$2:$A$644)&lt;ROW()+2)*$C$2:$C$644),"")</f>
        <v/>
      </c>
      <c r="I119" s="0" t="str">
        <f aca="false">IF(H119="","",ROUNDUP(H119/75,0))</f>
        <v/>
      </c>
      <c r="J119" s="0" t="n">
        <f aca="false">IF(MOD(F119-1,3)=0,SUMPRODUCT(($A$2:$A$644=A119)*(ROW($A$2:$A$644)&gt;=ROW())*(ROW($A$2:$A$644)&lt;ROW()+3)*$C$2:$C$644),"")</f>
        <v>63</v>
      </c>
      <c r="K119" s="0" t="n">
        <f aca="false">IF(J119="","",ROUNDUP(J119/75,0))</f>
        <v>1</v>
      </c>
      <c r="L119" s="0" t="str">
        <f aca="false">IF(MOD(F119-1,5)=0,SUMPRODUCT(($A$2:$A$644=A119)*(ROW($A$2:$A$644)&gt;=ROW())*(ROW($A$2:$A$644)&lt;ROW()+5)*$C$2:$C$644),"")</f>
        <v/>
      </c>
      <c r="M119" s="0" t="str">
        <f aca="false">IF(L119="","",ROUNDUP(L119/75,0))</f>
        <v/>
      </c>
      <c r="N119" s="0" t="str">
        <f aca="false">IF(MOD(F119-1,7)=0,SUMPRODUCT(($A$2:$A$644=A119)*(ROW($A$2:$A$644)&gt;=ROW())*(ROW($A$2:$A$644)&lt;ROW()+7)*$C$2:$C$644),"")</f>
        <v/>
      </c>
      <c r="O119" s="0" t="str">
        <f aca="false">IF(N119="","",ROUNDUP(N119/75,0))</f>
        <v/>
      </c>
    </row>
    <row r="120" customFormat="false" ht="15" hidden="false" customHeight="false" outlineLevel="0" collapsed="false">
      <c r="A120" s="0" t="s">
        <v>33</v>
      </c>
      <c r="B120" s="0" t="s">
        <v>152</v>
      </c>
      <c r="C120" s="0" t="n">
        <v>21</v>
      </c>
      <c r="D120" s="0" t="n">
        <v>1</v>
      </c>
      <c r="E120" s="0" t="n">
        <v>54</v>
      </c>
      <c r="F120" s="0" t="n">
        <f aca="false">COUNTIF($A$2:A120,A120)</f>
        <v>119</v>
      </c>
      <c r="G120" s="0" t="n">
        <f aca="false">ROUNDUP(C120*1.236/75,0)</f>
        <v>1</v>
      </c>
      <c r="H120" s="0" t="n">
        <f aca="false">IF(MOD(F120-1,2)=0,SUMPRODUCT(($A$2:$A$644=A120)*(ROW($A$2:$A$644)&gt;=ROW())*(ROW($A$2:$A$644)&lt;ROW()+2)*$C$2:$C$644),"")</f>
        <v>45</v>
      </c>
      <c r="I120" s="0" t="n">
        <f aca="false">IF(H120="","",ROUNDUP(H120/75,0))</f>
        <v>1</v>
      </c>
      <c r="J120" s="0" t="str">
        <f aca="false">IF(MOD(F120-1,3)=0,SUMPRODUCT(($A$2:$A$644=A120)*(ROW($A$2:$A$644)&gt;=ROW())*(ROW($A$2:$A$644)&lt;ROW()+3)*$C$2:$C$644),"")</f>
        <v/>
      </c>
      <c r="K120" s="0" t="str">
        <f aca="false">IF(J120="","",ROUNDUP(J120/75,0))</f>
        <v/>
      </c>
      <c r="L120" s="0" t="str">
        <f aca="false">IF(MOD(F120-1,5)=0,SUMPRODUCT(($A$2:$A$644=A120)*(ROW($A$2:$A$644)&gt;=ROW())*(ROW($A$2:$A$644)&lt;ROW()+5)*$C$2:$C$644),"")</f>
        <v/>
      </c>
      <c r="M120" s="0" t="str">
        <f aca="false">IF(L120="","",ROUNDUP(L120/75,0))</f>
        <v/>
      </c>
      <c r="N120" s="0" t="str">
        <f aca="false">IF(MOD(F120-1,7)=0,SUMPRODUCT(($A$2:$A$644=A120)*(ROW($A$2:$A$644)&gt;=ROW())*(ROW($A$2:$A$644)&lt;ROW()+7)*$C$2:$C$644),"")</f>
        <v/>
      </c>
      <c r="O120" s="0" t="str">
        <f aca="false">IF(N120="","",ROUNDUP(N120/75,0))</f>
        <v/>
      </c>
    </row>
    <row r="121" customFormat="false" ht="15" hidden="false" customHeight="false" outlineLevel="0" collapsed="false">
      <c r="A121" s="0" t="s">
        <v>33</v>
      </c>
      <c r="B121" s="0" t="s">
        <v>153</v>
      </c>
      <c r="C121" s="0" t="n">
        <v>24</v>
      </c>
      <c r="D121" s="0" t="n">
        <v>1</v>
      </c>
      <c r="E121" s="0" t="n">
        <v>51</v>
      </c>
      <c r="F121" s="0" t="n">
        <f aca="false">COUNTIF($A$2:A121,A121)</f>
        <v>120</v>
      </c>
      <c r="G121" s="0" t="n">
        <f aca="false">ROUNDUP(C121*1.236/75,0)</f>
        <v>1</v>
      </c>
      <c r="H121" s="0" t="str">
        <f aca="false">IF(MOD(F121-1,2)=0,SUMPRODUCT(($A$2:$A$644=A121)*(ROW($A$2:$A$644)&gt;=ROW())*(ROW($A$2:$A$644)&lt;ROW()+2)*$C$2:$C$644),"")</f>
        <v/>
      </c>
      <c r="I121" s="0" t="str">
        <f aca="false">IF(H121="","",ROUNDUP(H121/75,0))</f>
        <v/>
      </c>
      <c r="J121" s="0" t="str">
        <f aca="false">IF(MOD(F121-1,3)=0,SUMPRODUCT(($A$2:$A$644=A121)*(ROW($A$2:$A$644)&gt;=ROW())*(ROW($A$2:$A$644)&lt;ROW()+3)*$C$2:$C$644),"")</f>
        <v/>
      </c>
      <c r="K121" s="0" t="str">
        <f aca="false">IF(J121="","",ROUNDUP(J121/75,0))</f>
        <v/>
      </c>
      <c r="L121" s="0" t="str">
        <f aca="false">IF(MOD(F121-1,5)=0,SUMPRODUCT(($A$2:$A$644=A121)*(ROW($A$2:$A$644)&gt;=ROW())*(ROW($A$2:$A$644)&lt;ROW()+5)*$C$2:$C$644),"")</f>
        <v/>
      </c>
      <c r="M121" s="0" t="str">
        <f aca="false">IF(L121="","",ROUNDUP(L121/75,0))</f>
        <v/>
      </c>
      <c r="N121" s="0" t="n">
        <f aca="false">IF(MOD(F121-1,7)=0,SUMPRODUCT(($A$2:$A$644=A121)*(ROW($A$2:$A$644)&gt;=ROW())*(ROW($A$2:$A$644)&lt;ROW()+7)*$C$2:$C$644),"")</f>
        <v>396</v>
      </c>
      <c r="O121" s="0" t="n">
        <f aca="false">IF(N121="","",ROUNDUP(N121/75,0))</f>
        <v>6</v>
      </c>
    </row>
    <row r="122" customFormat="false" ht="15" hidden="false" customHeight="false" outlineLevel="0" collapsed="false">
      <c r="A122" s="0" t="s">
        <v>33</v>
      </c>
      <c r="B122" s="0" t="s">
        <v>154</v>
      </c>
      <c r="C122" s="0" t="n">
        <v>30</v>
      </c>
      <c r="D122" s="0" t="n">
        <v>1</v>
      </c>
      <c r="E122" s="0" t="n">
        <v>45</v>
      </c>
      <c r="F122" s="0" t="n">
        <f aca="false">COUNTIF($A$2:A122,A122)</f>
        <v>121</v>
      </c>
      <c r="G122" s="0" t="n">
        <f aca="false">ROUNDUP(C122*1.236/75,0)</f>
        <v>1</v>
      </c>
      <c r="H122" s="0" t="n">
        <f aca="false">IF(MOD(F122-1,2)=0,SUMPRODUCT(($A$2:$A$644=A122)*(ROW($A$2:$A$644)&gt;=ROW())*(ROW($A$2:$A$644)&lt;ROW()+2)*$C$2:$C$644),"")</f>
        <v>48</v>
      </c>
      <c r="I122" s="0" t="n">
        <f aca="false">IF(H122="","",ROUNDUP(H122/75,0))</f>
        <v>1</v>
      </c>
      <c r="J122" s="0" t="n">
        <f aca="false">IF(MOD(F122-1,3)=0,SUMPRODUCT(($A$2:$A$644=A122)*(ROW($A$2:$A$644)&gt;=ROW())*(ROW($A$2:$A$644)&lt;ROW()+3)*$C$2:$C$644),"")</f>
        <v>66</v>
      </c>
      <c r="K122" s="0" t="n">
        <f aca="false">IF(J122="","",ROUNDUP(J122/75,0))</f>
        <v>1</v>
      </c>
      <c r="L122" s="0" t="n">
        <f aca="false">IF(MOD(F122-1,5)=0,SUMPRODUCT(($A$2:$A$644=A122)*(ROW($A$2:$A$644)&gt;=ROW())*(ROW($A$2:$A$644)&lt;ROW()+5)*$C$2:$C$644),"")</f>
        <v>258</v>
      </c>
      <c r="M122" s="0" t="n">
        <f aca="false">IF(L122="","",ROUNDUP(L122/75,0))</f>
        <v>4</v>
      </c>
      <c r="N122" s="0" t="str">
        <f aca="false">IF(MOD(F122-1,7)=0,SUMPRODUCT(($A$2:$A$644=A122)*(ROW($A$2:$A$644)&gt;=ROW())*(ROW($A$2:$A$644)&lt;ROW()+7)*$C$2:$C$644),"")</f>
        <v/>
      </c>
      <c r="O122" s="0" t="str">
        <f aca="false">IF(N122="","",ROUNDUP(N122/75,0))</f>
        <v/>
      </c>
    </row>
    <row r="123" customFormat="false" ht="15" hidden="false" customHeight="false" outlineLevel="0" collapsed="false">
      <c r="A123" s="0" t="s">
        <v>33</v>
      </c>
      <c r="B123" s="0" t="s">
        <v>155</v>
      </c>
      <c r="C123" s="0" t="n">
        <v>18</v>
      </c>
      <c r="D123" s="0" t="n">
        <v>1</v>
      </c>
      <c r="E123" s="0" t="n">
        <v>57</v>
      </c>
      <c r="F123" s="0" t="n">
        <f aca="false">COUNTIF($A$2:A123,A123)</f>
        <v>122</v>
      </c>
      <c r="G123" s="0" t="n">
        <f aca="false">ROUNDUP(C123*1.236/75,0)</f>
        <v>1</v>
      </c>
      <c r="H123" s="0" t="str">
        <f aca="false">IF(MOD(F123-1,2)=0,SUMPRODUCT(($A$2:$A$644=A123)*(ROW($A$2:$A$644)&gt;=ROW())*(ROW($A$2:$A$644)&lt;ROW()+2)*$C$2:$C$644),"")</f>
        <v/>
      </c>
      <c r="I123" s="0" t="str">
        <f aca="false">IF(H123="","",ROUNDUP(H123/75,0))</f>
        <v/>
      </c>
      <c r="J123" s="0" t="str">
        <f aca="false">IF(MOD(F123-1,3)=0,SUMPRODUCT(($A$2:$A$644=A123)*(ROW($A$2:$A$644)&gt;=ROW())*(ROW($A$2:$A$644)&lt;ROW()+3)*$C$2:$C$644),"")</f>
        <v/>
      </c>
      <c r="K123" s="0" t="str">
        <f aca="false">IF(J123="","",ROUNDUP(J123/75,0))</f>
        <v/>
      </c>
      <c r="L123" s="0" t="str">
        <f aca="false">IF(MOD(F123-1,5)=0,SUMPRODUCT(($A$2:$A$644=A123)*(ROW($A$2:$A$644)&gt;=ROW())*(ROW($A$2:$A$644)&lt;ROW()+5)*$C$2:$C$644),"")</f>
        <v/>
      </c>
      <c r="M123" s="0" t="str">
        <f aca="false">IF(L123="","",ROUNDUP(L123/75,0))</f>
        <v/>
      </c>
      <c r="N123" s="0" t="str">
        <f aca="false">IF(MOD(F123-1,7)=0,SUMPRODUCT(($A$2:$A$644=A123)*(ROW($A$2:$A$644)&gt;=ROW())*(ROW($A$2:$A$644)&lt;ROW()+7)*$C$2:$C$644),"")</f>
        <v/>
      </c>
      <c r="O123" s="0" t="str">
        <f aca="false">IF(N123="","",ROUNDUP(N123/75,0))</f>
        <v/>
      </c>
    </row>
    <row r="124" customFormat="false" ht="15" hidden="false" customHeight="false" outlineLevel="0" collapsed="false">
      <c r="A124" s="0" t="s">
        <v>33</v>
      </c>
      <c r="B124" s="0" t="s">
        <v>156</v>
      </c>
      <c r="C124" s="0" t="n">
        <v>18</v>
      </c>
      <c r="D124" s="0" t="n">
        <v>1</v>
      </c>
      <c r="E124" s="0" t="n">
        <v>57</v>
      </c>
      <c r="F124" s="0" t="n">
        <f aca="false">COUNTIF($A$2:A124,A124)</f>
        <v>123</v>
      </c>
      <c r="G124" s="0" t="n">
        <f aca="false">ROUNDUP(C124*1.236/75,0)</f>
        <v>1</v>
      </c>
      <c r="H124" s="0" t="n">
        <f aca="false">IF(MOD(F124-1,2)=0,SUMPRODUCT(($A$2:$A$644=A124)*(ROW($A$2:$A$644)&gt;=ROW())*(ROW($A$2:$A$644)&lt;ROW()+2)*$C$2:$C$644),"")</f>
        <v>120</v>
      </c>
      <c r="I124" s="0" t="n">
        <f aca="false">IF(H124="","",ROUNDUP(H124/75,0))</f>
        <v>2</v>
      </c>
      <c r="J124" s="0" t="str">
        <f aca="false">IF(MOD(F124-1,3)=0,SUMPRODUCT(($A$2:$A$644=A124)*(ROW($A$2:$A$644)&gt;=ROW())*(ROW($A$2:$A$644)&lt;ROW()+3)*$C$2:$C$644),"")</f>
        <v/>
      </c>
      <c r="K124" s="0" t="str">
        <f aca="false">IF(J124="","",ROUNDUP(J124/75,0))</f>
        <v/>
      </c>
      <c r="L124" s="0" t="str">
        <f aca="false">IF(MOD(F124-1,5)=0,SUMPRODUCT(($A$2:$A$644=A124)*(ROW($A$2:$A$644)&gt;=ROW())*(ROW($A$2:$A$644)&lt;ROW()+5)*$C$2:$C$644),"")</f>
        <v/>
      </c>
      <c r="M124" s="0" t="str">
        <f aca="false">IF(L124="","",ROUNDUP(L124/75,0))</f>
        <v/>
      </c>
      <c r="N124" s="0" t="str">
        <f aca="false">IF(MOD(F124-1,7)=0,SUMPRODUCT(($A$2:$A$644=A124)*(ROW($A$2:$A$644)&gt;=ROW())*(ROW($A$2:$A$644)&lt;ROW()+7)*$C$2:$C$644),"")</f>
        <v/>
      </c>
      <c r="O124" s="0" t="str">
        <f aca="false">IF(N124="","",ROUNDUP(N124/75,0))</f>
        <v/>
      </c>
    </row>
    <row r="125" customFormat="false" ht="15" hidden="false" customHeight="false" outlineLevel="0" collapsed="false">
      <c r="A125" s="0" t="s">
        <v>33</v>
      </c>
      <c r="B125" s="0" t="s">
        <v>157</v>
      </c>
      <c r="C125" s="0" t="n">
        <v>102</v>
      </c>
      <c r="D125" s="0" t="n">
        <v>2</v>
      </c>
      <c r="E125" s="0" t="n">
        <v>48</v>
      </c>
      <c r="F125" s="0" t="n">
        <f aca="false">COUNTIF($A$2:A125,A125)</f>
        <v>124</v>
      </c>
      <c r="G125" s="0" t="n">
        <f aca="false">ROUNDUP(C125*1.236/75,0)</f>
        <v>2</v>
      </c>
      <c r="H125" s="0" t="str">
        <f aca="false">IF(MOD(F125-1,2)=0,SUMPRODUCT(($A$2:$A$644=A125)*(ROW($A$2:$A$644)&gt;=ROW())*(ROW($A$2:$A$644)&lt;ROW()+2)*$C$2:$C$644),"")</f>
        <v/>
      </c>
      <c r="I125" s="0" t="str">
        <f aca="false">IF(H125="","",ROUNDUP(H125/75,0))</f>
        <v/>
      </c>
      <c r="J125" s="0" t="n">
        <f aca="false">IF(MOD(F125-1,3)=0,SUMPRODUCT(($A$2:$A$644=A125)*(ROW($A$2:$A$644)&gt;=ROW())*(ROW($A$2:$A$644)&lt;ROW()+3)*$C$2:$C$644),"")</f>
        <v>306</v>
      </c>
      <c r="K125" s="0" t="n">
        <f aca="false">IF(J125="","",ROUNDUP(J125/75,0))</f>
        <v>5</v>
      </c>
      <c r="L125" s="0" t="str">
        <f aca="false">IF(MOD(F125-1,5)=0,SUMPRODUCT(($A$2:$A$644=A125)*(ROW($A$2:$A$644)&gt;=ROW())*(ROW($A$2:$A$644)&lt;ROW()+5)*$C$2:$C$644),"")</f>
        <v/>
      </c>
      <c r="M125" s="0" t="str">
        <f aca="false">IF(L125="","",ROUNDUP(L125/75,0))</f>
        <v/>
      </c>
      <c r="N125" s="0" t="str">
        <f aca="false">IF(MOD(F125-1,7)=0,SUMPRODUCT(($A$2:$A$644=A125)*(ROW($A$2:$A$644)&gt;=ROW())*(ROW($A$2:$A$644)&lt;ROW()+7)*$C$2:$C$644),"")</f>
        <v/>
      </c>
      <c r="O125" s="0" t="str">
        <f aca="false">IF(N125="","",ROUNDUP(N125/75,0))</f>
        <v/>
      </c>
    </row>
    <row r="126" customFormat="false" ht="15" hidden="false" customHeight="false" outlineLevel="0" collapsed="false">
      <c r="A126" s="0" t="s">
        <v>33</v>
      </c>
      <c r="B126" s="0" t="s">
        <v>158</v>
      </c>
      <c r="C126" s="0" t="n">
        <v>90</v>
      </c>
      <c r="D126" s="0" t="n">
        <v>2</v>
      </c>
      <c r="E126" s="0" t="n">
        <v>60</v>
      </c>
      <c r="F126" s="0" t="n">
        <f aca="false">COUNTIF($A$2:A126,A126)</f>
        <v>125</v>
      </c>
      <c r="G126" s="0" t="n">
        <f aca="false">ROUNDUP(C126*1.236/75,0)</f>
        <v>2</v>
      </c>
      <c r="H126" s="0" t="n">
        <f aca="false">IF(MOD(F126-1,2)=0,SUMPRODUCT(($A$2:$A$644=A126)*(ROW($A$2:$A$644)&gt;=ROW())*(ROW($A$2:$A$644)&lt;ROW()+2)*$C$2:$C$644),"")</f>
        <v>204</v>
      </c>
      <c r="I126" s="0" t="n">
        <f aca="false">IF(H126="","",ROUNDUP(H126/75,0))</f>
        <v>3</v>
      </c>
      <c r="J126" s="0" t="str">
        <f aca="false">IF(MOD(F126-1,3)=0,SUMPRODUCT(($A$2:$A$644=A126)*(ROW($A$2:$A$644)&gt;=ROW())*(ROW($A$2:$A$644)&lt;ROW()+3)*$C$2:$C$644),"")</f>
        <v/>
      </c>
      <c r="K126" s="0" t="str">
        <f aca="false">IF(J126="","",ROUNDUP(J126/75,0))</f>
        <v/>
      </c>
      <c r="L126" s="0" t="str">
        <f aca="false">IF(MOD(F126-1,5)=0,SUMPRODUCT(($A$2:$A$644=A126)*(ROW($A$2:$A$644)&gt;=ROW())*(ROW($A$2:$A$644)&lt;ROW()+5)*$C$2:$C$644),"")</f>
        <v/>
      </c>
      <c r="M126" s="0" t="str">
        <f aca="false">IF(L126="","",ROUNDUP(L126/75,0))</f>
        <v/>
      </c>
      <c r="N126" s="0" t="str">
        <f aca="false">IF(MOD(F126-1,7)=0,SUMPRODUCT(($A$2:$A$644=A126)*(ROW($A$2:$A$644)&gt;=ROW())*(ROW($A$2:$A$644)&lt;ROW()+7)*$C$2:$C$644),"")</f>
        <v/>
      </c>
      <c r="O126" s="0" t="str">
        <f aca="false">IF(N126="","",ROUNDUP(N126/75,0))</f>
        <v/>
      </c>
    </row>
    <row r="127" customFormat="false" ht="15" hidden="false" customHeight="false" outlineLevel="0" collapsed="false">
      <c r="A127" s="0" t="s">
        <v>33</v>
      </c>
      <c r="B127" s="0" t="s">
        <v>159</v>
      </c>
      <c r="C127" s="0" t="n">
        <v>114</v>
      </c>
      <c r="D127" s="0" t="n">
        <v>2</v>
      </c>
      <c r="E127" s="0" t="n">
        <v>36</v>
      </c>
      <c r="F127" s="0" t="n">
        <f aca="false">COUNTIF($A$2:A127,A127)</f>
        <v>126</v>
      </c>
      <c r="G127" s="0" t="n">
        <f aca="false">ROUNDUP(C127*1.236/75,0)</f>
        <v>2</v>
      </c>
      <c r="H127" s="0" t="str">
        <f aca="false">IF(MOD(F127-1,2)=0,SUMPRODUCT(($A$2:$A$644=A127)*(ROW($A$2:$A$644)&gt;=ROW())*(ROW($A$2:$A$644)&lt;ROW()+2)*$C$2:$C$644),"")</f>
        <v/>
      </c>
      <c r="I127" s="0" t="str">
        <f aca="false">IF(H127="","",ROUNDUP(H127/75,0))</f>
        <v/>
      </c>
      <c r="J127" s="0" t="str">
        <f aca="false">IF(MOD(F127-1,3)=0,SUMPRODUCT(($A$2:$A$644=A127)*(ROW($A$2:$A$644)&gt;=ROW())*(ROW($A$2:$A$644)&lt;ROW()+3)*$C$2:$C$644),"")</f>
        <v/>
      </c>
      <c r="K127" s="0" t="str">
        <f aca="false">IF(J127="","",ROUNDUP(J127/75,0))</f>
        <v/>
      </c>
      <c r="L127" s="0" t="n">
        <f aca="false">IF(MOD(F127-1,5)=0,SUMPRODUCT(($A$2:$A$644=A127)*(ROW($A$2:$A$644)&gt;=ROW())*(ROW($A$2:$A$644)&lt;ROW()+5)*$C$2:$C$644),"")</f>
        <v>402</v>
      </c>
      <c r="M127" s="0" t="n">
        <f aca="false">IF(L127="","",ROUNDUP(L127/75,0))</f>
        <v>6</v>
      </c>
      <c r="N127" s="0" t="str">
        <f aca="false">IF(MOD(F127-1,7)=0,SUMPRODUCT(($A$2:$A$644=A127)*(ROW($A$2:$A$644)&gt;=ROW())*(ROW($A$2:$A$644)&lt;ROW()+7)*$C$2:$C$644),"")</f>
        <v/>
      </c>
      <c r="O127" s="0" t="str">
        <f aca="false">IF(N127="","",ROUNDUP(N127/75,0))</f>
        <v/>
      </c>
    </row>
    <row r="128" customFormat="false" ht="15" hidden="false" customHeight="false" outlineLevel="0" collapsed="false">
      <c r="A128" s="0" t="s">
        <v>33</v>
      </c>
      <c r="B128" s="0" t="s">
        <v>160</v>
      </c>
      <c r="C128" s="0" t="n">
        <v>78</v>
      </c>
      <c r="D128" s="0" t="n">
        <v>2</v>
      </c>
      <c r="E128" s="0" t="n">
        <v>72</v>
      </c>
      <c r="F128" s="0" t="n">
        <f aca="false">COUNTIF($A$2:A128,A128)</f>
        <v>127</v>
      </c>
      <c r="G128" s="0" t="n">
        <f aca="false">ROUNDUP(C128*1.236/75,0)</f>
        <v>2</v>
      </c>
      <c r="H128" s="0" t="n">
        <f aca="false">IF(MOD(F128-1,2)=0,SUMPRODUCT(($A$2:$A$644=A128)*(ROW($A$2:$A$644)&gt;=ROW())*(ROW($A$2:$A$644)&lt;ROW()+2)*$C$2:$C$644),"")</f>
        <v>174</v>
      </c>
      <c r="I128" s="0" t="n">
        <f aca="false">IF(H128="","",ROUNDUP(H128/75,0))</f>
        <v>3</v>
      </c>
      <c r="J128" s="0" t="n">
        <f aca="false">IF(MOD(F128-1,3)=0,SUMPRODUCT(($A$2:$A$644=A128)*(ROW($A$2:$A$644)&gt;=ROW())*(ROW($A$2:$A$644)&lt;ROW()+3)*$C$2:$C$644),"")</f>
        <v>210</v>
      </c>
      <c r="K128" s="0" t="n">
        <f aca="false">IF(J128="","",ROUNDUP(J128/75,0))</f>
        <v>3</v>
      </c>
      <c r="L128" s="0" t="str">
        <f aca="false">IF(MOD(F128-1,5)=0,SUMPRODUCT(($A$2:$A$644=A128)*(ROW($A$2:$A$644)&gt;=ROW())*(ROW($A$2:$A$644)&lt;ROW()+5)*$C$2:$C$644),"")</f>
        <v/>
      </c>
      <c r="M128" s="0" t="str">
        <f aca="false">IF(L128="","",ROUNDUP(L128/75,0))</f>
        <v/>
      </c>
      <c r="N128" s="0" t="n">
        <f aca="false">IF(MOD(F128-1,7)=0,SUMPRODUCT(($A$2:$A$644=A128)*(ROW($A$2:$A$644)&gt;=ROW())*(ROW($A$2:$A$644)&lt;ROW()+7)*$C$2:$C$644),"")</f>
        <v>537</v>
      </c>
      <c r="O128" s="0" t="n">
        <f aca="false">IF(N128="","",ROUNDUP(N128/75,0))</f>
        <v>8</v>
      </c>
    </row>
    <row r="129" customFormat="false" ht="15" hidden="false" customHeight="false" outlineLevel="0" collapsed="false">
      <c r="A129" s="0" t="s">
        <v>33</v>
      </c>
      <c r="B129" s="0" t="s">
        <v>161</v>
      </c>
      <c r="C129" s="0" t="n">
        <v>96</v>
      </c>
      <c r="D129" s="0" t="n">
        <v>2</v>
      </c>
      <c r="E129" s="0" t="n">
        <v>54</v>
      </c>
      <c r="F129" s="0" t="n">
        <f aca="false">COUNTIF($A$2:A129,A129)</f>
        <v>128</v>
      </c>
      <c r="G129" s="0" t="n">
        <f aca="false">ROUNDUP(C129*1.236/75,0)</f>
        <v>2</v>
      </c>
      <c r="H129" s="0" t="str">
        <f aca="false">IF(MOD(F129-1,2)=0,SUMPRODUCT(($A$2:$A$644=A129)*(ROW($A$2:$A$644)&gt;=ROW())*(ROW($A$2:$A$644)&lt;ROW()+2)*$C$2:$C$644),"")</f>
        <v/>
      </c>
      <c r="I129" s="0" t="str">
        <f aca="false">IF(H129="","",ROUNDUP(H129/75,0))</f>
        <v/>
      </c>
      <c r="J129" s="0" t="str">
        <f aca="false">IF(MOD(F129-1,3)=0,SUMPRODUCT(($A$2:$A$644=A129)*(ROW($A$2:$A$644)&gt;=ROW())*(ROW($A$2:$A$644)&lt;ROW()+3)*$C$2:$C$644),"")</f>
        <v/>
      </c>
      <c r="K129" s="0" t="str">
        <f aca="false">IF(J129="","",ROUNDUP(J129/75,0))</f>
        <v/>
      </c>
      <c r="L129" s="0" t="str">
        <f aca="false">IF(MOD(F129-1,5)=0,SUMPRODUCT(($A$2:$A$644=A129)*(ROW($A$2:$A$644)&gt;=ROW())*(ROW($A$2:$A$644)&lt;ROW()+5)*$C$2:$C$644),"")</f>
        <v/>
      </c>
      <c r="M129" s="0" t="str">
        <f aca="false">IF(L129="","",ROUNDUP(L129/75,0))</f>
        <v/>
      </c>
      <c r="N129" s="0" t="str">
        <f aca="false">IF(MOD(F129-1,7)=0,SUMPRODUCT(($A$2:$A$644=A129)*(ROW($A$2:$A$644)&gt;=ROW())*(ROW($A$2:$A$644)&lt;ROW()+7)*$C$2:$C$644),"")</f>
        <v/>
      </c>
      <c r="O129" s="0" t="str">
        <f aca="false">IF(N129="","",ROUNDUP(N129/75,0))</f>
        <v/>
      </c>
    </row>
    <row r="130" customFormat="false" ht="15" hidden="false" customHeight="false" outlineLevel="0" collapsed="false">
      <c r="A130" s="0" t="s">
        <v>33</v>
      </c>
      <c r="B130" s="0" t="s">
        <v>162</v>
      </c>
      <c r="C130" s="0" t="n">
        <v>36</v>
      </c>
      <c r="D130" s="0" t="n">
        <v>1</v>
      </c>
      <c r="E130" s="0" t="n">
        <v>39</v>
      </c>
      <c r="F130" s="0" t="n">
        <f aca="false">COUNTIF($A$2:A130,A130)</f>
        <v>129</v>
      </c>
      <c r="G130" s="0" t="n">
        <f aca="false">ROUNDUP(C130*1.236/75,0)</f>
        <v>1</v>
      </c>
      <c r="H130" s="0" t="n">
        <f aca="false">IF(MOD(F130-1,2)=0,SUMPRODUCT(($A$2:$A$644=A130)*(ROW($A$2:$A$644)&gt;=ROW())*(ROW($A$2:$A$644)&lt;ROW()+2)*$C$2:$C$644),"")</f>
        <v>114</v>
      </c>
      <c r="I130" s="0" t="n">
        <f aca="false">IF(H130="","",ROUNDUP(H130/75,0))</f>
        <v>2</v>
      </c>
      <c r="J130" s="0" t="str">
        <f aca="false">IF(MOD(F130-1,3)=0,SUMPRODUCT(($A$2:$A$644=A130)*(ROW($A$2:$A$644)&gt;=ROW())*(ROW($A$2:$A$644)&lt;ROW()+3)*$C$2:$C$644),"")</f>
        <v/>
      </c>
      <c r="K130" s="0" t="str">
        <f aca="false">IF(J130="","",ROUNDUP(J130/75,0))</f>
        <v/>
      </c>
      <c r="L130" s="0" t="str">
        <f aca="false">IF(MOD(F130-1,5)=0,SUMPRODUCT(($A$2:$A$644=A130)*(ROW($A$2:$A$644)&gt;=ROW())*(ROW($A$2:$A$644)&lt;ROW()+5)*$C$2:$C$644),"")</f>
        <v/>
      </c>
      <c r="M130" s="0" t="str">
        <f aca="false">IF(L130="","",ROUNDUP(L130/75,0))</f>
        <v/>
      </c>
      <c r="N130" s="0" t="str">
        <f aca="false">IF(MOD(F130-1,7)=0,SUMPRODUCT(($A$2:$A$644=A130)*(ROW($A$2:$A$644)&gt;=ROW())*(ROW($A$2:$A$644)&lt;ROW()+7)*$C$2:$C$644),"")</f>
        <v/>
      </c>
      <c r="O130" s="0" t="str">
        <f aca="false">IF(N130="","",ROUNDUP(N130/75,0))</f>
        <v/>
      </c>
    </row>
    <row r="131" customFormat="false" ht="15" hidden="false" customHeight="false" outlineLevel="0" collapsed="false">
      <c r="A131" s="0" t="s">
        <v>33</v>
      </c>
      <c r="B131" s="0" t="s">
        <v>163</v>
      </c>
      <c r="C131" s="0" t="n">
        <v>78</v>
      </c>
      <c r="D131" s="0" t="n">
        <v>2</v>
      </c>
      <c r="E131" s="0" t="n">
        <v>72</v>
      </c>
      <c r="F131" s="0" t="n">
        <f aca="false">COUNTIF($A$2:A131,A131)</f>
        <v>130</v>
      </c>
      <c r="G131" s="0" t="n">
        <f aca="false">ROUNDUP(C131*1.236/75,0)</f>
        <v>2</v>
      </c>
      <c r="H131" s="0" t="str">
        <f aca="false">IF(MOD(F131-1,2)=0,SUMPRODUCT(($A$2:$A$644=A131)*(ROW($A$2:$A$644)&gt;=ROW())*(ROW($A$2:$A$644)&lt;ROW()+2)*$C$2:$C$644),"")</f>
        <v/>
      </c>
      <c r="I131" s="0" t="str">
        <f aca="false">IF(H131="","",ROUNDUP(H131/75,0))</f>
        <v/>
      </c>
      <c r="J131" s="0" t="n">
        <f aca="false">IF(MOD(F131-1,3)=0,SUMPRODUCT(($A$2:$A$644=A131)*(ROW($A$2:$A$644)&gt;=ROW())*(ROW($A$2:$A$644)&lt;ROW()+3)*$C$2:$C$644),"")</f>
        <v>306</v>
      </c>
      <c r="K131" s="0" t="n">
        <f aca="false">IF(J131="","",ROUNDUP(J131/75,0))</f>
        <v>5</v>
      </c>
      <c r="L131" s="0" t="str">
        <f aca="false">IF(MOD(F131-1,5)=0,SUMPRODUCT(($A$2:$A$644=A131)*(ROW($A$2:$A$644)&gt;=ROW())*(ROW($A$2:$A$644)&lt;ROW()+5)*$C$2:$C$644),"")</f>
        <v/>
      </c>
      <c r="M131" s="0" t="str">
        <f aca="false">IF(L131="","",ROUNDUP(L131/75,0))</f>
        <v/>
      </c>
      <c r="N131" s="0" t="str">
        <f aca="false">IF(MOD(F131-1,7)=0,SUMPRODUCT(($A$2:$A$644=A131)*(ROW($A$2:$A$644)&gt;=ROW())*(ROW($A$2:$A$644)&lt;ROW()+7)*$C$2:$C$644),"")</f>
        <v/>
      </c>
      <c r="O131" s="0" t="str">
        <f aca="false">IF(N131="","",ROUNDUP(N131/75,0))</f>
        <v/>
      </c>
    </row>
    <row r="132" customFormat="false" ht="15" hidden="false" customHeight="false" outlineLevel="0" collapsed="false">
      <c r="A132" s="0" t="s">
        <v>33</v>
      </c>
      <c r="B132" s="0" t="s">
        <v>164</v>
      </c>
      <c r="C132" s="0" t="n">
        <v>192</v>
      </c>
      <c r="D132" s="0" t="n">
        <v>3</v>
      </c>
      <c r="E132" s="0" t="n">
        <v>33</v>
      </c>
      <c r="F132" s="0" t="n">
        <f aca="false">COUNTIF($A$2:A132,A132)</f>
        <v>131</v>
      </c>
      <c r="G132" s="0" t="n">
        <f aca="false">ROUNDUP(C132*1.236/75,0)</f>
        <v>4</v>
      </c>
      <c r="H132" s="0" t="n">
        <f aca="false">IF(MOD(F132-1,2)=0,SUMPRODUCT(($A$2:$A$644=A132)*(ROW($A$2:$A$644)&gt;=ROW())*(ROW($A$2:$A$644)&lt;ROW()+2)*$C$2:$C$644),"")</f>
        <v>228</v>
      </c>
      <c r="I132" s="0" t="n">
        <f aca="false">IF(H132="","",ROUNDUP(H132/75,0))</f>
        <v>4</v>
      </c>
      <c r="J132" s="0" t="str">
        <f aca="false">IF(MOD(F132-1,3)=0,SUMPRODUCT(($A$2:$A$644=A132)*(ROW($A$2:$A$644)&gt;=ROW())*(ROW($A$2:$A$644)&lt;ROW()+3)*$C$2:$C$644),"")</f>
        <v/>
      </c>
      <c r="K132" s="0" t="str">
        <f aca="false">IF(J132="","",ROUNDUP(J132/75,0))</f>
        <v/>
      </c>
      <c r="L132" s="0" t="n">
        <f aca="false">IF(MOD(F132-1,5)=0,SUMPRODUCT(($A$2:$A$644=A132)*(ROW($A$2:$A$644)&gt;=ROW())*(ROW($A$2:$A$644)&lt;ROW()+5)*$C$2:$C$644),"")</f>
        <v>321</v>
      </c>
      <c r="M132" s="0" t="n">
        <f aca="false">IF(L132="","",ROUNDUP(L132/75,0))</f>
        <v>5</v>
      </c>
      <c r="N132" s="0" t="str">
        <f aca="false">IF(MOD(F132-1,7)=0,SUMPRODUCT(($A$2:$A$644=A132)*(ROW($A$2:$A$644)&gt;=ROW())*(ROW($A$2:$A$644)&lt;ROW()+7)*$C$2:$C$644),"")</f>
        <v/>
      </c>
      <c r="O132" s="0" t="str">
        <f aca="false">IF(N132="","",ROUNDUP(N132/75,0))</f>
        <v/>
      </c>
    </row>
    <row r="133" customFormat="false" ht="15" hidden="false" customHeight="false" outlineLevel="0" collapsed="false">
      <c r="A133" s="0" t="s">
        <v>33</v>
      </c>
      <c r="B133" s="0" t="s">
        <v>165</v>
      </c>
      <c r="C133" s="0" t="n">
        <v>36</v>
      </c>
      <c r="D133" s="0" t="n">
        <v>1</v>
      </c>
      <c r="E133" s="0" t="n">
        <v>39</v>
      </c>
      <c r="F133" s="0" t="n">
        <f aca="false">COUNTIF($A$2:A133,A133)</f>
        <v>132</v>
      </c>
      <c r="G133" s="0" t="n">
        <f aca="false">ROUNDUP(C133*1.236/75,0)</f>
        <v>1</v>
      </c>
      <c r="H133" s="0" t="str">
        <f aca="false">IF(MOD(F133-1,2)=0,SUMPRODUCT(($A$2:$A$644=A133)*(ROW($A$2:$A$644)&gt;=ROW())*(ROW($A$2:$A$644)&lt;ROW()+2)*$C$2:$C$644),"")</f>
        <v/>
      </c>
      <c r="I133" s="0" t="str">
        <f aca="false">IF(H133="","",ROUNDUP(H133/75,0))</f>
        <v/>
      </c>
      <c r="J133" s="0" t="str">
        <f aca="false">IF(MOD(F133-1,3)=0,SUMPRODUCT(($A$2:$A$644=A133)*(ROW($A$2:$A$644)&gt;=ROW())*(ROW($A$2:$A$644)&lt;ROW()+3)*$C$2:$C$644),"")</f>
        <v/>
      </c>
      <c r="K133" s="0" t="str">
        <f aca="false">IF(J133="","",ROUNDUP(J133/75,0))</f>
        <v/>
      </c>
      <c r="L133" s="0" t="str">
        <f aca="false">IF(MOD(F133-1,5)=0,SUMPRODUCT(($A$2:$A$644=A133)*(ROW($A$2:$A$644)&gt;=ROW())*(ROW($A$2:$A$644)&lt;ROW()+5)*$C$2:$C$644),"")</f>
        <v/>
      </c>
      <c r="M133" s="0" t="str">
        <f aca="false">IF(L133="","",ROUNDUP(L133/75,0))</f>
        <v/>
      </c>
      <c r="N133" s="0" t="str">
        <f aca="false">IF(MOD(F133-1,7)=0,SUMPRODUCT(($A$2:$A$644=A133)*(ROW($A$2:$A$644)&gt;=ROW())*(ROW($A$2:$A$644)&lt;ROW()+7)*$C$2:$C$644),"")</f>
        <v/>
      </c>
      <c r="O133" s="0" t="str">
        <f aca="false">IF(N133="","",ROUNDUP(N133/75,0))</f>
        <v/>
      </c>
    </row>
    <row r="134" customFormat="false" ht="15" hidden="false" customHeight="false" outlineLevel="0" collapsed="false">
      <c r="A134" s="0" t="s">
        <v>33</v>
      </c>
      <c r="B134" s="0" t="s">
        <v>166</v>
      </c>
      <c r="C134" s="0" t="n">
        <v>21</v>
      </c>
      <c r="D134" s="0" t="n">
        <v>1</v>
      </c>
      <c r="E134" s="0" t="n">
        <v>54</v>
      </c>
      <c r="F134" s="0" t="n">
        <f aca="false">COUNTIF($A$2:A134,A134)</f>
        <v>133</v>
      </c>
      <c r="G134" s="0" t="n">
        <f aca="false">ROUNDUP(C134*1.236/75,0)</f>
        <v>1</v>
      </c>
      <c r="H134" s="0" t="n">
        <f aca="false">IF(MOD(F134-1,2)=0,SUMPRODUCT(($A$2:$A$644=A134)*(ROW($A$2:$A$644)&gt;=ROW())*(ROW($A$2:$A$644)&lt;ROW()+2)*$C$2:$C$644),"")</f>
        <v>57</v>
      </c>
      <c r="I134" s="0" t="n">
        <f aca="false">IF(H134="","",ROUNDUP(H134/75,0))</f>
        <v>1</v>
      </c>
      <c r="J134" s="0" t="n">
        <f aca="false">IF(MOD(F134-1,3)=0,SUMPRODUCT(($A$2:$A$644=A134)*(ROW($A$2:$A$644)&gt;=ROW())*(ROW($A$2:$A$644)&lt;ROW()+3)*$C$2:$C$644),"")</f>
        <v>93</v>
      </c>
      <c r="K134" s="0" t="n">
        <f aca="false">IF(J134="","",ROUNDUP(J134/75,0))</f>
        <v>2</v>
      </c>
      <c r="L134" s="0" t="str">
        <f aca="false">IF(MOD(F134-1,5)=0,SUMPRODUCT(($A$2:$A$644=A134)*(ROW($A$2:$A$644)&gt;=ROW())*(ROW($A$2:$A$644)&lt;ROW()+5)*$C$2:$C$644),"")</f>
        <v/>
      </c>
      <c r="M134" s="0" t="str">
        <f aca="false">IF(L134="","",ROUNDUP(L134/75,0))</f>
        <v/>
      </c>
      <c r="N134" s="0" t="str">
        <f aca="false">IF(MOD(F134-1,7)=0,SUMPRODUCT(($A$2:$A$644=A134)*(ROW($A$2:$A$644)&gt;=ROW())*(ROW($A$2:$A$644)&lt;ROW()+7)*$C$2:$C$644),"")</f>
        <v/>
      </c>
      <c r="O134" s="0" t="str">
        <f aca="false">IF(N134="","",ROUNDUP(N134/75,0))</f>
        <v/>
      </c>
    </row>
    <row r="135" customFormat="false" ht="15" hidden="false" customHeight="false" outlineLevel="0" collapsed="false">
      <c r="A135" s="0" t="s">
        <v>33</v>
      </c>
      <c r="B135" s="0" t="s">
        <v>167</v>
      </c>
      <c r="C135" s="0" t="n">
        <v>36</v>
      </c>
      <c r="D135" s="0" t="n">
        <v>1</v>
      </c>
      <c r="E135" s="0" t="n">
        <v>39</v>
      </c>
      <c r="F135" s="0" t="n">
        <f aca="false">COUNTIF($A$2:A135,A135)</f>
        <v>134</v>
      </c>
      <c r="G135" s="0" t="n">
        <f aca="false">ROUNDUP(C135*1.236/75,0)</f>
        <v>1</v>
      </c>
      <c r="H135" s="0" t="str">
        <f aca="false">IF(MOD(F135-1,2)=0,SUMPRODUCT(($A$2:$A$644=A135)*(ROW($A$2:$A$644)&gt;=ROW())*(ROW($A$2:$A$644)&lt;ROW()+2)*$C$2:$C$644),"")</f>
        <v/>
      </c>
      <c r="I135" s="0" t="str">
        <f aca="false">IF(H135="","",ROUNDUP(H135/75,0))</f>
        <v/>
      </c>
      <c r="J135" s="0" t="str">
        <f aca="false">IF(MOD(F135-1,3)=0,SUMPRODUCT(($A$2:$A$644=A135)*(ROW($A$2:$A$644)&gt;=ROW())*(ROW($A$2:$A$644)&lt;ROW()+3)*$C$2:$C$644),"")</f>
        <v/>
      </c>
      <c r="K135" s="0" t="str">
        <f aca="false">IF(J135="","",ROUNDUP(J135/75,0))</f>
        <v/>
      </c>
      <c r="L135" s="0" t="str">
        <f aca="false">IF(MOD(F135-1,5)=0,SUMPRODUCT(($A$2:$A$644=A135)*(ROW($A$2:$A$644)&gt;=ROW())*(ROW($A$2:$A$644)&lt;ROW()+5)*$C$2:$C$644),"")</f>
        <v/>
      </c>
      <c r="M135" s="0" t="str">
        <f aca="false">IF(L135="","",ROUNDUP(L135/75,0))</f>
        <v/>
      </c>
      <c r="N135" s="0" t="n">
        <f aca="false">IF(MOD(F135-1,7)=0,SUMPRODUCT(($A$2:$A$644=A135)*(ROW($A$2:$A$644)&gt;=ROW())*(ROW($A$2:$A$644)&lt;ROW()+7)*$C$2:$C$644),"")</f>
        <v>264</v>
      </c>
      <c r="O135" s="0" t="n">
        <f aca="false">IF(N135="","",ROUNDUP(N135/75,0))</f>
        <v>4</v>
      </c>
    </row>
    <row r="136" customFormat="false" ht="15" hidden="false" customHeight="false" outlineLevel="0" collapsed="false">
      <c r="A136" s="0" t="s">
        <v>33</v>
      </c>
      <c r="B136" s="0" t="s">
        <v>168</v>
      </c>
      <c r="C136" s="0" t="n">
        <v>36</v>
      </c>
      <c r="D136" s="0" t="n">
        <v>1</v>
      </c>
      <c r="E136" s="0" t="n">
        <v>39</v>
      </c>
      <c r="F136" s="0" t="n">
        <f aca="false">COUNTIF($A$2:A136,A136)</f>
        <v>135</v>
      </c>
      <c r="G136" s="0" t="n">
        <f aca="false">ROUNDUP(C136*1.236/75,0)</f>
        <v>1</v>
      </c>
      <c r="H136" s="0" t="n">
        <f aca="false">IF(MOD(F136-1,2)=0,SUMPRODUCT(($A$2:$A$644=A136)*(ROW($A$2:$A$644)&gt;=ROW())*(ROW($A$2:$A$644)&lt;ROW()+2)*$C$2:$C$644),"")</f>
        <v>90</v>
      </c>
      <c r="I136" s="0" t="n">
        <f aca="false">IF(H136="","",ROUNDUP(H136/75,0))</f>
        <v>2</v>
      </c>
      <c r="J136" s="0" t="str">
        <f aca="false">IF(MOD(F136-1,3)=0,SUMPRODUCT(($A$2:$A$644=A136)*(ROW($A$2:$A$644)&gt;=ROW())*(ROW($A$2:$A$644)&lt;ROW()+3)*$C$2:$C$644),"")</f>
        <v/>
      </c>
      <c r="K136" s="0" t="str">
        <f aca="false">IF(J136="","",ROUNDUP(J136/75,0))</f>
        <v/>
      </c>
      <c r="L136" s="0" t="str">
        <f aca="false">IF(MOD(F136-1,5)=0,SUMPRODUCT(($A$2:$A$644=A136)*(ROW($A$2:$A$644)&gt;=ROW())*(ROW($A$2:$A$644)&lt;ROW()+5)*$C$2:$C$644),"")</f>
        <v/>
      </c>
      <c r="M136" s="0" t="str">
        <f aca="false">IF(L136="","",ROUNDUP(L136/75,0))</f>
        <v/>
      </c>
      <c r="N136" s="0" t="str">
        <f aca="false">IF(MOD(F136-1,7)=0,SUMPRODUCT(($A$2:$A$644=A136)*(ROW($A$2:$A$644)&gt;=ROW())*(ROW($A$2:$A$644)&lt;ROW()+7)*$C$2:$C$644),"")</f>
        <v/>
      </c>
      <c r="O136" s="0" t="str">
        <f aca="false">IF(N136="","",ROUNDUP(N136/75,0))</f>
        <v/>
      </c>
    </row>
    <row r="137" customFormat="false" ht="15" hidden="false" customHeight="false" outlineLevel="0" collapsed="false">
      <c r="A137" s="0" t="s">
        <v>33</v>
      </c>
      <c r="B137" s="0" t="s">
        <v>169</v>
      </c>
      <c r="C137" s="0" t="n">
        <v>54</v>
      </c>
      <c r="D137" s="0" t="n">
        <v>1</v>
      </c>
      <c r="E137" s="0" t="n">
        <v>21</v>
      </c>
      <c r="F137" s="0" t="n">
        <f aca="false">COUNTIF($A$2:A137,A137)</f>
        <v>136</v>
      </c>
      <c r="G137" s="0" t="n">
        <f aca="false">ROUNDUP(C137*1.236/75,0)</f>
        <v>1</v>
      </c>
      <c r="H137" s="0" t="str">
        <f aca="false">IF(MOD(F137-1,2)=0,SUMPRODUCT(($A$2:$A$644=A137)*(ROW($A$2:$A$644)&gt;=ROW())*(ROW($A$2:$A$644)&lt;ROW()+2)*$C$2:$C$644),"")</f>
        <v/>
      </c>
      <c r="I137" s="0" t="str">
        <f aca="false">IF(H137="","",ROUNDUP(H137/75,0))</f>
        <v/>
      </c>
      <c r="J137" s="0" t="n">
        <f aca="false">IF(MOD(F137-1,3)=0,SUMPRODUCT(($A$2:$A$644=A137)*(ROW($A$2:$A$644)&gt;=ROW())*(ROW($A$2:$A$644)&lt;ROW()+3)*$C$2:$C$644),"")</f>
        <v>144</v>
      </c>
      <c r="K137" s="0" t="n">
        <f aca="false">IF(J137="","",ROUNDUP(J137/75,0))</f>
        <v>2</v>
      </c>
      <c r="L137" s="0" t="n">
        <f aca="false">IF(MOD(F137-1,5)=0,SUMPRODUCT(($A$2:$A$644=A137)*(ROW($A$2:$A$644)&gt;=ROW())*(ROW($A$2:$A$644)&lt;ROW()+5)*$C$2:$C$644),"")</f>
        <v>192</v>
      </c>
      <c r="M137" s="0" t="n">
        <f aca="false">IF(L137="","",ROUNDUP(L137/75,0))</f>
        <v>3</v>
      </c>
      <c r="N137" s="0" t="str">
        <f aca="false">IF(MOD(F137-1,7)=0,SUMPRODUCT(($A$2:$A$644=A137)*(ROW($A$2:$A$644)&gt;=ROW())*(ROW($A$2:$A$644)&lt;ROW()+7)*$C$2:$C$644),"")</f>
        <v/>
      </c>
      <c r="O137" s="0" t="str">
        <f aca="false">IF(N137="","",ROUNDUP(N137/75,0))</f>
        <v/>
      </c>
    </row>
    <row r="138" customFormat="false" ht="15" hidden="false" customHeight="false" outlineLevel="0" collapsed="false">
      <c r="A138" s="0" t="s">
        <v>33</v>
      </c>
      <c r="B138" s="0" t="s">
        <v>170</v>
      </c>
      <c r="C138" s="0" t="n">
        <v>60</v>
      </c>
      <c r="D138" s="0" t="n">
        <v>1</v>
      </c>
      <c r="E138" s="0" t="n">
        <v>15</v>
      </c>
      <c r="F138" s="0" t="n">
        <f aca="false">COUNTIF($A$2:A138,A138)</f>
        <v>137</v>
      </c>
      <c r="G138" s="0" t="n">
        <f aca="false">ROUNDUP(C138*1.236/75,0)</f>
        <v>1</v>
      </c>
      <c r="H138" s="0" t="n">
        <f aca="false">IF(MOD(F138-1,2)=0,SUMPRODUCT(($A$2:$A$644=A138)*(ROW($A$2:$A$644)&gt;=ROW())*(ROW($A$2:$A$644)&lt;ROW()+2)*$C$2:$C$644),"")</f>
        <v>90</v>
      </c>
      <c r="I138" s="0" t="n">
        <f aca="false">IF(H138="","",ROUNDUP(H138/75,0))</f>
        <v>2</v>
      </c>
      <c r="J138" s="0" t="str">
        <f aca="false">IF(MOD(F138-1,3)=0,SUMPRODUCT(($A$2:$A$644=A138)*(ROW($A$2:$A$644)&gt;=ROW())*(ROW($A$2:$A$644)&lt;ROW()+3)*$C$2:$C$644),"")</f>
        <v/>
      </c>
      <c r="K138" s="0" t="str">
        <f aca="false">IF(J138="","",ROUNDUP(J138/75,0))</f>
        <v/>
      </c>
      <c r="L138" s="0" t="str">
        <f aca="false">IF(MOD(F138-1,5)=0,SUMPRODUCT(($A$2:$A$644=A138)*(ROW($A$2:$A$644)&gt;=ROW())*(ROW($A$2:$A$644)&lt;ROW()+5)*$C$2:$C$644),"")</f>
        <v/>
      </c>
      <c r="M138" s="0" t="str">
        <f aca="false">IF(L138="","",ROUNDUP(L138/75,0))</f>
        <v/>
      </c>
      <c r="N138" s="0" t="str">
        <f aca="false">IF(MOD(F138-1,7)=0,SUMPRODUCT(($A$2:$A$644=A138)*(ROW($A$2:$A$644)&gt;=ROW())*(ROW($A$2:$A$644)&lt;ROW()+7)*$C$2:$C$644),"")</f>
        <v/>
      </c>
      <c r="O138" s="0" t="str">
        <f aca="false">IF(N138="","",ROUNDUP(N138/75,0))</f>
        <v/>
      </c>
    </row>
    <row r="139" customFormat="false" ht="15" hidden="false" customHeight="false" outlineLevel="0" collapsed="false">
      <c r="A139" s="0" t="s">
        <v>33</v>
      </c>
      <c r="B139" s="0" t="s">
        <v>171</v>
      </c>
      <c r="C139" s="0" t="n">
        <v>30</v>
      </c>
      <c r="D139" s="0" t="n">
        <v>1</v>
      </c>
      <c r="E139" s="0" t="n">
        <v>45</v>
      </c>
      <c r="F139" s="0" t="n">
        <f aca="false">COUNTIF($A$2:A139,A139)</f>
        <v>138</v>
      </c>
      <c r="G139" s="0" t="n">
        <f aca="false">ROUNDUP(C139*1.236/75,0)</f>
        <v>1</v>
      </c>
      <c r="H139" s="0" t="str">
        <f aca="false">IF(MOD(F139-1,2)=0,SUMPRODUCT(($A$2:$A$644=A139)*(ROW($A$2:$A$644)&gt;=ROW())*(ROW($A$2:$A$644)&lt;ROW()+2)*$C$2:$C$644),"")</f>
        <v/>
      </c>
      <c r="I139" s="0" t="str">
        <f aca="false">IF(H139="","",ROUNDUP(H139/75,0))</f>
        <v/>
      </c>
      <c r="J139" s="0" t="str">
        <f aca="false">IF(MOD(F139-1,3)=0,SUMPRODUCT(($A$2:$A$644=A139)*(ROW($A$2:$A$644)&gt;=ROW())*(ROW($A$2:$A$644)&lt;ROW()+3)*$C$2:$C$644),"")</f>
        <v/>
      </c>
      <c r="K139" s="0" t="str">
        <f aca="false">IF(J139="","",ROUNDUP(J139/75,0))</f>
        <v/>
      </c>
      <c r="L139" s="0" t="str">
        <f aca="false">IF(MOD(F139-1,5)=0,SUMPRODUCT(($A$2:$A$644=A139)*(ROW($A$2:$A$644)&gt;=ROW())*(ROW($A$2:$A$644)&lt;ROW()+5)*$C$2:$C$644),"")</f>
        <v/>
      </c>
      <c r="M139" s="0" t="str">
        <f aca="false">IF(L139="","",ROUNDUP(L139/75,0))</f>
        <v/>
      </c>
      <c r="N139" s="0" t="str">
        <f aca="false">IF(MOD(F139-1,7)=0,SUMPRODUCT(($A$2:$A$644=A139)*(ROW($A$2:$A$644)&gt;=ROW())*(ROW($A$2:$A$644)&lt;ROW()+7)*$C$2:$C$644),"")</f>
        <v/>
      </c>
      <c r="O139" s="0" t="str">
        <f aca="false">IF(N139="","",ROUNDUP(N139/75,0))</f>
        <v/>
      </c>
    </row>
    <row r="140" customFormat="false" ht="15" hidden="false" customHeight="false" outlineLevel="0" collapsed="false">
      <c r="A140" s="0" t="s">
        <v>33</v>
      </c>
      <c r="B140" s="0" t="s">
        <v>172</v>
      </c>
      <c r="C140" s="0" t="n">
        <v>24</v>
      </c>
      <c r="D140" s="0" t="n">
        <v>1</v>
      </c>
      <c r="E140" s="0" t="n">
        <v>51</v>
      </c>
      <c r="F140" s="0" t="n">
        <f aca="false">COUNTIF($A$2:A140,A140)</f>
        <v>139</v>
      </c>
      <c r="G140" s="0" t="n">
        <f aca="false">ROUNDUP(C140*1.236/75,0)</f>
        <v>1</v>
      </c>
      <c r="H140" s="0" t="n">
        <f aca="false">IF(MOD(F140-1,2)=0,SUMPRODUCT(($A$2:$A$644=A140)*(ROW($A$2:$A$644)&gt;=ROW())*(ROW($A$2:$A$644)&lt;ROW()+2)*$C$2:$C$644),"")</f>
        <v>48</v>
      </c>
      <c r="I140" s="0" t="n">
        <f aca="false">IF(H140="","",ROUNDUP(H140/75,0))</f>
        <v>1</v>
      </c>
      <c r="J140" s="0" t="n">
        <f aca="false">IF(MOD(F140-1,3)=0,SUMPRODUCT(($A$2:$A$644=A140)*(ROW($A$2:$A$644)&gt;=ROW())*(ROW($A$2:$A$644)&lt;ROW()+3)*$C$2:$C$644),"")</f>
        <v>120</v>
      </c>
      <c r="K140" s="0" t="n">
        <f aca="false">IF(J140="","",ROUNDUP(J140/75,0))</f>
        <v>2</v>
      </c>
      <c r="L140" s="0" t="str">
        <f aca="false">IF(MOD(F140-1,5)=0,SUMPRODUCT(($A$2:$A$644=A140)*(ROW($A$2:$A$644)&gt;=ROW())*(ROW($A$2:$A$644)&lt;ROW()+5)*$C$2:$C$644),"")</f>
        <v/>
      </c>
      <c r="M140" s="0" t="str">
        <f aca="false">IF(L140="","",ROUNDUP(L140/75,0))</f>
        <v/>
      </c>
      <c r="N140" s="0" t="str">
        <f aca="false">IF(MOD(F140-1,7)=0,SUMPRODUCT(($A$2:$A$644=A140)*(ROW($A$2:$A$644)&gt;=ROW())*(ROW($A$2:$A$644)&lt;ROW()+7)*$C$2:$C$644),"")</f>
        <v/>
      </c>
      <c r="O140" s="0" t="str">
        <f aca="false">IF(N140="","",ROUNDUP(N140/75,0))</f>
        <v/>
      </c>
    </row>
    <row r="141" customFormat="false" ht="15" hidden="false" customHeight="false" outlineLevel="0" collapsed="false">
      <c r="A141" s="0" t="s">
        <v>33</v>
      </c>
      <c r="B141" s="0" t="s">
        <v>173</v>
      </c>
      <c r="C141" s="0" t="n">
        <v>24</v>
      </c>
      <c r="D141" s="0" t="n">
        <v>1</v>
      </c>
      <c r="E141" s="0" t="n">
        <v>51</v>
      </c>
      <c r="F141" s="0" t="n">
        <f aca="false">COUNTIF($A$2:A141,A141)</f>
        <v>140</v>
      </c>
      <c r="G141" s="0" t="n">
        <f aca="false">ROUNDUP(C141*1.236/75,0)</f>
        <v>1</v>
      </c>
      <c r="H141" s="0" t="str">
        <f aca="false">IF(MOD(F141-1,2)=0,SUMPRODUCT(($A$2:$A$644=A141)*(ROW($A$2:$A$644)&gt;=ROW())*(ROW($A$2:$A$644)&lt;ROW()+2)*$C$2:$C$644),"")</f>
        <v/>
      </c>
      <c r="I141" s="0" t="str">
        <f aca="false">IF(H141="","",ROUNDUP(H141/75,0))</f>
        <v/>
      </c>
      <c r="J141" s="0" t="str">
        <f aca="false">IF(MOD(F141-1,3)=0,SUMPRODUCT(($A$2:$A$644=A141)*(ROW($A$2:$A$644)&gt;=ROW())*(ROW($A$2:$A$644)&lt;ROW()+3)*$C$2:$C$644),"")</f>
        <v/>
      </c>
      <c r="K141" s="0" t="str">
        <f aca="false">IF(J141="","",ROUNDUP(J141/75,0))</f>
        <v/>
      </c>
      <c r="L141" s="0" t="str">
        <f aca="false">IF(MOD(F141-1,5)=0,SUMPRODUCT(($A$2:$A$644=A141)*(ROW($A$2:$A$644)&gt;=ROW())*(ROW($A$2:$A$644)&lt;ROW()+5)*$C$2:$C$644),"")</f>
        <v/>
      </c>
      <c r="M141" s="0" t="str">
        <f aca="false">IF(L141="","",ROUNDUP(L141/75,0))</f>
        <v/>
      </c>
      <c r="N141" s="0" t="str">
        <f aca="false">IF(MOD(F141-1,7)=0,SUMPRODUCT(($A$2:$A$644=A141)*(ROW($A$2:$A$644)&gt;=ROW())*(ROW($A$2:$A$644)&lt;ROW()+7)*$C$2:$C$644),"")</f>
        <v/>
      </c>
      <c r="O141" s="0" t="str">
        <f aca="false">IF(N141="","",ROUNDUP(N141/75,0))</f>
        <v/>
      </c>
    </row>
    <row r="142" customFormat="false" ht="15" hidden="false" customHeight="false" outlineLevel="0" collapsed="false">
      <c r="A142" s="0" t="s">
        <v>33</v>
      </c>
      <c r="B142" s="0" t="s">
        <v>174</v>
      </c>
      <c r="C142" s="0" t="n">
        <v>72</v>
      </c>
      <c r="D142" s="0" t="n">
        <v>1</v>
      </c>
      <c r="E142" s="0" t="n">
        <v>3</v>
      </c>
      <c r="F142" s="0" t="n">
        <f aca="false">COUNTIF($A$2:A142,A142)</f>
        <v>141</v>
      </c>
      <c r="G142" s="0" t="n">
        <f aca="false">ROUNDUP(C142*1.236/75,0)</f>
        <v>2</v>
      </c>
      <c r="H142" s="0" t="n">
        <f aca="false">IF(MOD(F142-1,2)=0,SUMPRODUCT(($A$2:$A$644=A142)*(ROW($A$2:$A$644)&gt;=ROW())*(ROW($A$2:$A$644)&lt;ROW()+2)*$C$2:$C$644),"")</f>
        <v>108</v>
      </c>
      <c r="I142" s="0" t="n">
        <f aca="false">IF(H142="","",ROUNDUP(H142/75,0))</f>
        <v>2</v>
      </c>
      <c r="J142" s="0" t="str">
        <f aca="false">IF(MOD(F142-1,3)=0,SUMPRODUCT(($A$2:$A$644=A142)*(ROW($A$2:$A$644)&gt;=ROW())*(ROW($A$2:$A$644)&lt;ROW()+3)*$C$2:$C$644),"")</f>
        <v/>
      </c>
      <c r="K142" s="0" t="str">
        <f aca="false">IF(J142="","",ROUNDUP(J142/75,0))</f>
        <v/>
      </c>
      <c r="L142" s="0" t="n">
        <f aca="false">IF(MOD(F142-1,5)=0,SUMPRODUCT(($A$2:$A$644=A142)*(ROW($A$2:$A$644)&gt;=ROW())*(ROW($A$2:$A$644)&lt;ROW()+5)*$C$2:$C$644),"")</f>
        <v>138</v>
      </c>
      <c r="M142" s="0" t="n">
        <f aca="false">IF(L142="","",ROUNDUP(L142/75,0))</f>
        <v>2</v>
      </c>
      <c r="N142" s="0" t="n">
        <f aca="false">IF(MOD(F142-1,7)=0,SUMPRODUCT(($A$2:$A$644=A142)*(ROW($A$2:$A$644)&gt;=ROW())*(ROW($A$2:$A$644)&lt;ROW()+7)*$C$2:$C$644),"")</f>
        <v>306</v>
      </c>
      <c r="O142" s="0" t="n">
        <f aca="false">IF(N142="","",ROUNDUP(N142/75,0))</f>
        <v>5</v>
      </c>
    </row>
    <row r="143" customFormat="false" ht="15" hidden="false" customHeight="false" outlineLevel="0" collapsed="false">
      <c r="A143" s="0" t="s">
        <v>33</v>
      </c>
      <c r="B143" s="0" t="s">
        <v>175</v>
      </c>
      <c r="C143" s="0" t="n">
        <v>36</v>
      </c>
      <c r="D143" s="0" t="n">
        <v>1</v>
      </c>
      <c r="E143" s="0" t="n">
        <v>39</v>
      </c>
      <c r="F143" s="0" t="n">
        <f aca="false">COUNTIF($A$2:A143,A143)</f>
        <v>142</v>
      </c>
      <c r="G143" s="0" t="n">
        <f aca="false">ROUNDUP(C143*1.236/75,0)</f>
        <v>1</v>
      </c>
      <c r="H143" s="0" t="str">
        <f aca="false">IF(MOD(F143-1,2)=0,SUMPRODUCT(($A$2:$A$644=A143)*(ROW($A$2:$A$644)&gt;=ROW())*(ROW($A$2:$A$644)&lt;ROW()+2)*$C$2:$C$644),"")</f>
        <v/>
      </c>
      <c r="I143" s="0" t="str">
        <f aca="false">IF(H143="","",ROUNDUP(H143/75,0))</f>
        <v/>
      </c>
      <c r="J143" s="0" t="n">
        <f aca="false">IF(MOD(F143-1,3)=0,SUMPRODUCT(($A$2:$A$644=A143)*(ROW($A$2:$A$644)&gt;=ROW())*(ROW($A$2:$A$644)&lt;ROW()+3)*$C$2:$C$644),"")</f>
        <v>54</v>
      </c>
      <c r="K143" s="0" t="n">
        <f aca="false">IF(J143="","",ROUNDUP(J143/75,0))</f>
        <v>1</v>
      </c>
      <c r="L143" s="0" t="str">
        <f aca="false">IF(MOD(F143-1,5)=0,SUMPRODUCT(($A$2:$A$644=A143)*(ROW($A$2:$A$644)&gt;=ROW())*(ROW($A$2:$A$644)&lt;ROW()+5)*$C$2:$C$644),"")</f>
        <v/>
      </c>
      <c r="M143" s="0" t="str">
        <f aca="false">IF(L143="","",ROUNDUP(L143/75,0))</f>
        <v/>
      </c>
      <c r="N143" s="0" t="str">
        <f aca="false">IF(MOD(F143-1,7)=0,SUMPRODUCT(($A$2:$A$644=A143)*(ROW($A$2:$A$644)&gt;=ROW())*(ROW($A$2:$A$644)&lt;ROW()+7)*$C$2:$C$644),"")</f>
        <v/>
      </c>
      <c r="O143" s="0" t="str">
        <f aca="false">IF(N143="","",ROUNDUP(N143/75,0))</f>
        <v/>
      </c>
    </row>
    <row r="144" customFormat="false" ht="15" hidden="false" customHeight="false" outlineLevel="0" collapsed="false">
      <c r="A144" s="0" t="s">
        <v>33</v>
      </c>
      <c r="B144" s="0" t="s">
        <v>176</v>
      </c>
      <c r="C144" s="0" t="n">
        <v>6</v>
      </c>
      <c r="D144" s="0" t="n">
        <v>1</v>
      </c>
      <c r="E144" s="0" t="n">
        <v>69</v>
      </c>
      <c r="F144" s="0" t="n">
        <f aca="false">COUNTIF($A$2:A144,A144)</f>
        <v>143</v>
      </c>
      <c r="G144" s="0" t="n">
        <f aca="false">ROUNDUP(C144*1.236/75,0)</f>
        <v>1</v>
      </c>
      <c r="H144" s="0" t="n">
        <f aca="false">IF(MOD(F144-1,2)=0,SUMPRODUCT(($A$2:$A$644=A144)*(ROW($A$2:$A$644)&gt;=ROW())*(ROW($A$2:$A$644)&lt;ROW()+2)*$C$2:$C$644),"")</f>
        <v>18</v>
      </c>
      <c r="I144" s="0" t="n">
        <f aca="false">IF(H144="","",ROUNDUP(H144/75,0))</f>
        <v>1</v>
      </c>
      <c r="J144" s="0" t="str">
        <f aca="false">IF(MOD(F144-1,3)=0,SUMPRODUCT(($A$2:$A$644=A144)*(ROW($A$2:$A$644)&gt;=ROW())*(ROW($A$2:$A$644)&lt;ROW()+3)*$C$2:$C$644),"")</f>
        <v/>
      </c>
      <c r="K144" s="0" t="str">
        <f aca="false">IF(J144="","",ROUNDUP(J144/75,0))</f>
        <v/>
      </c>
      <c r="L144" s="0" t="str">
        <f aca="false">IF(MOD(F144-1,5)=0,SUMPRODUCT(($A$2:$A$644=A144)*(ROW($A$2:$A$644)&gt;=ROW())*(ROW($A$2:$A$644)&lt;ROW()+5)*$C$2:$C$644),"")</f>
        <v/>
      </c>
      <c r="M144" s="0" t="str">
        <f aca="false">IF(L144="","",ROUNDUP(L144/75,0))</f>
        <v/>
      </c>
      <c r="N144" s="0" t="str">
        <f aca="false">IF(MOD(F144-1,7)=0,SUMPRODUCT(($A$2:$A$644=A144)*(ROW($A$2:$A$644)&gt;=ROW())*(ROW($A$2:$A$644)&lt;ROW()+7)*$C$2:$C$644),"")</f>
        <v/>
      </c>
      <c r="O144" s="0" t="str">
        <f aca="false">IF(N144="","",ROUNDUP(N144/75,0))</f>
        <v/>
      </c>
    </row>
    <row r="145" customFormat="false" ht="15" hidden="false" customHeight="false" outlineLevel="0" collapsed="false">
      <c r="A145" s="0" t="s">
        <v>33</v>
      </c>
      <c r="B145" s="0" t="s">
        <v>177</v>
      </c>
      <c r="C145" s="0" t="n">
        <v>12</v>
      </c>
      <c r="D145" s="0" t="n">
        <v>1</v>
      </c>
      <c r="E145" s="0" t="n">
        <v>63</v>
      </c>
      <c r="F145" s="0" t="n">
        <f aca="false">COUNTIF($A$2:A145,A145)</f>
        <v>144</v>
      </c>
      <c r="G145" s="0" t="n">
        <f aca="false">ROUNDUP(C145*1.236/75,0)</f>
        <v>1</v>
      </c>
      <c r="H145" s="0" t="str">
        <f aca="false">IF(MOD(F145-1,2)=0,SUMPRODUCT(($A$2:$A$644=A145)*(ROW($A$2:$A$644)&gt;=ROW())*(ROW($A$2:$A$644)&lt;ROW()+2)*$C$2:$C$644),"")</f>
        <v/>
      </c>
      <c r="I145" s="0" t="str">
        <f aca="false">IF(H145="","",ROUNDUP(H145/75,0))</f>
        <v/>
      </c>
      <c r="J145" s="0" t="str">
        <f aca="false">IF(MOD(F145-1,3)=0,SUMPRODUCT(($A$2:$A$644=A145)*(ROW($A$2:$A$644)&gt;=ROW())*(ROW($A$2:$A$644)&lt;ROW()+3)*$C$2:$C$644),"")</f>
        <v/>
      </c>
      <c r="K145" s="0" t="str">
        <f aca="false">IF(J145="","",ROUNDUP(J145/75,0))</f>
        <v/>
      </c>
      <c r="L145" s="0" t="str">
        <f aca="false">IF(MOD(F145-1,5)=0,SUMPRODUCT(($A$2:$A$644=A145)*(ROW($A$2:$A$644)&gt;=ROW())*(ROW($A$2:$A$644)&lt;ROW()+5)*$C$2:$C$644),"")</f>
        <v/>
      </c>
      <c r="M145" s="0" t="str">
        <f aca="false">IF(L145="","",ROUNDUP(L145/75,0))</f>
        <v/>
      </c>
      <c r="N145" s="0" t="str">
        <f aca="false">IF(MOD(F145-1,7)=0,SUMPRODUCT(($A$2:$A$644=A145)*(ROW($A$2:$A$644)&gt;=ROW())*(ROW($A$2:$A$644)&lt;ROW()+7)*$C$2:$C$644),"")</f>
        <v/>
      </c>
      <c r="O145" s="0" t="str">
        <f aca="false">IF(N145="","",ROUNDUP(N145/75,0))</f>
        <v/>
      </c>
    </row>
    <row r="146" customFormat="false" ht="15" hidden="false" customHeight="false" outlineLevel="0" collapsed="false">
      <c r="A146" s="0" t="s">
        <v>33</v>
      </c>
      <c r="B146" s="0" t="s">
        <v>178</v>
      </c>
      <c r="C146" s="0" t="n">
        <v>12</v>
      </c>
      <c r="D146" s="0" t="n">
        <v>1</v>
      </c>
      <c r="E146" s="0" t="n">
        <v>63</v>
      </c>
      <c r="F146" s="0" t="n">
        <f aca="false">COUNTIF($A$2:A146,A146)</f>
        <v>145</v>
      </c>
      <c r="G146" s="0" t="n">
        <f aca="false">ROUNDUP(C146*1.236/75,0)</f>
        <v>1</v>
      </c>
      <c r="H146" s="0" t="n">
        <f aca="false">IF(MOD(F146-1,2)=0,SUMPRODUCT(($A$2:$A$644=A146)*(ROW($A$2:$A$644)&gt;=ROW())*(ROW($A$2:$A$644)&lt;ROW()+2)*$C$2:$C$644),"")</f>
        <v>108</v>
      </c>
      <c r="I146" s="0" t="n">
        <f aca="false">IF(H146="","",ROUNDUP(H146/75,0))</f>
        <v>2</v>
      </c>
      <c r="J146" s="0" t="n">
        <f aca="false">IF(MOD(F146-1,3)=0,SUMPRODUCT(($A$2:$A$644=A146)*(ROW($A$2:$A$644)&gt;=ROW())*(ROW($A$2:$A$644)&lt;ROW()+3)*$C$2:$C$644),"")</f>
        <v>180</v>
      </c>
      <c r="K146" s="0" t="n">
        <f aca="false">IF(J146="","",ROUNDUP(J146/75,0))</f>
        <v>3</v>
      </c>
      <c r="L146" s="0" t="str">
        <f aca="false">IF(MOD(F146-1,5)=0,SUMPRODUCT(($A$2:$A$644=A146)*(ROW($A$2:$A$644)&gt;=ROW())*(ROW($A$2:$A$644)&lt;ROW()+5)*$C$2:$C$644),"")</f>
        <v/>
      </c>
      <c r="M146" s="0" t="str">
        <f aca="false">IF(L146="","",ROUNDUP(L146/75,0))</f>
        <v/>
      </c>
      <c r="N146" s="0" t="str">
        <f aca="false">IF(MOD(F146-1,7)=0,SUMPRODUCT(($A$2:$A$644=A146)*(ROW($A$2:$A$644)&gt;=ROW())*(ROW($A$2:$A$644)&lt;ROW()+7)*$C$2:$C$644),"")</f>
        <v/>
      </c>
      <c r="O146" s="0" t="str">
        <f aca="false">IF(N146="","",ROUNDUP(N146/75,0))</f>
        <v/>
      </c>
    </row>
    <row r="147" customFormat="false" ht="15" hidden="false" customHeight="false" outlineLevel="0" collapsed="false">
      <c r="A147" s="0" t="s">
        <v>33</v>
      </c>
      <c r="B147" s="0" t="s">
        <v>179</v>
      </c>
      <c r="C147" s="0" t="n">
        <v>96</v>
      </c>
      <c r="D147" s="0" t="n">
        <v>2</v>
      </c>
      <c r="E147" s="0" t="n">
        <v>54</v>
      </c>
      <c r="F147" s="0" t="n">
        <f aca="false">COUNTIF($A$2:A147,A147)</f>
        <v>146</v>
      </c>
      <c r="G147" s="0" t="n">
        <f aca="false">ROUNDUP(C147*1.236/75,0)</f>
        <v>2</v>
      </c>
      <c r="H147" s="0" t="str">
        <f aca="false">IF(MOD(F147-1,2)=0,SUMPRODUCT(($A$2:$A$644=A147)*(ROW($A$2:$A$644)&gt;=ROW())*(ROW($A$2:$A$644)&lt;ROW()+2)*$C$2:$C$644),"")</f>
        <v/>
      </c>
      <c r="I147" s="0" t="str">
        <f aca="false">IF(H147="","",ROUNDUP(H147/75,0))</f>
        <v/>
      </c>
      <c r="J147" s="0" t="str">
        <f aca="false">IF(MOD(F147-1,3)=0,SUMPRODUCT(($A$2:$A$644=A147)*(ROW($A$2:$A$644)&gt;=ROW())*(ROW($A$2:$A$644)&lt;ROW()+3)*$C$2:$C$644),"")</f>
        <v/>
      </c>
      <c r="K147" s="0" t="str">
        <f aca="false">IF(J147="","",ROUNDUP(J147/75,0))</f>
        <v/>
      </c>
      <c r="L147" s="0" t="n">
        <f aca="false">IF(MOD(F147-1,5)=0,SUMPRODUCT(($A$2:$A$644=A147)*(ROW($A$2:$A$644)&gt;=ROW())*(ROW($A$2:$A$644)&lt;ROW()+5)*$C$2:$C$644),"")</f>
        <v>366</v>
      </c>
      <c r="M147" s="0" t="n">
        <f aca="false">IF(L147="","",ROUNDUP(L147/75,0))</f>
        <v>5</v>
      </c>
      <c r="N147" s="0" t="str">
        <f aca="false">IF(MOD(F147-1,7)=0,SUMPRODUCT(($A$2:$A$644=A147)*(ROW($A$2:$A$644)&gt;=ROW())*(ROW($A$2:$A$644)&lt;ROW()+7)*$C$2:$C$644),"")</f>
        <v/>
      </c>
      <c r="O147" s="0" t="str">
        <f aca="false">IF(N147="","",ROUNDUP(N147/75,0))</f>
        <v/>
      </c>
    </row>
    <row r="148" customFormat="false" ht="15" hidden="false" customHeight="false" outlineLevel="0" collapsed="false">
      <c r="A148" s="0" t="s">
        <v>33</v>
      </c>
      <c r="B148" s="0" t="s">
        <v>180</v>
      </c>
      <c r="C148" s="0" t="n">
        <v>72</v>
      </c>
      <c r="D148" s="0" t="n">
        <v>1</v>
      </c>
      <c r="E148" s="0" t="n">
        <v>3</v>
      </c>
      <c r="F148" s="0" t="n">
        <f aca="false">COUNTIF($A$2:A148,A148)</f>
        <v>147</v>
      </c>
      <c r="G148" s="0" t="n">
        <f aca="false">ROUNDUP(C148*1.236/75,0)</f>
        <v>2</v>
      </c>
      <c r="H148" s="0" t="n">
        <f aca="false">IF(MOD(F148-1,2)=0,SUMPRODUCT(($A$2:$A$644=A148)*(ROW($A$2:$A$644)&gt;=ROW())*(ROW($A$2:$A$644)&lt;ROW()+2)*$C$2:$C$644),"")</f>
        <v>156</v>
      </c>
      <c r="I148" s="0" t="n">
        <f aca="false">IF(H148="","",ROUNDUP(H148/75,0))</f>
        <v>3</v>
      </c>
      <c r="J148" s="0" t="str">
        <f aca="false">IF(MOD(F148-1,3)=0,SUMPRODUCT(($A$2:$A$644=A148)*(ROW($A$2:$A$644)&gt;=ROW())*(ROW($A$2:$A$644)&lt;ROW()+3)*$C$2:$C$644),"")</f>
        <v/>
      </c>
      <c r="K148" s="0" t="str">
        <f aca="false">IF(J148="","",ROUNDUP(J148/75,0))</f>
        <v/>
      </c>
      <c r="L148" s="0" t="str">
        <f aca="false">IF(MOD(F148-1,5)=0,SUMPRODUCT(($A$2:$A$644=A148)*(ROW($A$2:$A$644)&gt;=ROW())*(ROW($A$2:$A$644)&lt;ROW()+5)*$C$2:$C$644),"")</f>
        <v/>
      </c>
      <c r="M148" s="0" t="str">
        <f aca="false">IF(L148="","",ROUNDUP(L148/75,0))</f>
        <v/>
      </c>
      <c r="N148" s="0" t="str">
        <f aca="false">IF(MOD(F148-1,7)=0,SUMPRODUCT(($A$2:$A$644=A148)*(ROW($A$2:$A$644)&gt;=ROW())*(ROW($A$2:$A$644)&lt;ROW()+7)*$C$2:$C$644),"")</f>
        <v/>
      </c>
      <c r="O148" s="0" t="str">
        <f aca="false">IF(N148="","",ROUNDUP(N148/75,0))</f>
        <v/>
      </c>
    </row>
    <row r="149" customFormat="false" ht="15" hidden="false" customHeight="false" outlineLevel="0" collapsed="false">
      <c r="A149" s="0" t="s">
        <v>33</v>
      </c>
      <c r="B149" s="0" t="s">
        <v>181</v>
      </c>
      <c r="C149" s="0" t="n">
        <v>84</v>
      </c>
      <c r="D149" s="0" t="n">
        <v>2</v>
      </c>
      <c r="E149" s="0" t="n">
        <v>66</v>
      </c>
      <c r="F149" s="0" t="n">
        <f aca="false">COUNTIF($A$2:A149,A149)</f>
        <v>148</v>
      </c>
      <c r="G149" s="0" t="n">
        <f aca="false">ROUNDUP(C149*1.236/75,0)</f>
        <v>2</v>
      </c>
      <c r="H149" s="0" t="str">
        <f aca="false">IF(MOD(F149-1,2)=0,SUMPRODUCT(($A$2:$A$644=A149)*(ROW($A$2:$A$644)&gt;=ROW())*(ROW($A$2:$A$644)&lt;ROW()+2)*$C$2:$C$644),"")</f>
        <v/>
      </c>
      <c r="I149" s="0" t="str">
        <f aca="false">IF(H149="","",ROUNDUP(H149/75,0))</f>
        <v/>
      </c>
      <c r="J149" s="0" t="n">
        <f aca="false">IF(MOD(F149-1,3)=0,SUMPRODUCT(($A$2:$A$644=A149)*(ROW($A$2:$A$644)&gt;=ROW())*(ROW($A$2:$A$644)&lt;ROW()+3)*$C$2:$C$644),"")</f>
        <v>198</v>
      </c>
      <c r="K149" s="0" t="n">
        <f aca="false">IF(J149="","",ROUNDUP(J149/75,0))</f>
        <v>3</v>
      </c>
      <c r="L149" s="0" t="str">
        <f aca="false">IF(MOD(F149-1,5)=0,SUMPRODUCT(($A$2:$A$644=A149)*(ROW($A$2:$A$644)&gt;=ROW())*(ROW($A$2:$A$644)&lt;ROW()+5)*$C$2:$C$644),"")</f>
        <v/>
      </c>
      <c r="M149" s="0" t="str">
        <f aca="false">IF(L149="","",ROUNDUP(L149/75,0))</f>
        <v/>
      </c>
      <c r="N149" s="0" t="n">
        <f aca="false">IF(MOD(F149-1,7)=0,SUMPRODUCT(($A$2:$A$644=A149)*(ROW($A$2:$A$644)&gt;=ROW())*(ROW($A$2:$A$644)&lt;ROW()+7)*$C$2:$C$644),"")</f>
        <v>414</v>
      </c>
      <c r="O149" s="0" t="n">
        <f aca="false">IF(N149="","",ROUNDUP(N149/75,0))</f>
        <v>6</v>
      </c>
    </row>
    <row r="150" customFormat="false" ht="15" hidden="false" customHeight="false" outlineLevel="0" collapsed="false">
      <c r="A150" s="0" t="s">
        <v>33</v>
      </c>
      <c r="B150" s="0" t="s">
        <v>182</v>
      </c>
      <c r="C150" s="0" t="n">
        <v>42</v>
      </c>
      <c r="D150" s="0" t="n">
        <v>1</v>
      </c>
      <c r="E150" s="0" t="n">
        <v>33</v>
      </c>
      <c r="F150" s="0" t="n">
        <f aca="false">COUNTIF($A$2:A150,A150)</f>
        <v>149</v>
      </c>
      <c r="G150" s="0" t="n">
        <f aca="false">ROUNDUP(C150*1.236/75,0)</f>
        <v>1</v>
      </c>
      <c r="H150" s="0" t="n">
        <f aca="false">IF(MOD(F150-1,2)=0,SUMPRODUCT(($A$2:$A$644=A150)*(ROW($A$2:$A$644)&gt;=ROW())*(ROW($A$2:$A$644)&lt;ROW()+2)*$C$2:$C$644),"")</f>
        <v>114</v>
      </c>
      <c r="I150" s="0" t="n">
        <f aca="false">IF(H150="","",ROUNDUP(H150/75,0))</f>
        <v>2</v>
      </c>
      <c r="J150" s="0" t="str">
        <f aca="false">IF(MOD(F150-1,3)=0,SUMPRODUCT(($A$2:$A$644=A150)*(ROW($A$2:$A$644)&gt;=ROW())*(ROW($A$2:$A$644)&lt;ROW()+3)*$C$2:$C$644),"")</f>
        <v/>
      </c>
      <c r="K150" s="0" t="str">
        <f aca="false">IF(J150="","",ROUNDUP(J150/75,0))</f>
        <v/>
      </c>
      <c r="L150" s="0" t="str">
        <f aca="false">IF(MOD(F150-1,5)=0,SUMPRODUCT(($A$2:$A$644=A150)*(ROW($A$2:$A$644)&gt;=ROW())*(ROW($A$2:$A$644)&lt;ROW()+5)*$C$2:$C$644),"")</f>
        <v/>
      </c>
      <c r="M150" s="0" t="str">
        <f aca="false">IF(L150="","",ROUNDUP(L150/75,0))</f>
        <v/>
      </c>
      <c r="N150" s="0" t="str">
        <f aca="false">IF(MOD(F150-1,7)=0,SUMPRODUCT(($A$2:$A$644=A150)*(ROW($A$2:$A$644)&gt;=ROW())*(ROW($A$2:$A$644)&lt;ROW()+7)*$C$2:$C$644),"")</f>
        <v/>
      </c>
      <c r="O150" s="0" t="str">
        <f aca="false">IF(N150="","",ROUNDUP(N150/75,0))</f>
        <v/>
      </c>
    </row>
    <row r="151" customFormat="false" ht="15" hidden="false" customHeight="false" outlineLevel="0" collapsed="false">
      <c r="A151" s="0" t="s">
        <v>33</v>
      </c>
      <c r="B151" s="0" t="s">
        <v>183</v>
      </c>
      <c r="C151" s="0" t="n">
        <v>72</v>
      </c>
      <c r="D151" s="0" t="n">
        <v>1</v>
      </c>
      <c r="E151" s="0" t="n">
        <v>3</v>
      </c>
      <c r="F151" s="0" t="n">
        <f aca="false">COUNTIF($A$2:A151,A151)</f>
        <v>150</v>
      </c>
      <c r="G151" s="0" t="n">
        <f aca="false">ROUNDUP(C151*1.236/75,0)</f>
        <v>2</v>
      </c>
      <c r="H151" s="0" t="str">
        <f aca="false">IF(MOD(F151-1,2)=0,SUMPRODUCT(($A$2:$A$644=A151)*(ROW($A$2:$A$644)&gt;=ROW())*(ROW($A$2:$A$644)&lt;ROW()+2)*$C$2:$C$644),"")</f>
        <v/>
      </c>
      <c r="I151" s="0" t="str">
        <f aca="false">IF(H151="","",ROUNDUP(H151/75,0))</f>
        <v/>
      </c>
      <c r="J151" s="0" t="str">
        <f aca="false">IF(MOD(F151-1,3)=0,SUMPRODUCT(($A$2:$A$644=A151)*(ROW($A$2:$A$644)&gt;=ROW())*(ROW($A$2:$A$644)&lt;ROW()+3)*$C$2:$C$644),"")</f>
        <v/>
      </c>
      <c r="K151" s="0" t="str">
        <f aca="false">IF(J151="","",ROUNDUP(J151/75,0))</f>
        <v/>
      </c>
      <c r="L151" s="0" t="str">
        <f aca="false">IF(MOD(F151-1,5)=0,SUMPRODUCT(($A$2:$A$644=A151)*(ROW($A$2:$A$644)&gt;=ROW())*(ROW($A$2:$A$644)&lt;ROW()+5)*$C$2:$C$644),"")</f>
        <v/>
      </c>
      <c r="M151" s="0" t="str">
        <f aca="false">IF(L151="","",ROUNDUP(L151/75,0))</f>
        <v/>
      </c>
      <c r="N151" s="0" t="str">
        <f aca="false">IF(MOD(F151-1,7)=0,SUMPRODUCT(($A$2:$A$644=A151)*(ROW($A$2:$A$644)&gt;=ROW())*(ROW($A$2:$A$644)&lt;ROW()+7)*$C$2:$C$644),"")</f>
        <v/>
      </c>
      <c r="O151" s="0" t="str">
        <f aca="false">IF(N151="","",ROUNDUP(N151/75,0))</f>
        <v/>
      </c>
    </row>
    <row r="152" customFormat="false" ht="15" hidden="false" customHeight="false" outlineLevel="0" collapsed="false">
      <c r="A152" s="0" t="s">
        <v>33</v>
      </c>
      <c r="B152" s="0" t="s">
        <v>184</v>
      </c>
      <c r="C152" s="0" t="n">
        <v>54</v>
      </c>
      <c r="D152" s="0" t="n">
        <v>1</v>
      </c>
      <c r="E152" s="0" t="n">
        <v>21</v>
      </c>
      <c r="F152" s="0" t="n">
        <f aca="false">COUNTIF($A$2:A152,A152)</f>
        <v>151</v>
      </c>
      <c r="G152" s="0" t="n">
        <f aca="false">ROUNDUP(C152*1.236/75,0)</f>
        <v>1</v>
      </c>
      <c r="H152" s="0" t="n">
        <f aca="false">IF(MOD(F152-1,2)=0,SUMPRODUCT(($A$2:$A$644=A152)*(ROW($A$2:$A$644)&gt;=ROW())*(ROW($A$2:$A$644)&lt;ROW()+2)*$C$2:$C$644),"")</f>
        <v>132</v>
      </c>
      <c r="I152" s="0" t="n">
        <f aca="false">IF(H152="","",ROUNDUP(H152/75,0))</f>
        <v>2</v>
      </c>
      <c r="J152" s="0" t="n">
        <f aca="false">IF(MOD(F152-1,3)=0,SUMPRODUCT(($A$2:$A$644=A152)*(ROW($A$2:$A$644)&gt;=ROW())*(ROW($A$2:$A$644)&lt;ROW()+3)*$C$2:$C$644),"")</f>
        <v>192</v>
      </c>
      <c r="K152" s="0" t="n">
        <f aca="false">IF(J152="","",ROUNDUP(J152/75,0))</f>
        <v>3</v>
      </c>
      <c r="L152" s="0" t="n">
        <f aca="false">IF(MOD(F152-1,5)=0,SUMPRODUCT(($A$2:$A$644=A152)*(ROW($A$2:$A$644)&gt;=ROW())*(ROW($A$2:$A$644)&lt;ROW()+5)*$C$2:$C$644),"")</f>
        <v>234</v>
      </c>
      <c r="M152" s="0" t="n">
        <f aca="false">IF(L152="","",ROUNDUP(L152/75,0))</f>
        <v>4</v>
      </c>
      <c r="N152" s="0" t="str">
        <f aca="false">IF(MOD(F152-1,7)=0,SUMPRODUCT(($A$2:$A$644=A152)*(ROW($A$2:$A$644)&gt;=ROW())*(ROW($A$2:$A$644)&lt;ROW()+7)*$C$2:$C$644),"")</f>
        <v/>
      </c>
      <c r="O152" s="0" t="str">
        <f aca="false">IF(N152="","",ROUNDUP(N152/75,0))</f>
        <v/>
      </c>
    </row>
    <row r="153" customFormat="false" ht="15" hidden="false" customHeight="false" outlineLevel="0" collapsed="false">
      <c r="A153" s="0" t="s">
        <v>33</v>
      </c>
      <c r="B153" s="0" t="s">
        <v>185</v>
      </c>
      <c r="C153" s="0" t="n">
        <v>78</v>
      </c>
      <c r="D153" s="0" t="n">
        <v>2</v>
      </c>
      <c r="E153" s="0" t="n">
        <v>72</v>
      </c>
      <c r="F153" s="0" t="n">
        <f aca="false">COUNTIF($A$2:A153,A153)</f>
        <v>152</v>
      </c>
      <c r="G153" s="0" t="n">
        <f aca="false">ROUNDUP(C153*1.236/75,0)</f>
        <v>2</v>
      </c>
      <c r="H153" s="0" t="str">
        <f aca="false">IF(MOD(F153-1,2)=0,SUMPRODUCT(($A$2:$A$644=A153)*(ROW($A$2:$A$644)&gt;=ROW())*(ROW($A$2:$A$644)&lt;ROW()+2)*$C$2:$C$644),"")</f>
        <v/>
      </c>
      <c r="I153" s="0" t="str">
        <f aca="false">IF(H153="","",ROUNDUP(H153/75,0))</f>
        <v/>
      </c>
      <c r="J153" s="0" t="str">
        <f aca="false">IF(MOD(F153-1,3)=0,SUMPRODUCT(($A$2:$A$644=A153)*(ROW($A$2:$A$644)&gt;=ROW())*(ROW($A$2:$A$644)&lt;ROW()+3)*$C$2:$C$644),"")</f>
        <v/>
      </c>
      <c r="K153" s="0" t="str">
        <f aca="false">IF(J153="","",ROUNDUP(J153/75,0))</f>
        <v/>
      </c>
      <c r="L153" s="0" t="str">
        <f aca="false">IF(MOD(F153-1,5)=0,SUMPRODUCT(($A$2:$A$644=A153)*(ROW($A$2:$A$644)&gt;=ROW())*(ROW($A$2:$A$644)&lt;ROW()+5)*$C$2:$C$644),"")</f>
        <v/>
      </c>
      <c r="M153" s="0" t="str">
        <f aca="false">IF(L153="","",ROUNDUP(L153/75,0))</f>
        <v/>
      </c>
      <c r="N153" s="0" t="str">
        <f aca="false">IF(MOD(F153-1,7)=0,SUMPRODUCT(($A$2:$A$644=A153)*(ROW($A$2:$A$644)&gt;=ROW())*(ROW($A$2:$A$644)&lt;ROW()+7)*$C$2:$C$644),"")</f>
        <v/>
      </c>
      <c r="O153" s="0" t="str">
        <f aca="false">IF(N153="","",ROUNDUP(N153/75,0))</f>
        <v/>
      </c>
    </row>
    <row r="154" customFormat="false" ht="15" hidden="false" customHeight="false" outlineLevel="0" collapsed="false">
      <c r="A154" s="0" t="s">
        <v>33</v>
      </c>
      <c r="B154" s="0" t="s">
        <v>186</v>
      </c>
      <c r="C154" s="0" t="n">
        <v>60</v>
      </c>
      <c r="D154" s="0" t="n">
        <v>1</v>
      </c>
      <c r="E154" s="0" t="n">
        <v>15</v>
      </c>
      <c r="F154" s="0" t="n">
        <f aca="false">COUNTIF($A$2:A154,A154)</f>
        <v>153</v>
      </c>
      <c r="G154" s="0" t="n">
        <f aca="false">ROUNDUP(C154*1.236/75,0)</f>
        <v>1</v>
      </c>
      <c r="H154" s="0" t="n">
        <f aca="false">IF(MOD(F154-1,2)=0,SUMPRODUCT(($A$2:$A$644=A154)*(ROW($A$2:$A$644)&gt;=ROW())*(ROW($A$2:$A$644)&lt;ROW()+2)*$C$2:$C$644),"")</f>
        <v>84</v>
      </c>
      <c r="I154" s="0" t="n">
        <f aca="false">IF(H154="","",ROUNDUP(H154/75,0))</f>
        <v>2</v>
      </c>
      <c r="J154" s="0" t="str">
        <f aca="false">IF(MOD(F154-1,3)=0,SUMPRODUCT(($A$2:$A$644=A154)*(ROW($A$2:$A$644)&gt;=ROW())*(ROW($A$2:$A$644)&lt;ROW()+3)*$C$2:$C$644),"")</f>
        <v/>
      </c>
      <c r="K154" s="0" t="str">
        <f aca="false">IF(J154="","",ROUNDUP(J154/75,0))</f>
        <v/>
      </c>
      <c r="L154" s="0" t="str">
        <f aca="false">IF(MOD(F154-1,5)=0,SUMPRODUCT(($A$2:$A$644=A154)*(ROW($A$2:$A$644)&gt;=ROW())*(ROW($A$2:$A$644)&lt;ROW()+5)*$C$2:$C$644),"")</f>
        <v/>
      </c>
      <c r="M154" s="0" t="str">
        <f aca="false">IF(L154="","",ROUNDUP(L154/75,0))</f>
        <v/>
      </c>
      <c r="N154" s="0" t="str">
        <f aca="false">IF(MOD(F154-1,7)=0,SUMPRODUCT(($A$2:$A$644=A154)*(ROW($A$2:$A$644)&gt;=ROW())*(ROW($A$2:$A$644)&lt;ROW()+7)*$C$2:$C$644),"")</f>
        <v/>
      </c>
      <c r="O154" s="0" t="str">
        <f aca="false">IF(N154="","",ROUNDUP(N154/75,0))</f>
        <v/>
      </c>
    </row>
    <row r="155" customFormat="false" ht="15" hidden="false" customHeight="false" outlineLevel="0" collapsed="false">
      <c r="A155" s="0" t="s">
        <v>33</v>
      </c>
      <c r="B155" s="0" t="s">
        <v>187</v>
      </c>
      <c r="C155" s="0" t="n">
        <v>24</v>
      </c>
      <c r="D155" s="0" t="n">
        <v>1</v>
      </c>
      <c r="E155" s="0" t="n">
        <v>51</v>
      </c>
      <c r="F155" s="0" t="n">
        <f aca="false">COUNTIF($A$2:A155,A155)</f>
        <v>154</v>
      </c>
      <c r="G155" s="0" t="n">
        <f aca="false">ROUNDUP(C155*1.236/75,0)</f>
        <v>1</v>
      </c>
      <c r="H155" s="0" t="str">
        <f aca="false">IF(MOD(F155-1,2)=0,SUMPRODUCT(($A$2:$A$644=A155)*(ROW($A$2:$A$644)&gt;=ROW())*(ROW($A$2:$A$644)&lt;ROW()+2)*$C$2:$C$644),"")</f>
        <v/>
      </c>
      <c r="I155" s="0" t="str">
        <f aca="false">IF(H155="","",ROUNDUP(H155/75,0))</f>
        <v/>
      </c>
      <c r="J155" s="0" t="n">
        <f aca="false">IF(MOD(F155-1,3)=0,SUMPRODUCT(($A$2:$A$644=A155)*(ROW($A$2:$A$644)&gt;=ROW())*(ROW($A$2:$A$644)&lt;ROW()+3)*$C$2:$C$644),"")</f>
        <v>150</v>
      </c>
      <c r="K155" s="0" t="n">
        <f aca="false">IF(J155="","",ROUNDUP(J155/75,0))</f>
        <v>2</v>
      </c>
      <c r="L155" s="0" t="str">
        <f aca="false">IF(MOD(F155-1,5)=0,SUMPRODUCT(($A$2:$A$644=A155)*(ROW($A$2:$A$644)&gt;=ROW())*(ROW($A$2:$A$644)&lt;ROW()+5)*$C$2:$C$644),"")</f>
        <v/>
      </c>
      <c r="M155" s="0" t="str">
        <f aca="false">IF(L155="","",ROUNDUP(L155/75,0))</f>
        <v/>
      </c>
      <c r="N155" s="0" t="str">
        <f aca="false">IF(MOD(F155-1,7)=0,SUMPRODUCT(($A$2:$A$644=A155)*(ROW($A$2:$A$644)&gt;=ROW())*(ROW($A$2:$A$644)&lt;ROW()+7)*$C$2:$C$644),"")</f>
        <v/>
      </c>
      <c r="O155" s="0" t="str">
        <f aca="false">IF(N155="","",ROUNDUP(N155/75,0))</f>
        <v/>
      </c>
    </row>
    <row r="156" customFormat="false" ht="15" hidden="false" customHeight="false" outlineLevel="0" collapsed="false">
      <c r="A156" s="0" t="s">
        <v>33</v>
      </c>
      <c r="B156" s="0" t="s">
        <v>188</v>
      </c>
      <c r="C156" s="0" t="n">
        <v>18</v>
      </c>
      <c r="D156" s="0" t="n">
        <v>1</v>
      </c>
      <c r="E156" s="0" t="n">
        <v>57</v>
      </c>
      <c r="F156" s="0" t="n">
        <f aca="false">COUNTIF($A$2:A156,A156)</f>
        <v>155</v>
      </c>
      <c r="G156" s="0" t="n">
        <f aca="false">ROUNDUP(C156*1.236/75,0)</f>
        <v>1</v>
      </c>
      <c r="H156" s="0" t="n">
        <f aca="false">IF(MOD(F156-1,2)=0,SUMPRODUCT(($A$2:$A$644=A156)*(ROW($A$2:$A$644)&gt;=ROW())*(ROW($A$2:$A$644)&lt;ROW()+2)*$C$2:$C$644),"")</f>
        <v>126</v>
      </c>
      <c r="I156" s="0" t="n">
        <f aca="false">IF(H156="","",ROUNDUP(H156/75,0))</f>
        <v>2</v>
      </c>
      <c r="J156" s="0" t="str">
        <f aca="false">IF(MOD(F156-1,3)=0,SUMPRODUCT(($A$2:$A$644=A156)*(ROW($A$2:$A$644)&gt;=ROW())*(ROW($A$2:$A$644)&lt;ROW()+3)*$C$2:$C$644),"")</f>
        <v/>
      </c>
      <c r="K156" s="0" t="str">
        <f aca="false">IF(J156="","",ROUNDUP(J156/75,0))</f>
        <v/>
      </c>
      <c r="L156" s="0" t="str">
        <f aca="false">IF(MOD(F156-1,5)=0,SUMPRODUCT(($A$2:$A$644=A156)*(ROW($A$2:$A$644)&gt;=ROW())*(ROW($A$2:$A$644)&lt;ROW()+5)*$C$2:$C$644),"")</f>
        <v/>
      </c>
      <c r="M156" s="0" t="str">
        <f aca="false">IF(L156="","",ROUNDUP(L156/75,0))</f>
        <v/>
      </c>
      <c r="N156" s="0" t="n">
        <f aca="false">IF(MOD(F156-1,7)=0,SUMPRODUCT(($A$2:$A$644=A156)*(ROW($A$2:$A$644)&gt;=ROW())*(ROW($A$2:$A$644)&lt;ROW()+7)*$C$2:$C$644),"")</f>
        <v>414</v>
      </c>
      <c r="O156" s="0" t="n">
        <f aca="false">IF(N156="","",ROUNDUP(N156/75,0))</f>
        <v>6</v>
      </c>
    </row>
    <row r="157" customFormat="false" ht="15" hidden="false" customHeight="false" outlineLevel="0" collapsed="false">
      <c r="A157" s="0" t="s">
        <v>33</v>
      </c>
      <c r="B157" s="0" t="s">
        <v>189</v>
      </c>
      <c r="C157" s="0" t="n">
        <v>108</v>
      </c>
      <c r="D157" s="0" t="n">
        <v>2</v>
      </c>
      <c r="E157" s="0" t="n">
        <v>42</v>
      </c>
      <c r="F157" s="0" t="n">
        <f aca="false">COUNTIF($A$2:A157,A157)</f>
        <v>156</v>
      </c>
      <c r="G157" s="0" t="n">
        <f aca="false">ROUNDUP(C157*1.236/75,0)</f>
        <v>2</v>
      </c>
      <c r="H157" s="0" t="str">
        <f aca="false">IF(MOD(F157-1,2)=0,SUMPRODUCT(($A$2:$A$644=A157)*(ROW($A$2:$A$644)&gt;=ROW())*(ROW($A$2:$A$644)&lt;ROW()+2)*$C$2:$C$644),"")</f>
        <v/>
      </c>
      <c r="I157" s="0" t="str">
        <f aca="false">IF(H157="","",ROUNDUP(H157/75,0))</f>
        <v/>
      </c>
      <c r="J157" s="0" t="str">
        <f aca="false">IF(MOD(F157-1,3)=0,SUMPRODUCT(($A$2:$A$644=A157)*(ROW($A$2:$A$644)&gt;=ROW())*(ROW($A$2:$A$644)&lt;ROW()+3)*$C$2:$C$644),"")</f>
        <v/>
      </c>
      <c r="K157" s="0" t="str">
        <f aca="false">IF(J157="","",ROUNDUP(J157/75,0))</f>
        <v/>
      </c>
      <c r="L157" s="0" t="n">
        <f aca="false">IF(MOD(F157-1,5)=0,SUMPRODUCT(($A$2:$A$644=A157)*(ROW($A$2:$A$644)&gt;=ROW())*(ROW($A$2:$A$644)&lt;ROW()+5)*$C$2:$C$644),"")</f>
        <v>288</v>
      </c>
      <c r="M157" s="0" t="n">
        <f aca="false">IF(L157="","",ROUNDUP(L157/75,0))</f>
        <v>4</v>
      </c>
      <c r="N157" s="0" t="str">
        <f aca="false">IF(MOD(F157-1,7)=0,SUMPRODUCT(($A$2:$A$644=A157)*(ROW($A$2:$A$644)&gt;=ROW())*(ROW($A$2:$A$644)&lt;ROW()+7)*$C$2:$C$644),"")</f>
        <v/>
      </c>
      <c r="O157" s="0" t="str">
        <f aca="false">IF(N157="","",ROUNDUP(N157/75,0))</f>
        <v/>
      </c>
    </row>
    <row r="158" customFormat="false" ht="15" hidden="false" customHeight="false" outlineLevel="0" collapsed="false">
      <c r="A158" s="0" t="s">
        <v>33</v>
      </c>
      <c r="B158" s="0" t="s">
        <v>190</v>
      </c>
      <c r="C158" s="0" t="n">
        <v>24</v>
      </c>
      <c r="D158" s="0" t="n">
        <v>1</v>
      </c>
      <c r="E158" s="0" t="n">
        <v>51</v>
      </c>
      <c r="F158" s="0" t="n">
        <f aca="false">COUNTIF($A$2:A158,A158)</f>
        <v>157</v>
      </c>
      <c r="G158" s="0" t="n">
        <f aca="false">ROUNDUP(C158*1.236/75,0)</f>
        <v>1</v>
      </c>
      <c r="H158" s="0" t="n">
        <f aca="false">IF(MOD(F158-1,2)=0,SUMPRODUCT(($A$2:$A$644=A158)*(ROW($A$2:$A$644)&gt;=ROW())*(ROW($A$2:$A$644)&lt;ROW()+2)*$C$2:$C$644),"")</f>
        <v>72</v>
      </c>
      <c r="I158" s="0" t="n">
        <f aca="false">IF(H158="","",ROUNDUP(H158/75,0))</f>
        <v>1</v>
      </c>
      <c r="J158" s="0" t="n">
        <f aca="false">IF(MOD(F158-1,3)=0,SUMPRODUCT(($A$2:$A$644=A158)*(ROW($A$2:$A$644)&gt;=ROW())*(ROW($A$2:$A$644)&lt;ROW()+3)*$C$2:$C$644),"")</f>
        <v>114</v>
      </c>
      <c r="K158" s="0" t="n">
        <f aca="false">IF(J158="","",ROUNDUP(J158/75,0))</f>
        <v>2</v>
      </c>
      <c r="L158" s="0" t="str">
        <f aca="false">IF(MOD(F158-1,5)=0,SUMPRODUCT(($A$2:$A$644=A158)*(ROW($A$2:$A$644)&gt;=ROW())*(ROW($A$2:$A$644)&lt;ROW()+5)*$C$2:$C$644),"")</f>
        <v/>
      </c>
      <c r="M158" s="0" t="str">
        <f aca="false">IF(L158="","",ROUNDUP(L158/75,0))</f>
        <v/>
      </c>
      <c r="N158" s="0" t="str">
        <f aca="false">IF(MOD(F158-1,7)=0,SUMPRODUCT(($A$2:$A$644=A158)*(ROW($A$2:$A$644)&gt;=ROW())*(ROW($A$2:$A$644)&lt;ROW()+7)*$C$2:$C$644),"")</f>
        <v/>
      </c>
      <c r="O158" s="0" t="str">
        <f aca="false">IF(N158="","",ROUNDUP(N158/75,0))</f>
        <v/>
      </c>
    </row>
    <row r="159" customFormat="false" ht="15" hidden="false" customHeight="false" outlineLevel="0" collapsed="false">
      <c r="A159" s="0" t="s">
        <v>33</v>
      </c>
      <c r="B159" s="0" t="s">
        <v>191</v>
      </c>
      <c r="C159" s="0" t="n">
        <v>48</v>
      </c>
      <c r="D159" s="0" t="n">
        <v>1</v>
      </c>
      <c r="E159" s="0" t="n">
        <v>27</v>
      </c>
      <c r="F159" s="0" t="n">
        <f aca="false">COUNTIF($A$2:A159,A159)</f>
        <v>158</v>
      </c>
      <c r="G159" s="0" t="n">
        <f aca="false">ROUNDUP(C159*1.236/75,0)</f>
        <v>1</v>
      </c>
      <c r="H159" s="0" t="str">
        <f aca="false">IF(MOD(F159-1,2)=0,SUMPRODUCT(($A$2:$A$644=A159)*(ROW($A$2:$A$644)&gt;=ROW())*(ROW($A$2:$A$644)&lt;ROW()+2)*$C$2:$C$644),"")</f>
        <v/>
      </c>
      <c r="I159" s="0" t="str">
        <f aca="false">IF(H159="","",ROUNDUP(H159/75,0))</f>
        <v/>
      </c>
      <c r="J159" s="0" t="str">
        <f aca="false">IF(MOD(F159-1,3)=0,SUMPRODUCT(($A$2:$A$644=A159)*(ROW($A$2:$A$644)&gt;=ROW())*(ROW($A$2:$A$644)&lt;ROW()+3)*$C$2:$C$644),"")</f>
        <v/>
      </c>
      <c r="K159" s="0" t="str">
        <f aca="false">IF(J159="","",ROUNDUP(J159/75,0))</f>
        <v/>
      </c>
      <c r="L159" s="0" t="str">
        <f aca="false">IF(MOD(F159-1,5)=0,SUMPRODUCT(($A$2:$A$644=A159)*(ROW($A$2:$A$644)&gt;=ROW())*(ROW($A$2:$A$644)&lt;ROW()+5)*$C$2:$C$644),"")</f>
        <v/>
      </c>
      <c r="M159" s="0" t="str">
        <f aca="false">IF(L159="","",ROUNDUP(L159/75,0))</f>
        <v/>
      </c>
      <c r="N159" s="0" t="str">
        <f aca="false">IF(MOD(F159-1,7)=0,SUMPRODUCT(($A$2:$A$644=A159)*(ROW($A$2:$A$644)&gt;=ROW())*(ROW($A$2:$A$644)&lt;ROW()+7)*$C$2:$C$644),"")</f>
        <v/>
      </c>
      <c r="O159" s="0" t="str">
        <f aca="false">IF(N159="","",ROUNDUP(N159/75,0))</f>
        <v/>
      </c>
    </row>
    <row r="160" customFormat="false" ht="15" hidden="false" customHeight="false" outlineLevel="0" collapsed="false">
      <c r="A160" s="0" t="s">
        <v>33</v>
      </c>
      <c r="B160" s="0" t="s">
        <v>192</v>
      </c>
      <c r="C160" s="0" t="n">
        <v>42</v>
      </c>
      <c r="D160" s="0" t="n">
        <v>1</v>
      </c>
      <c r="E160" s="0" t="n">
        <v>33</v>
      </c>
      <c r="F160" s="0" t="n">
        <f aca="false">COUNTIF($A$2:A160,A160)</f>
        <v>159</v>
      </c>
      <c r="G160" s="0" t="n">
        <f aca="false">ROUNDUP(C160*1.236/75,0)</f>
        <v>1</v>
      </c>
      <c r="H160" s="0" t="n">
        <f aca="false">IF(MOD(F160-1,2)=0,SUMPRODUCT(($A$2:$A$644=A160)*(ROW($A$2:$A$644)&gt;=ROW())*(ROW($A$2:$A$644)&lt;ROW()+2)*$C$2:$C$644),"")</f>
        <v>108</v>
      </c>
      <c r="I160" s="0" t="n">
        <f aca="false">IF(H160="","",ROUNDUP(H160/75,0))</f>
        <v>2</v>
      </c>
      <c r="J160" s="0" t="str">
        <f aca="false">IF(MOD(F160-1,3)=0,SUMPRODUCT(($A$2:$A$644=A160)*(ROW($A$2:$A$644)&gt;=ROW())*(ROW($A$2:$A$644)&lt;ROW()+3)*$C$2:$C$644),"")</f>
        <v/>
      </c>
      <c r="K160" s="0" t="str">
        <f aca="false">IF(J160="","",ROUNDUP(J160/75,0))</f>
        <v/>
      </c>
      <c r="L160" s="0" t="str">
        <f aca="false">IF(MOD(F160-1,5)=0,SUMPRODUCT(($A$2:$A$644=A160)*(ROW($A$2:$A$644)&gt;=ROW())*(ROW($A$2:$A$644)&lt;ROW()+5)*$C$2:$C$644),"")</f>
        <v/>
      </c>
      <c r="M160" s="0" t="str">
        <f aca="false">IF(L160="","",ROUNDUP(L160/75,0))</f>
        <v/>
      </c>
      <c r="N160" s="0" t="str">
        <f aca="false">IF(MOD(F160-1,7)=0,SUMPRODUCT(($A$2:$A$644=A160)*(ROW($A$2:$A$644)&gt;=ROW())*(ROW($A$2:$A$644)&lt;ROW()+7)*$C$2:$C$644),"")</f>
        <v/>
      </c>
      <c r="O160" s="0" t="str">
        <f aca="false">IF(N160="","",ROUNDUP(N160/75,0))</f>
        <v/>
      </c>
    </row>
    <row r="161" customFormat="false" ht="15" hidden="false" customHeight="false" outlineLevel="0" collapsed="false">
      <c r="A161" s="0" t="s">
        <v>33</v>
      </c>
      <c r="B161" s="0" t="s">
        <v>193</v>
      </c>
      <c r="C161" s="0" t="n">
        <v>66</v>
      </c>
      <c r="D161" s="0" t="n">
        <v>1</v>
      </c>
      <c r="E161" s="0" t="n">
        <v>9</v>
      </c>
      <c r="F161" s="0" t="n">
        <f aca="false">COUNTIF($A$2:A161,A161)</f>
        <v>160</v>
      </c>
      <c r="G161" s="0" t="n">
        <f aca="false">ROUNDUP(C161*1.236/75,0)</f>
        <v>2</v>
      </c>
      <c r="H161" s="0" t="str">
        <f aca="false">IF(MOD(F161-1,2)=0,SUMPRODUCT(($A$2:$A$644=A161)*(ROW($A$2:$A$644)&gt;=ROW())*(ROW($A$2:$A$644)&lt;ROW()+2)*$C$2:$C$644),"")</f>
        <v/>
      </c>
      <c r="I161" s="0" t="str">
        <f aca="false">IF(H161="","",ROUNDUP(H161/75,0))</f>
        <v/>
      </c>
      <c r="J161" s="0" t="n">
        <f aca="false">IF(MOD(F161-1,3)=0,SUMPRODUCT(($A$2:$A$644=A161)*(ROW($A$2:$A$644)&gt;=ROW())*(ROW($A$2:$A$644)&lt;ROW()+3)*$C$2:$C$644),"")</f>
        <v>198</v>
      </c>
      <c r="K161" s="0" t="n">
        <f aca="false">IF(J161="","",ROUNDUP(J161/75,0))</f>
        <v>3</v>
      </c>
      <c r="L161" s="0" t="str">
        <f aca="false">IF(MOD(F161-1,5)=0,SUMPRODUCT(($A$2:$A$644=A161)*(ROW($A$2:$A$644)&gt;=ROW())*(ROW($A$2:$A$644)&lt;ROW()+5)*$C$2:$C$644),"")</f>
        <v/>
      </c>
      <c r="M161" s="0" t="str">
        <f aca="false">IF(L161="","",ROUNDUP(L161/75,0))</f>
        <v/>
      </c>
      <c r="N161" s="0" t="str">
        <f aca="false">IF(MOD(F161-1,7)=0,SUMPRODUCT(($A$2:$A$644=A161)*(ROW($A$2:$A$644)&gt;=ROW())*(ROW($A$2:$A$644)&lt;ROW()+7)*$C$2:$C$644),"")</f>
        <v/>
      </c>
      <c r="O161" s="0" t="str">
        <f aca="false">IF(N161="","",ROUNDUP(N161/75,0))</f>
        <v/>
      </c>
    </row>
    <row r="162" customFormat="false" ht="15" hidden="false" customHeight="false" outlineLevel="0" collapsed="false">
      <c r="A162" s="0" t="s">
        <v>33</v>
      </c>
      <c r="B162" s="0" t="s">
        <v>194</v>
      </c>
      <c r="C162" s="0" t="n">
        <v>108</v>
      </c>
      <c r="D162" s="0" t="n">
        <v>2</v>
      </c>
      <c r="E162" s="0" t="n">
        <v>42</v>
      </c>
      <c r="F162" s="0" t="n">
        <f aca="false">COUNTIF($A$2:A162,A162)</f>
        <v>161</v>
      </c>
      <c r="G162" s="0" t="n">
        <f aca="false">ROUNDUP(C162*1.236/75,0)</f>
        <v>2</v>
      </c>
      <c r="H162" s="0" t="n">
        <f aca="false">IF(MOD(F162-1,2)=0,SUMPRODUCT(($A$2:$A$644=A162)*(ROW($A$2:$A$644)&gt;=ROW())*(ROW($A$2:$A$644)&lt;ROW()+2)*$C$2:$C$644),"")</f>
        <v>132</v>
      </c>
      <c r="I162" s="0" t="n">
        <f aca="false">IF(H162="","",ROUNDUP(H162/75,0))</f>
        <v>2</v>
      </c>
      <c r="J162" s="0" t="str">
        <f aca="false">IF(MOD(F162-1,3)=0,SUMPRODUCT(($A$2:$A$644=A162)*(ROW($A$2:$A$644)&gt;=ROW())*(ROW($A$2:$A$644)&lt;ROW()+3)*$C$2:$C$644),"")</f>
        <v/>
      </c>
      <c r="K162" s="0" t="str">
        <f aca="false">IF(J162="","",ROUNDUP(J162/75,0))</f>
        <v/>
      </c>
      <c r="L162" s="0" t="n">
        <f aca="false">IF(MOD(F162-1,5)=0,SUMPRODUCT(($A$2:$A$644=A162)*(ROW($A$2:$A$644)&gt;=ROW())*(ROW($A$2:$A$644)&lt;ROW()+5)*$C$2:$C$644),"")</f>
        <v>174</v>
      </c>
      <c r="M162" s="0" t="n">
        <f aca="false">IF(L162="","",ROUNDUP(L162/75,0))</f>
        <v>3</v>
      </c>
      <c r="N162" s="0" t="str">
        <f aca="false">IF(MOD(F162-1,7)=0,SUMPRODUCT(($A$2:$A$644=A162)*(ROW($A$2:$A$644)&gt;=ROW())*(ROW($A$2:$A$644)&lt;ROW()+7)*$C$2:$C$644),"")</f>
        <v/>
      </c>
      <c r="O162" s="0" t="str">
        <f aca="false">IF(N162="","",ROUNDUP(N162/75,0))</f>
        <v/>
      </c>
    </row>
    <row r="163" customFormat="false" ht="15" hidden="false" customHeight="false" outlineLevel="0" collapsed="false">
      <c r="A163" s="0" t="s">
        <v>33</v>
      </c>
      <c r="B163" s="0" t="s">
        <v>195</v>
      </c>
      <c r="C163" s="0" t="n">
        <v>24</v>
      </c>
      <c r="D163" s="0" t="n">
        <v>1</v>
      </c>
      <c r="E163" s="0" t="n">
        <v>51</v>
      </c>
      <c r="F163" s="0" t="n">
        <f aca="false">COUNTIF($A$2:A163,A163)</f>
        <v>162</v>
      </c>
      <c r="G163" s="0" t="n">
        <f aca="false">ROUNDUP(C163*1.236/75,0)</f>
        <v>1</v>
      </c>
      <c r="H163" s="0" t="str">
        <f aca="false">IF(MOD(F163-1,2)=0,SUMPRODUCT(($A$2:$A$644=A163)*(ROW($A$2:$A$644)&gt;=ROW())*(ROW($A$2:$A$644)&lt;ROW()+2)*$C$2:$C$644),"")</f>
        <v/>
      </c>
      <c r="I163" s="0" t="str">
        <f aca="false">IF(H163="","",ROUNDUP(H163/75,0))</f>
        <v/>
      </c>
      <c r="J163" s="0" t="str">
        <f aca="false">IF(MOD(F163-1,3)=0,SUMPRODUCT(($A$2:$A$644=A163)*(ROW($A$2:$A$644)&gt;=ROW())*(ROW($A$2:$A$644)&lt;ROW()+3)*$C$2:$C$644),"")</f>
        <v/>
      </c>
      <c r="K163" s="0" t="str">
        <f aca="false">IF(J163="","",ROUNDUP(J163/75,0))</f>
        <v/>
      </c>
      <c r="L163" s="0" t="str">
        <f aca="false">IF(MOD(F163-1,5)=0,SUMPRODUCT(($A$2:$A$644=A163)*(ROW($A$2:$A$644)&gt;=ROW())*(ROW($A$2:$A$644)&lt;ROW()+5)*$C$2:$C$644),"")</f>
        <v/>
      </c>
      <c r="M163" s="0" t="str">
        <f aca="false">IF(L163="","",ROUNDUP(L163/75,0))</f>
        <v/>
      </c>
      <c r="N163" s="0" t="n">
        <f aca="false">IF(MOD(F163-1,7)=0,SUMPRODUCT(($A$2:$A$644=A163)*(ROW($A$2:$A$644)&gt;=ROW())*(ROW($A$2:$A$644)&lt;ROW()+7)*$C$2:$C$644),"")</f>
        <v>216</v>
      </c>
      <c r="O163" s="0" t="n">
        <f aca="false">IF(N163="","",ROUNDUP(N163/75,0))</f>
        <v>3</v>
      </c>
    </row>
    <row r="164" customFormat="false" ht="15" hidden="false" customHeight="false" outlineLevel="0" collapsed="false">
      <c r="A164" s="0" t="s">
        <v>33</v>
      </c>
      <c r="B164" s="0" t="s">
        <v>196</v>
      </c>
      <c r="C164" s="0" t="n">
        <v>18</v>
      </c>
      <c r="D164" s="0" t="n">
        <v>1</v>
      </c>
      <c r="E164" s="0" t="n">
        <v>57</v>
      </c>
      <c r="F164" s="0" t="n">
        <f aca="false">COUNTIF($A$2:A164,A164)</f>
        <v>163</v>
      </c>
      <c r="G164" s="0" t="n">
        <f aca="false">ROUNDUP(C164*1.236/75,0)</f>
        <v>1</v>
      </c>
      <c r="H164" s="0" t="n">
        <f aca="false">IF(MOD(F164-1,2)=0,SUMPRODUCT(($A$2:$A$644=A164)*(ROW($A$2:$A$644)&gt;=ROW())*(ROW($A$2:$A$644)&lt;ROW()+2)*$C$2:$C$644),"")</f>
        <v>24</v>
      </c>
      <c r="I164" s="0" t="n">
        <f aca="false">IF(H164="","",ROUNDUP(H164/75,0))</f>
        <v>1</v>
      </c>
      <c r="J164" s="0" t="n">
        <f aca="false">IF(MOD(F164-1,3)=0,SUMPRODUCT(($A$2:$A$644=A164)*(ROW($A$2:$A$644)&gt;=ROW())*(ROW($A$2:$A$644)&lt;ROW()+3)*$C$2:$C$644),"")</f>
        <v>42</v>
      </c>
      <c r="K164" s="0" t="n">
        <f aca="false">IF(J164="","",ROUNDUP(J164/75,0))</f>
        <v>1</v>
      </c>
      <c r="L164" s="0" t="str">
        <f aca="false">IF(MOD(F164-1,5)=0,SUMPRODUCT(($A$2:$A$644=A164)*(ROW($A$2:$A$644)&gt;=ROW())*(ROW($A$2:$A$644)&lt;ROW()+5)*$C$2:$C$644),"")</f>
        <v/>
      </c>
      <c r="M164" s="0" t="str">
        <f aca="false">IF(L164="","",ROUNDUP(L164/75,0))</f>
        <v/>
      </c>
      <c r="N164" s="0" t="str">
        <f aca="false">IF(MOD(F164-1,7)=0,SUMPRODUCT(($A$2:$A$644=A164)*(ROW($A$2:$A$644)&gt;=ROW())*(ROW($A$2:$A$644)&lt;ROW()+7)*$C$2:$C$644),"")</f>
        <v/>
      </c>
      <c r="O164" s="0" t="str">
        <f aca="false">IF(N164="","",ROUNDUP(N164/75,0))</f>
        <v/>
      </c>
    </row>
    <row r="165" customFormat="false" ht="15" hidden="false" customHeight="false" outlineLevel="0" collapsed="false">
      <c r="A165" s="0" t="s">
        <v>33</v>
      </c>
      <c r="B165" s="0" t="s">
        <v>197</v>
      </c>
      <c r="C165" s="0" t="n">
        <v>6</v>
      </c>
      <c r="D165" s="0" t="n">
        <v>1</v>
      </c>
      <c r="E165" s="0" t="n">
        <v>69</v>
      </c>
      <c r="F165" s="0" t="n">
        <f aca="false">COUNTIF($A$2:A165,A165)</f>
        <v>164</v>
      </c>
      <c r="G165" s="0" t="n">
        <f aca="false">ROUNDUP(C165*1.236/75,0)</f>
        <v>1</v>
      </c>
      <c r="H165" s="0" t="str">
        <f aca="false">IF(MOD(F165-1,2)=0,SUMPRODUCT(($A$2:$A$644=A165)*(ROW($A$2:$A$644)&gt;=ROW())*(ROW($A$2:$A$644)&lt;ROW()+2)*$C$2:$C$644),"")</f>
        <v/>
      </c>
      <c r="I165" s="0" t="str">
        <f aca="false">IF(H165="","",ROUNDUP(H165/75,0))</f>
        <v/>
      </c>
      <c r="J165" s="0" t="str">
        <f aca="false">IF(MOD(F165-1,3)=0,SUMPRODUCT(($A$2:$A$644=A165)*(ROW($A$2:$A$644)&gt;=ROW())*(ROW($A$2:$A$644)&lt;ROW()+3)*$C$2:$C$644),"")</f>
        <v/>
      </c>
      <c r="K165" s="0" t="str">
        <f aca="false">IF(J165="","",ROUNDUP(J165/75,0))</f>
        <v/>
      </c>
      <c r="L165" s="0" t="str">
        <f aca="false">IF(MOD(F165-1,5)=0,SUMPRODUCT(($A$2:$A$644=A165)*(ROW($A$2:$A$644)&gt;=ROW())*(ROW($A$2:$A$644)&lt;ROW()+5)*$C$2:$C$644),"")</f>
        <v/>
      </c>
      <c r="M165" s="0" t="str">
        <f aca="false">IF(L165="","",ROUNDUP(L165/75,0))</f>
        <v/>
      </c>
      <c r="N165" s="0" t="str">
        <f aca="false">IF(MOD(F165-1,7)=0,SUMPRODUCT(($A$2:$A$644=A165)*(ROW($A$2:$A$644)&gt;=ROW())*(ROW($A$2:$A$644)&lt;ROW()+7)*$C$2:$C$644),"")</f>
        <v/>
      </c>
      <c r="O165" s="0" t="str">
        <f aca="false">IF(N165="","",ROUNDUP(N165/75,0))</f>
        <v/>
      </c>
    </row>
    <row r="166" customFormat="false" ht="15" hidden="false" customHeight="false" outlineLevel="0" collapsed="false">
      <c r="A166" s="0" t="s">
        <v>33</v>
      </c>
      <c r="B166" s="0" t="s">
        <v>198</v>
      </c>
      <c r="C166" s="0" t="n">
        <v>18</v>
      </c>
      <c r="D166" s="0" t="n">
        <v>1</v>
      </c>
      <c r="E166" s="0" t="n">
        <v>57</v>
      </c>
      <c r="F166" s="0" t="n">
        <f aca="false">COUNTIF($A$2:A166,A166)</f>
        <v>165</v>
      </c>
      <c r="G166" s="0" t="n">
        <f aca="false">ROUNDUP(C166*1.236/75,0)</f>
        <v>1</v>
      </c>
      <c r="H166" s="0" t="n">
        <f aca="false">IF(MOD(F166-1,2)=0,SUMPRODUCT(($A$2:$A$644=A166)*(ROW($A$2:$A$644)&gt;=ROW())*(ROW($A$2:$A$644)&lt;ROW()+2)*$C$2:$C$644),"")</f>
        <v>84</v>
      </c>
      <c r="I166" s="0" t="n">
        <f aca="false">IF(H166="","",ROUNDUP(H166/75,0))</f>
        <v>2</v>
      </c>
      <c r="J166" s="0" t="str">
        <f aca="false">IF(MOD(F166-1,3)=0,SUMPRODUCT(($A$2:$A$644=A166)*(ROW($A$2:$A$644)&gt;=ROW())*(ROW($A$2:$A$644)&lt;ROW()+3)*$C$2:$C$644),"")</f>
        <v/>
      </c>
      <c r="K166" s="0" t="str">
        <f aca="false">IF(J166="","",ROUNDUP(J166/75,0))</f>
        <v/>
      </c>
      <c r="L166" s="0" t="str">
        <f aca="false">IF(MOD(F166-1,5)=0,SUMPRODUCT(($A$2:$A$644=A166)*(ROW($A$2:$A$644)&gt;=ROW())*(ROW($A$2:$A$644)&lt;ROW()+5)*$C$2:$C$644),"")</f>
        <v/>
      </c>
      <c r="M166" s="0" t="str">
        <f aca="false">IF(L166="","",ROUNDUP(L166/75,0))</f>
        <v/>
      </c>
      <c r="N166" s="0" t="str">
        <f aca="false">IF(MOD(F166-1,7)=0,SUMPRODUCT(($A$2:$A$644=A166)*(ROW($A$2:$A$644)&gt;=ROW())*(ROW($A$2:$A$644)&lt;ROW()+7)*$C$2:$C$644),"")</f>
        <v/>
      </c>
      <c r="O166" s="0" t="str">
        <f aca="false">IF(N166="","",ROUNDUP(N166/75,0))</f>
        <v/>
      </c>
    </row>
    <row r="167" customFormat="false" ht="15" hidden="false" customHeight="false" outlineLevel="0" collapsed="false">
      <c r="A167" s="0" t="s">
        <v>33</v>
      </c>
      <c r="B167" s="0" t="s">
        <v>199</v>
      </c>
      <c r="C167" s="0" t="n">
        <v>66</v>
      </c>
      <c r="D167" s="0" t="n">
        <v>1</v>
      </c>
      <c r="E167" s="0" t="n">
        <v>9</v>
      </c>
      <c r="F167" s="0" t="n">
        <f aca="false">COUNTIF($A$2:A167,A167)</f>
        <v>166</v>
      </c>
      <c r="G167" s="0" t="n">
        <f aca="false">ROUNDUP(C167*1.236/75,0)</f>
        <v>2</v>
      </c>
      <c r="H167" s="0" t="str">
        <f aca="false">IF(MOD(F167-1,2)=0,SUMPRODUCT(($A$2:$A$644=A167)*(ROW($A$2:$A$644)&gt;=ROW())*(ROW($A$2:$A$644)&lt;ROW()+2)*$C$2:$C$644),"")</f>
        <v/>
      </c>
      <c r="I167" s="0" t="str">
        <f aca="false">IF(H167="","",ROUNDUP(H167/75,0))</f>
        <v/>
      </c>
      <c r="J167" s="0" t="n">
        <f aca="false">IF(MOD(F167-1,3)=0,SUMPRODUCT(($A$2:$A$644=A167)*(ROW($A$2:$A$644)&gt;=ROW())*(ROW($A$2:$A$644)&lt;ROW()+3)*$C$2:$C$644),"")</f>
        <v>150</v>
      </c>
      <c r="K167" s="0" t="n">
        <f aca="false">IF(J167="","",ROUNDUP(J167/75,0))</f>
        <v>2</v>
      </c>
      <c r="L167" s="0" t="n">
        <f aca="false">IF(MOD(F167-1,5)=0,SUMPRODUCT(($A$2:$A$644=A167)*(ROW($A$2:$A$644)&gt;=ROW())*(ROW($A$2:$A$644)&lt;ROW()+5)*$C$2:$C$644),"")</f>
        <v>180</v>
      </c>
      <c r="M167" s="0" t="n">
        <f aca="false">IF(L167="","",ROUNDUP(L167/75,0))</f>
        <v>3</v>
      </c>
      <c r="N167" s="0" t="str">
        <f aca="false">IF(MOD(F167-1,7)=0,SUMPRODUCT(($A$2:$A$644=A167)*(ROW($A$2:$A$644)&gt;=ROW())*(ROW($A$2:$A$644)&lt;ROW()+7)*$C$2:$C$644),"")</f>
        <v/>
      </c>
      <c r="O167" s="0" t="str">
        <f aca="false">IF(N167="","",ROUNDUP(N167/75,0))</f>
        <v/>
      </c>
    </row>
    <row r="168" customFormat="false" ht="15" hidden="false" customHeight="false" outlineLevel="0" collapsed="false">
      <c r="A168" s="0" t="s">
        <v>33</v>
      </c>
      <c r="B168" s="0" t="s">
        <v>200</v>
      </c>
      <c r="C168" s="0" t="n">
        <v>78</v>
      </c>
      <c r="D168" s="0" t="n">
        <v>2</v>
      </c>
      <c r="E168" s="0" t="n">
        <v>72</v>
      </c>
      <c r="F168" s="0" t="n">
        <f aca="false">COUNTIF($A$2:A168,A168)</f>
        <v>167</v>
      </c>
      <c r="G168" s="0" t="n">
        <f aca="false">ROUNDUP(C168*1.236/75,0)</f>
        <v>2</v>
      </c>
      <c r="H168" s="0" t="n">
        <f aca="false">IF(MOD(F168-1,2)=0,SUMPRODUCT(($A$2:$A$644=A168)*(ROW($A$2:$A$644)&gt;=ROW())*(ROW($A$2:$A$644)&lt;ROW()+2)*$C$2:$C$644),"")</f>
        <v>84</v>
      </c>
      <c r="I168" s="0" t="n">
        <f aca="false">IF(H168="","",ROUNDUP(H168/75,0))</f>
        <v>2</v>
      </c>
      <c r="J168" s="0" t="str">
        <f aca="false">IF(MOD(F168-1,3)=0,SUMPRODUCT(($A$2:$A$644=A168)*(ROW($A$2:$A$644)&gt;=ROW())*(ROW($A$2:$A$644)&lt;ROW()+3)*$C$2:$C$644),"")</f>
        <v/>
      </c>
      <c r="K168" s="0" t="str">
        <f aca="false">IF(J168="","",ROUNDUP(J168/75,0))</f>
        <v/>
      </c>
      <c r="L168" s="0" t="str">
        <f aca="false">IF(MOD(F168-1,5)=0,SUMPRODUCT(($A$2:$A$644=A168)*(ROW($A$2:$A$644)&gt;=ROW())*(ROW($A$2:$A$644)&lt;ROW()+5)*$C$2:$C$644),"")</f>
        <v/>
      </c>
      <c r="M168" s="0" t="str">
        <f aca="false">IF(L168="","",ROUNDUP(L168/75,0))</f>
        <v/>
      </c>
      <c r="N168" s="0" t="str">
        <f aca="false">IF(MOD(F168-1,7)=0,SUMPRODUCT(($A$2:$A$644=A168)*(ROW($A$2:$A$644)&gt;=ROW())*(ROW($A$2:$A$644)&lt;ROW()+7)*$C$2:$C$644),"")</f>
        <v/>
      </c>
      <c r="O168" s="0" t="str">
        <f aca="false">IF(N168="","",ROUNDUP(N168/75,0))</f>
        <v/>
      </c>
    </row>
    <row r="169" customFormat="false" ht="15" hidden="false" customHeight="false" outlineLevel="0" collapsed="false">
      <c r="A169" s="0" t="s">
        <v>33</v>
      </c>
      <c r="B169" s="0" t="s">
        <v>201</v>
      </c>
      <c r="C169" s="0" t="n">
        <v>6</v>
      </c>
      <c r="D169" s="0" t="n">
        <v>1</v>
      </c>
      <c r="E169" s="0" t="n">
        <v>69</v>
      </c>
      <c r="F169" s="0" t="n">
        <f aca="false">COUNTIF($A$2:A169,A169)</f>
        <v>168</v>
      </c>
      <c r="G169" s="0" t="n">
        <f aca="false">ROUNDUP(C169*1.236/75,0)</f>
        <v>1</v>
      </c>
      <c r="H169" s="0" t="str">
        <f aca="false">IF(MOD(F169-1,2)=0,SUMPRODUCT(($A$2:$A$644=A169)*(ROW($A$2:$A$644)&gt;=ROW())*(ROW($A$2:$A$644)&lt;ROW()+2)*$C$2:$C$644),"")</f>
        <v/>
      </c>
      <c r="I169" s="0" t="str">
        <f aca="false">IF(H169="","",ROUNDUP(H169/75,0))</f>
        <v/>
      </c>
      <c r="J169" s="0" t="str">
        <f aca="false">IF(MOD(F169-1,3)=0,SUMPRODUCT(($A$2:$A$644=A169)*(ROW($A$2:$A$644)&gt;=ROW())*(ROW($A$2:$A$644)&lt;ROW()+3)*$C$2:$C$644),"")</f>
        <v/>
      </c>
      <c r="K169" s="0" t="str">
        <f aca="false">IF(J169="","",ROUNDUP(J169/75,0))</f>
        <v/>
      </c>
      <c r="L169" s="0" t="str">
        <f aca="false">IF(MOD(F169-1,5)=0,SUMPRODUCT(($A$2:$A$644=A169)*(ROW($A$2:$A$644)&gt;=ROW())*(ROW($A$2:$A$644)&lt;ROW()+5)*$C$2:$C$644),"")</f>
        <v/>
      </c>
      <c r="M169" s="0" t="str">
        <f aca="false">IF(L169="","",ROUNDUP(L169/75,0))</f>
        <v/>
      </c>
      <c r="N169" s="0" t="str">
        <f aca="false">IF(MOD(F169-1,7)=0,SUMPRODUCT(($A$2:$A$644=A169)*(ROW($A$2:$A$644)&gt;=ROW())*(ROW($A$2:$A$644)&lt;ROW()+7)*$C$2:$C$644),"")</f>
        <v/>
      </c>
      <c r="O169" s="0" t="str">
        <f aca="false">IF(N169="","",ROUNDUP(N169/75,0))</f>
        <v/>
      </c>
    </row>
    <row r="170" customFormat="false" ht="15" hidden="false" customHeight="false" outlineLevel="0" collapsed="false">
      <c r="A170" s="0" t="s">
        <v>33</v>
      </c>
      <c r="B170" s="0" t="s">
        <v>202</v>
      </c>
      <c r="C170" s="0" t="n">
        <v>12</v>
      </c>
      <c r="D170" s="0" t="n">
        <v>1</v>
      </c>
      <c r="E170" s="0" t="n">
        <v>63</v>
      </c>
      <c r="F170" s="0" t="n">
        <f aca="false">COUNTIF($A$2:A170,A170)</f>
        <v>169</v>
      </c>
      <c r="G170" s="0" t="n">
        <f aca="false">ROUNDUP(C170*1.236/75,0)</f>
        <v>1</v>
      </c>
      <c r="H170" s="0" t="n">
        <f aca="false">IF(MOD(F170-1,2)=0,SUMPRODUCT(($A$2:$A$644=A170)*(ROW($A$2:$A$644)&gt;=ROW())*(ROW($A$2:$A$644)&lt;ROW()+2)*$C$2:$C$644),"")</f>
        <v>30</v>
      </c>
      <c r="I170" s="0" t="n">
        <f aca="false">IF(H170="","",ROUNDUP(H170/75,0))</f>
        <v>1</v>
      </c>
      <c r="J170" s="0" t="n">
        <f aca="false">IF(MOD(F170-1,3)=0,SUMPRODUCT(($A$2:$A$644=A170)*(ROW($A$2:$A$644)&gt;=ROW())*(ROW($A$2:$A$644)&lt;ROW()+3)*$C$2:$C$644),"")</f>
        <v>84</v>
      </c>
      <c r="K170" s="0" t="n">
        <f aca="false">IF(J170="","",ROUNDUP(J170/75,0))</f>
        <v>2</v>
      </c>
      <c r="L170" s="0" t="str">
        <f aca="false">IF(MOD(F170-1,5)=0,SUMPRODUCT(($A$2:$A$644=A170)*(ROW($A$2:$A$644)&gt;=ROW())*(ROW($A$2:$A$644)&lt;ROW()+5)*$C$2:$C$644),"")</f>
        <v/>
      </c>
      <c r="M170" s="0" t="str">
        <f aca="false">IF(L170="","",ROUNDUP(L170/75,0))</f>
        <v/>
      </c>
      <c r="N170" s="0" t="n">
        <f aca="false">IF(MOD(F170-1,7)=0,SUMPRODUCT(($A$2:$A$644=A170)*(ROW($A$2:$A$644)&gt;=ROW())*(ROW($A$2:$A$644)&lt;ROW()+7)*$C$2:$C$644),"")</f>
        <v>156</v>
      </c>
      <c r="O170" s="0" t="n">
        <f aca="false">IF(N170="","",ROUNDUP(N170/75,0))</f>
        <v>3</v>
      </c>
    </row>
    <row r="171" customFormat="false" ht="15" hidden="false" customHeight="false" outlineLevel="0" collapsed="false">
      <c r="A171" s="0" t="s">
        <v>33</v>
      </c>
      <c r="B171" s="0" t="s">
        <v>203</v>
      </c>
      <c r="C171" s="0" t="n">
        <v>18</v>
      </c>
      <c r="D171" s="0" t="n">
        <v>1</v>
      </c>
      <c r="E171" s="0" t="n">
        <v>57</v>
      </c>
      <c r="F171" s="0" t="n">
        <f aca="false">COUNTIF($A$2:A171,A171)</f>
        <v>170</v>
      </c>
      <c r="G171" s="0" t="n">
        <f aca="false">ROUNDUP(C171*1.236/75,0)</f>
        <v>1</v>
      </c>
      <c r="H171" s="0" t="str">
        <f aca="false">IF(MOD(F171-1,2)=0,SUMPRODUCT(($A$2:$A$644=A171)*(ROW($A$2:$A$644)&gt;=ROW())*(ROW($A$2:$A$644)&lt;ROW()+2)*$C$2:$C$644),"")</f>
        <v/>
      </c>
      <c r="I171" s="0" t="str">
        <f aca="false">IF(H171="","",ROUNDUP(H171/75,0))</f>
        <v/>
      </c>
      <c r="J171" s="0" t="str">
        <f aca="false">IF(MOD(F171-1,3)=0,SUMPRODUCT(($A$2:$A$644=A171)*(ROW($A$2:$A$644)&gt;=ROW())*(ROW($A$2:$A$644)&lt;ROW()+3)*$C$2:$C$644),"")</f>
        <v/>
      </c>
      <c r="K171" s="0" t="str">
        <f aca="false">IF(J171="","",ROUNDUP(J171/75,0))</f>
        <v/>
      </c>
      <c r="L171" s="0" t="str">
        <f aca="false">IF(MOD(F171-1,5)=0,SUMPRODUCT(($A$2:$A$644=A171)*(ROW($A$2:$A$644)&gt;=ROW())*(ROW($A$2:$A$644)&lt;ROW()+5)*$C$2:$C$644),"")</f>
        <v/>
      </c>
      <c r="M171" s="0" t="str">
        <f aca="false">IF(L171="","",ROUNDUP(L171/75,0))</f>
        <v/>
      </c>
      <c r="N171" s="0" t="str">
        <f aca="false">IF(MOD(F171-1,7)=0,SUMPRODUCT(($A$2:$A$644=A171)*(ROW($A$2:$A$644)&gt;=ROW())*(ROW($A$2:$A$644)&lt;ROW()+7)*$C$2:$C$644),"")</f>
        <v/>
      </c>
      <c r="O171" s="0" t="str">
        <f aca="false">IF(N171="","",ROUNDUP(N171/75,0))</f>
        <v/>
      </c>
    </row>
    <row r="172" customFormat="false" ht="15" hidden="false" customHeight="false" outlineLevel="0" collapsed="false">
      <c r="A172" s="0" t="s">
        <v>33</v>
      </c>
      <c r="B172" s="0" t="s">
        <v>204</v>
      </c>
      <c r="C172" s="0" t="n">
        <v>54</v>
      </c>
      <c r="D172" s="0" t="n">
        <v>1</v>
      </c>
      <c r="E172" s="0" t="n">
        <v>21</v>
      </c>
      <c r="F172" s="0" t="n">
        <f aca="false">COUNTIF($A$2:A172,A172)</f>
        <v>171</v>
      </c>
      <c r="G172" s="0" t="n">
        <f aca="false">ROUNDUP(C172*1.236/75,0)</f>
        <v>1</v>
      </c>
      <c r="H172" s="0" t="n">
        <f aca="false">IF(MOD(F172-1,2)=0,SUMPRODUCT(($A$2:$A$644=A172)*(ROW($A$2:$A$644)&gt;=ROW())*(ROW($A$2:$A$644)&lt;ROW()+2)*$C$2:$C$644),"")</f>
        <v>72</v>
      </c>
      <c r="I172" s="0" t="n">
        <f aca="false">IF(H172="","",ROUNDUP(H172/75,0))</f>
        <v>1</v>
      </c>
      <c r="J172" s="0" t="str">
        <f aca="false">IF(MOD(F172-1,3)=0,SUMPRODUCT(($A$2:$A$644=A172)*(ROW($A$2:$A$644)&gt;=ROW())*(ROW($A$2:$A$644)&lt;ROW()+3)*$C$2:$C$644),"")</f>
        <v/>
      </c>
      <c r="K172" s="0" t="str">
        <f aca="false">IF(J172="","",ROUNDUP(J172/75,0))</f>
        <v/>
      </c>
      <c r="L172" s="0" t="n">
        <f aca="false">IF(MOD(F172-1,5)=0,SUMPRODUCT(($A$2:$A$644=A172)*(ROW($A$2:$A$644)&gt;=ROW())*(ROW($A$2:$A$644)&lt;ROW()+5)*$C$2:$C$644),"")</f>
        <v>126</v>
      </c>
      <c r="M172" s="0" t="n">
        <f aca="false">IF(L172="","",ROUNDUP(L172/75,0))</f>
        <v>2</v>
      </c>
      <c r="N172" s="0" t="str">
        <f aca="false">IF(MOD(F172-1,7)=0,SUMPRODUCT(($A$2:$A$644=A172)*(ROW($A$2:$A$644)&gt;=ROW())*(ROW($A$2:$A$644)&lt;ROW()+7)*$C$2:$C$644),"")</f>
        <v/>
      </c>
      <c r="O172" s="0" t="str">
        <f aca="false">IF(N172="","",ROUNDUP(N172/75,0))</f>
        <v/>
      </c>
    </row>
    <row r="173" customFormat="false" ht="15" hidden="false" customHeight="false" outlineLevel="0" collapsed="false">
      <c r="A173" s="0" t="s">
        <v>33</v>
      </c>
      <c r="B173" s="0" t="s">
        <v>205</v>
      </c>
      <c r="C173" s="0" t="n">
        <v>18</v>
      </c>
      <c r="D173" s="0" t="n">
        <v>1</v>
      </c>
      <c r="E173" s="0" t="n">
        <v>57</v>
      </c>
      <c r="F173" s="0" t="n">
        <f aca="false">COUNTIF($A$2:A173,A173)</f>
        <v>172</v>
      </c>
      <c r="G173" s="0" t="n">
        <f aca="false">ROUNDUP(C173*1.236/75,0)</f>
        <v>1</v>
      </c>
      <c r="H173" s="0" t="str">
        <f aca="false">IF(MOD(F173-1,2)=0,SUMPRODUCT(($A$2:$A$644=A173)*(ROW($A$2:$A$644)&gt;=ROW())*(ROW($A$2:$A$644)&lt;ROW()+2)*$C$2:$C$644),"")</f>
        <v/>
      </c>
      <c r="I173" s="0" t="str">
        <f aca="false">IF(H173="","",ROUNDUP(H173/75,0))</f>
        <v/>
      </c>
      <c r="J173" s="0" t="n">
        <f aca="false">IF(MOD(F173-1,3)=0,SUMPRODUCT(($A$2:$A$644=A173)*(ROW($A$2:$A$644)&gt;=ROW())*(ROW($A$2:$A$644)&lt;ROW()+3)*$C$2:$C$644),"")</f>
        <v>36</v>
      </c>
      <c r="K173" s="0" t="n">
        <f aca="false">IF(J173="","",ROUNDUP(J173/75,0))</f>
        <v>1</v>
      </c>
      <c r="L173" s="0" t="str">
        <f aca="false">IF(MOD(F173-1,5)=0,SUMPRODUCT(($A$2:$A$644=A173)*(ROW($A$2:$A$644)&gt;=ROW())*(ROW($A$2:$A$644)&lt;ROW()+5)*$C$2:$C$644),"")</f>
        <v/>
      </c>
      <c r="M173" s="0" t="str">
        <f aca="false">IF(L173="","",ROUNDUP(L173/75,0))</f>
        <v/>
      </c>
      <c r="N173" s="0" t="str">
        <f aca="false">IF(MOD(F173-1,7)=0,SUMPRODUCT(($A$2:$A$644=A173)*(ROW($A$2:$A$644)&gt;=ROW())*(ROW($A$2:$A$644)&lt;ROW()+7)*$C$2:$C$644),"")</f>
        <v/>
      </c>
      <c r="O173" s="0" t="str">
        <f aca="false">IF(N173="","",ROUNDUP(N173/75,0))</f>
        <v/>
      </c>
    </row>
    <row r="174" customFormat="false" ht="15" hidden="false" customHeight="false" outlineLevel="0" collapsed="false">
      <c r="A174" s="0" t="s">
        <v>33</v>
      </c>
      <c r="B174" s="0" t="s">
        <v>206</v>
      </c>
      <c r="C174" s="0" t="n">
        <v>6</v>
      </c>
      <c r="D174" s="0" t="n">
        <v>1</v>
      </c>
      <c r="E174" s="0" t="n">
        <v>69</v>
      </c>
      <c r="F174" s="0" t="n">
        <f aca="false">COUNTIF($A$2:A174,A174)</f>
        <v>173</v>
      </c>
      <c r="G174" s="0" t="n">
        <f aca="false">ROUNDUP(C174*1.236/75,0)</f>
        <v>1</v>
      </c>
      <c r="H174" s="0" t="n">
        <f aca="false">IF(MOD(F174-1,2)=0,SUMPRODUCT(($A$2:$A$644=A174)*(ROW($A$2:$A$644)&gt;=ROW())*(ROW($A$2:$A$644)&lt;ROW()+2)*$C$2:$C$644),"")</f>
        <v>18</v>
      </c>
      <c r="I174" s="0" t="n">
        <f aca="false">IF(H174="","",ROUNDUP(H174/75,0))</f>
        <v>1</v>
      </c>
      <c r="J174" s="0" t="str">
        <f aca="false">IF(MOD(F174-1,3)=0,SUMPRODUCT(($A$2:$A$644=A174)*(ROW($A$2:$A$644)&gt;=ROW())*(ROW($A$2:$A$644)&lt;ROW()+3)*$C$2:$C$644),"")</f>
        <v/>
      </c>
      <c r="K174" s="0" t="str">
        <f aca="false">IF(J174="","",ROUNDUP(J174/75,0))</f>
        <v/>
      </c>
      <c r="L174" s="0" t="str">
        <f aca="false">IF(MOD(F174-1,5)=0,SUMPRODUCT(($A$2:$A$644=A174)*(ROW($A$2:$A$644)&gt;=ROW())*(ROW($A$2:$A$644)&lt;ROW()+5)*$C$2:$C$644),"")</f>
        <v/>
      </c>
      <c r="M174" s="0" t="str">
        <f aca="false">IF(L174="","",ROUNDUP(L174/75,0))</f>
        <v/>
      </c>
      <c r="N174" s="0" t="str">
        <f aca="false">IF(MOD(F174-1,7)=0,SUMPRODUCT(($A$2:$A$644=A174)*(ROW($A$2:$A$644)&gt;=ROW())*(ROW($A$2:$A$644)&lt;ROW()+7)*$C$2:$C$644),"")</f>
        <v/>
      </c>
      <c r="O174" s="0" t="str">
        <f aca="false">IF(N174="","",ROUNDUP(N174/75,0))</f>
        <v/>
      </c>
    </row>
    <row r="175" customFormat="false" ht="15" hidden="false" customHeight="false" outlineLevel="0" collapsed="false">
      <c r="A175" s="0" t="s">
        <v>33</v>
      </c>
      <c r="B175" s="0" t="s">
        <v>207</v>
      </c>
      <c r="C175" s="0" t="n">
        <v>12</v>
      </c>
      <c r="D175" s="0" t="n">
        <v>1</v>
      </c>
      <c r="E175" s="0" t="n">
        <v>63</v>
      </c>
      <c r="F175" s="0" t="n">
        <f aca="false">COUNTIF($A$2:A175,A175)</f>
        <v>174</v>
      </c>
      <c r="G175" s="0" t="n">
        <f aca="false">ROUNDUP(C175*1.236/75,0)</f>
        <v>1</v>
      </c>
      <c r="H175" s="0" t="str">
        <f aca="false">IF(MOD(F175-1,2)=0,SUMPRODUCT(($A$2:$A$644=A175)*(ROW($A$2:$A$644)&gt;=ROW())*(ROW($A$2:$A$644)&lt;ROW()+2)*$C$2:$C$644),"")</f>
        <v/>
      </c>
      <c r="I175" s="0" t="str">
        <f aca="false">IF(H175="","",ROUNDUP(H175/75,0))</f>
        <v/>
      </c>
      <c r="J175" s="0" t="str">
        <f aca="false">IF(MOD(F175-1,3)=0,SUMPRODUCT(($A$2:$A$644=A175)*(ROW($A$2:$A$644)&gt;=ROW())*(ROW($A$2:$A$644)&lt;ROW()+3)*$C$2:$C$644),"")</f>
        <v/>
      </c>
      <c r="K175" s="0" t="str">
        <f aca="false">IF(J175="","",ROUNDUP(J175/75,0))</f>
        <v/>
      </c>
      <c r="L175" s="0" t="str">
        <f aca="false">IF(MOD(F175-1,5)=0,SUMPRODUCT(($A$2:$A$644=A175)*(ROW($A$2:$A$644)&gt;=ROW())*(ROW($A$2:$A$644)&lt;ROW()+5)*$C$2:$C$644),"")</f>
        <v/>
      </c>
      <c r="M175" s="0" t="str">
        <f aca="false">IF(L175="","",ROUNDUP(L175/75,0))</f>
        <v/>
      </c>
      <c r="N175" s="0" t="str">
        <f aca="false">IF(MOD(F175-1,7)=0,SUMPRODUCT(($A$2:$A$644=A175)*(ROW($A$2:$A$644)&gt;=ROW())*(ROW($A$2:$A$644)&lt;ROW()+7)*$C$2:$C$644),"")</f>
        <v/>
      </c>
      <c r="O175" s="0" t="str">
        <f aca="false">IF(N175="","",ROUNDUP(N175/75,0))</f>
        <v/>
      </c>
    </row>
    <row r="176" customFormat="false" ht="15" hidden="false" customHeight="false" outlineLevel="0" collapsed="false">
      <c r="A176" s="0" t="s">
        <v>33</v>
      </c>
      <c r="B176" s="0" t="s">
        <v>208</v>
      </c>
      <c r="C176" s="0" t="n">
        <v>36</v>
      </c>
      <c r="D176" s="0" t="n">
        <v>1</v>
      </c>
      <c r="E176" s="0" t="n">
        <v>39</v>
      </c>
      <c r="F176" s="0" t="n">
        <f aca="false">COUNTIF($A$2:A176,A176)</f>
        <v>175</v>
      </c>
      <c r="G176" s="0" t="n">
        <f aca="false">ROUNDUP(C176*1.236/75,0)</f>
        <v>1</v>
      </c>
      <c r="H176" s="0" t="n">
        <f aca="false">IF(MOD(F176-1,2)=0,SUMPRODUCT(($A$2:$A$644=A176)*(ROW($A$2:$A$644)&gt;=ROW())*(ROW($A$2:$A$644)&lt;ROW()+2)*$C$2:$C$644),"")</f>
        <v>66</v>
      </c>
      <c r="I176" s="0" t="n">
        <f aca="false">IF(H176="","",ROUNDUP(H176/75,0))</f>
        <v>1</v>
      </c>
      <c r="J176" s="0" t="n">
        <f aca="false">IF(MOD(F176-1,3)=0,SUMPRODUCT(($A$2:$A$644=A176)*(ROW($A$2:$A$644)&gt;=ROW())*(ROW($A$2:$A$644)&lt;ROW()+3)*$C$2:$C$644),"")</f>
        <v>114</v>
      </c>
      <c r="K176" s="0" t="n">
        <f aca="false">IF(J176="","",ROUNDUP(J176/75,0))</f>
        <v>2</v>
      </c>
      <c r="L176" s="0" t="str">
        <f aca="false">IF(MOD(F176-1,5)=0,SUMPRODUCT(($A$2:$A$644=A176)*(ROW($A$2:$A$644)&gt;=ROW())*(ROW($A$2:$A$644)&lt;ROW()+5)*$C$2:$C$644),"")</f>
        <v/>
      </c>
      <c r="M176" s="0" t="str">
        <f aca="false">IF(L176="","",ROUNDUP(L176/75,0))</f>
        <v/>
      </c>
      <c r="N176" s="0" t="str">
        <f aca="false">IF(MOD(F176-1,7)=0,SUMPRODUCT(($A$2:$A$644=A176)*(ROW($A$2:$A$644)&gt;=ROW())*(ROW($A$2:$A$644)&lt;ROW()+7)*$C$2:$C$644),"")</f>
        <v/>
      </c>
      <c r="O176" s="0" t="str">
        <f aca="false">IF(N176="","",ROUNDUP(N176/75,0))</f>
        <v/>
      </c>
    </row>
    <row r="177" customFormat="false" ht="15" hidden="false" customHeight="false" outlineLevel="0" collapsed="false">
      <c r="A177" s="0" t="s">
        <v>33</v>
      </c>
      <c r="B177" s="0" t="s">
        <v>209</v>
      </c>
      <c r="C177" s="0" t="n">
        <v>30</v>
      </c>
      <c r="D177" s="0" t="n">
        <v>1</v>
      </c>
      <c r="E177" s="0" t="n">
        <v>45</v>
      </c>
      <c r="F177" s="0" t="n">
        <f aca="false">COUNTIF($A$2:A177,A177)</f>
        <v>176</v>
      </c>
      <c r="G177" s="0" t="n">
        <f aca="false">ROUNDUP(C177*1.236/75,0)</f>
        <v>1</v>
      </c>
      <c r="H177" s="0" t="str">
        <f aca="false">IF(MOD(F177-1,2)=0,SUMPRODUCT(($A$2:$A$644=A177)*(ROW($A$2:$A$644)&gt;=ROW())*(ROW($A$2:$A$644)&lt;ROW()+2)*$C$2:$C$644),"")</f>
        <v/>
      </c>
      <c r="I177" s="0" t="str">
        <f aca="false">IF(H177="","",ROUNDUP(H177/75,0))</f>
        <v/>
      </c>
      <c r="J177" s="0" t="str">
        <f aca="false">IF(MOD(F177-1,3)=0,SUMPRODUCT(($A$2:$A$644=A177)*(ROW($A$2:$A$644)&gt;=ROW())*(ROW($A$2:$A$644)&lt;ROW()+3)*$C$2:$C$644),"")</f>
        <v/>
      </c>
      <c r="K177" s="0" t="str">
        <f aca="false">IF(J177="","",ROUNDUP(J177/75,0))</f>
        <v/>
      </c>
      <c r="L177" s="0" t="n">
        <f aca="false">IF(MOD(F177-1,5)=0,SUMPRODUCT(($A$2:$A$644=A177)*(ROW($A$2:$A$644)&gt;=ROW())*(ROW($A$2:$A$644)&lt;ROW()+5)*$C$2:$C$644),"")</f>
        <v>114</v>
      </c>
      <c r="M177" s="0" t="n">
        <f aca="false">IF(L177="","",ROUNDUP(L177/75,0))</f>
        <v>2</v>
      </c>
      <c r="N177" s="0" t="n">
        <f aca="false">IF(MOD(F177-1,7)=0,SUMPRODUCT(($A$2:$A$644=A177)*(ROW($A$2:$A$644)&gt;=ROW())*(ROW($A$2:$A$644)&lt;ROW()+7)*$C$2:$C$644),"")</f>
        <v>162</v>
      </c>
      <c r="O177" s="0" t="n">
        <f aca="false">IF(N177="","",ROUNDUP(N177/75,0))</f>
        <v>3</v>
      </c>
    </row>
    <row r="178" customFormat="false" ht="15" hidden="false" customHeight="false" outlineLevel="0" collapsed="false">
      <c r="A178" s="0" t="s">
        <v>33</v>
      </c>
      <c r="B178" s="0" t="s">
        <v>210</v>
      </c>
      <c r="C178" s="0" t="n">
        <v>48</v>
      </c>
      <c r="D178" s="0" t="n">
        <v>1</v>
      </c>
      <c r="E178" s="0" t="n">
        <v>27</v>
      </c>
      <c r="F178" s="0" t="n">
        <f aca="false">COUNTIF($A$2:A178,A178)</f>
        <v>177</v>
      </c>
      <c r="G178" s="0" t="n">
        <f aca="false">ROUNDUP(C178*1.236/75,0)</f>
        <v>1</v>
      </c>
      <c r="H178" s="0" t="n">
        <f aca="false">IF(MOD(F178-1,2)=0,SUMPRODUCT(($A$2:$A$644=A178)*(ROW($A$2:$A$644)&gt;=ROW())*(ROW($A$2:$A$644)&lt;ROW()+2)*$C$2:$C$644),"")</f>
        <v>54</v>
      </c>
      <c r="I178" s="0" t="n">
        <f aca="false">IF(H178="","",ROUNDUP(H178/75,0))</f>
        <v>1</v>
      </c>
      <c r="J178" s="0" t="str">
        <f aca="false">IF(MOD(F178-1,3)=0,SUMPRODUCT(($A$2:$A$644=A178)*(ROW($A$2:$A$644)&gt;=ROW())*(ROW($A$2:$A$644)&lt;ROW()+3)*$C$2:$C$644),"")</f>
        <v/>
      </c>
      <c r="K178" s="0" t="str">
        <f aca="false">IF(J178="","",ROUNDUP(J178/75,0))</f>
        <v/>
      </c>
      <c r="L178" s="0" t="str">
        <f aca="false">IF(MOD(F178-1,5)=0,SUMPRODUCT(($A$2:$A$644=A178)*(ROW($A$2:$A$644)&gt;=ROW())*(ROW($A$2:$A$644)&lt;ROW()+5)*$C$2:$C$644),"")</f>
        <v/>
      </c>
      <c r="M178" s="0" t="str">
        <f aca="false">IF(L178="","",ROUNDUP(L178/75,0))</f>
        <v/>
      </c>
      <c r="N178" s="0" t="str">
        <f aca="false">IF(MOD(F178-1,7)=0,SUMPRODUCT(($A$2:$A$644=A178)*(ROW($A$2:$A$644)&gt;=ROW())*(ROW($A$2:$A$644)&lt;ROW()+7)*$C$2:$C$644),"")</f>
        <v/>
      </c>
      <c r="O178" s="0" t="str">
        <f aca="false">IF(N178="","",ROUNDUP(N178/75,0))</f>
        <v/>
      </c>
    </row>
    <row r="179" customFormat="false" ht="15" hidden="false" customHeight="false" outlineLevel="0" collapsed="false">
      <c r="A179" s="0" t="s">
        <v>33</v>
      </c>
      <c r="B179" s="0" t="s">
        <v>211</v>
      </c>
      <c r="C179" s="0" t="n">
        <v>6</v>
      </c>
      <c r="D179" s="0" t="n">
        <v>1</v>
      </c>
      <c r="E179" s="0" t="n">
        <v>69</v>
      </c>
      <c r="F179" s="0" t="n">
        <f aca="false">COUNTIF($A$2:A179,A179)</f>
        <v>178</v>
      </c>
      <c r="G179" s="0" t="n">
        <f aca="false">ROUNDUP(C179*1.236/75,0)</f>
        <v>1</v>
      </c>
      <c r="H179" s="0" t="str">
        <f aca="false">IF(MOD(F179-1,2)=0,SUMPRODUCT(($A$2:$A$644=A179)*(ROW($A$2:$A$644)&gt;=ROW())*(ROW($A$2:$A$644)&lt;ROW()+2)*$C$2:$C$644),"")</f>
        <v/>
      </c>
      <c r="I179" s="0" t="str">
        <f aca="false">IF(H179="","",ROUNDUP(H179/75,0))</f>
        <v/>
      </c>
      <c r="J179" s="0" t="n">
        <f aca="false">IF(MOD(F179-1,3)=0,SUMPRODUCT(($A$2:$A$644=A179)*(ROW($A$2:$A$644)&gt;=ROW())*(ROW($A$2:$A$644)&lt;ROW()+3)*$C$2:$C$644),"")</f>
        <v>36</v>
      </c>
      <c r="K179" s="0" t="n">
        <f aca="false">IF(J179="","",ROUNDUP(J179/75,0))</f>
        <v>1</v>
      </c>
      <c r="L179" s="0" t="str">
        <f aca="false">IF(MOD(F179-1,5)=0,SUMPRODUCT(($A$2:$A$644=A179)*(ROW($A$2:$A$644)&gt;=ROW())*(ROW($A$2:$A$644)&lt;ROW()+5)*$C$2:$C$644),"")</f>
        <v/>
      </c>
      <c r="M179" s="0" t="str">
        <f aca="false">IF(L179="","",ROUNDUP(L179/75,0))</f>
        <v/>
      </c>
      <c r="N179" s="0" t="str">
        <f aca="false">IF(MOD(F179-1,7)=0,SUMPRODUCT(($A$2:$A$644=A179)*(ROW($A$2:$A$644)&gt;=ROW())*(ROW($A$2:$A$644)&lt;ROW()+7)*$C$2:$C$644),"")</f>
        <v/>
      </c>
      <c r="O179" s="0" t="str">
        <f aca="false">IF(N179="","",ROUNDUP(N179/75,0))</f>
        <v/>
      </c>
    </row>
    <row r="180" customFormat="false" ht="15" hidden="false" customHeight="false" outlineLevel="0" collapsed="false">
      <c r="A180" s="0" t="s">
        <v>33</v>
      </c>
      <c r="B180" s="0" t="s">
        <v>212</v>
      </c>
      <c r="C180" s="0" t="n">
        <v>12</v>
      </c>
      <c r="D180" s="0" t="n">
        <v>1</v>
      </c>
      <c r="E180" s="0" t="n">
        <v>63</v>
      </c>
      <c r="F180" s="0" t="n">
        <f aca="false">COUNTIF($A$2:A180,A180)</f>
        <v>179</v>
      </c>
      <c r="G180" s="0" t="n">
        <f aca="false">ROUNDUP(C180*1.236/75,0)</f>
        <v>1</v>
      </c>
      <c r="H180" s="0" t="n">
        <f aca="false">IF(MOD(F180-1,2)=0,SUMPRODUCT(($A$2:$A$644=A180)*(ROW($A$2:$A$644)&gt;=ROW())*(ROW($A$2:$A$644)&lt;ROW()+2)*$C$2:$C$644),"")</f>
        <v>30</v>
      </c>
      <c r="I180" s="0" t="n">
        <f aca="false">IF(H180="","",ROUNDUP(H180/75,0))</f>
        <v>1</v>
      </c>
      <c r="J180" s="0" t="str">
        <f aca="false">IF(MOD(F180-1,3)=0,SUMPRODUCT(($A$2:$A$644=A180)*(ROW($A$2:$A$644)&gt;=ROW())*(ROW($A$2:$A$644)&lt;ROW()+3)*$C$2:$C$644),"")</f>
        <v/>
      </c>
      <c r="K180" s="0" t="str">
        <f aca="false">IF(J180="","",ROUNDUP(J180/75,0))</f>
        <v/>
      </c>
      <c r="L180" s="0" t="str">
        <f aca="false">IF(MOD(F180-1,5)=0,SUMPRODUCT(($A$2:$A$644=A180)*(ROW($A$2:$A$644)&gt;=ROW())*(ROW($A$2:$A$644)&lt;ROW()+5)*$C$2:$C$644),"")</f>
        <v/>
      </c>
      <c r="M180" s="0" t="str">
        <f aca="false">IF(L180="","",ROUNDUP(L180/75,0))</f>
        <v/>
      </c>
      <c r="N180" s="0" t="str">
        <f aca="false">IF(MOD(F180-1,7)=0,SUMPRODUCT(($A$2:$A$644=A180)*(ROW($A$2:$A$644)&gt;=ROW())*(ROW($A$2:$A$644)&lt;ROW()+7)*$C$2:$C$644),"")</f>
        <v/>
      </c>
      <c r="O180" s="0" t="str">
        <f aca="false">IF(N180="","",ROUNDUP(N180/75,0))</f>
        <v/>
      </c>
    </row>
    <row r="181" customFormat="false" ht="15" hidden="false" customHeight="false" outlineLevel="0" collapsed="false">
      <c r="A181" s="0" t="s">
        <v>33</v>
      </c>
      <c r="B181" s="0" t="s">
        <v>213</v>
      </c>
      <c r="C181" s="0" t="n">
        <v>18</v>
      </c>
      <c r="D181" s="0" t="n">
        <v>1</v>
      </c>
      <c r="E181" s="0" t="n">
        <v>57</v>
      </c>
      <c r="F181" s="0" t="n">
        <f aca="false">COUNTIF($A$2:A181,A181)</f>
        <v>180</v>
      </c>
      <c r="G181" s="0" t="n">
        <f aca="false">ROUNDUP(C181*1.236/75,0)</f>
        <v>1</v>
      </c>
      <c r="H181" s="0" t="str">
        <f aca="false">IF(MOD(F181-1,2)=0,SUMPRODUCT(($A$2:$A$644=A181)*(ROW($A$2:$A$644)&gt;=ROW())*(ROW($A$2:$A$644)&lt;ROW()+2)*$C$2:$C$644),"")</f>
        <v/>
      </c>
      <c r="I181" s="0" t="str">
        <f aca="false">IF(H181="","",ROUNDUP(H181/75,0))</f>
        <v/>
      </c>
      <c r="J181" s="0" t="str">
        <f aca="false">IF(MOD(F181-1,3)=0,SUMPRODUCT(($A$2:$A$644=A181)*(ROW($A$2:$A$644)&gt;=ROW())*(ROW($A$2:$A$644)&lt;ROW()+3)*$C$2:$C$644),"")</f>
        <v/>
      </c>
      <c r="K181" s="0" t="str">
        <f aca="false">IF(J181="","",ROUNDUP(J181/75,0))</f>
        <v/>
      </c>
      <c r="L181" s="0" t="str">
        <f aca="false">IF(MOD(F181-1,5)=0,SUMPRODUCT(($A$2:$A$644=A181)*(ROW($A$2:$A$644)&gt;=ROW())*(ROW($A$2:$A$644)&lt;ROW()+5)*$C$2:$C$644),"")</f>
        <v/>
      </c>
      <c r="M181" s="0" t="str">
        <f aca="false">IF(L181="","",ROUNDUP(L181/75,0))</f>
        <v/>
      </c>
      <c r="N181" s="0" t="str">
        <f aca="false">IF(MOD(F181-1,7)=0,SUMPRODUCT(($A$2:$A$644=A181)*(ROW($A$2:$A$644)&gt;=ROW())*(ROW($A$2:$A$644)&lt;ROW()+7)*$C$2:$C$644),"")</f>
        <v/>
      </c>
      <c r="O181" s="0" t="str">
        <f aca="false">IF(N181="","",ROUNDUP(N181/75,0))</f>
        <v/>
      </c>
    </row>
    <row r="182" customFormat="false" ht="15" hidden="false" customHeight="false" outlineLevel="0" collapsed="false">
      <c r="A182" s="0" t="s">
        <v>33</v>
      </c>
      <c r="B182" s="0" t="s">
        <v>214</v>
      </c>
      <c r="C182" s="0" t="n">
        <v>30</v>
      </c>
      <c r="D182" s="0" t="n">
        <v>1</v>
      </c>
      <c r="E182" s="0" t="n">
        <v>45</v>
      </c>
      <c r="F182" s="0" t="n">
        <f aca="false">COUNTIF($A$2:A182,A182)</f>
        <v>181</v>
      </c>
      <c r="G182" s="0" t="n">
        <f aca="false">ROUNDUP(C182*1.236/75,0)</f>
        <v>1</v>
      </c>
      <c r="H182" s="0" t="n">
        <f aca="false">IF(MOD(F182-1,2)=0,SUMPRODUCT(($A$2:$A$644=A182)*(ROW($A$2:$A$644)&gt;=ROW())*(ROW($A$2:$A$644)&lt;ROW()+2)*$C$2:$C$644),"")</f>
        <v>48</v>
      </c>
      <c r="I182" s="0" t="n">
        <f aca="false">IF(H182="","",ROUNDUP(H182/75,0))</f>
        <v>1</v>
      </c>
      <c r="J182" s="0" t="n">
        <f aca="false">IF(MOD(F182-1,3)=0,SUMPRODUCT(($A$2:$A$644=A182)*(ROW($A$2:$A$644)&gt;=ROW())*(ROW($A$2:$A$644)&lt;ROW()+3)*$C$2:$C$644),"")</f>
        <v>78</v>
      </c>
      <c r="K182" s="0" t="n">
        <f aca="false">IF(J182="","",ROUNDUP(J182/75,0))</f>
        <v>2</v>
      </c>
      <c r="L182" s="0" t="n">
        <f aca="false">IF(MOD(F182-1,5)=0,SUMPRODUCT(($A$2:$A$644=A182)*(ROW($A$2:$A$644)&gt;=ROW())*(ROW($A$2:$A$644)&lt;ROW()+5)*$C$2:$C$644),"")</f>
        <v>174</v>
      </c>
      <c r="M182" s="0" t="n">
        <f aca="false">IF(L182="","",ROUNDUP(L182/75,0))</f>
        <v>3</v>
      </c>
      <c r="N182" s="0" t="str">
        <f aca="false">IF(MOD(F182-1,7)=0,SUMPRODUCT(($A$2:$A$644=A182)*(ROW($A$2:$A$644)&gt;=ROW())*(ROW($A$2:$A$644)&lt;ROW()+7)*$C$2:$C$644),"")</f>
        <v/>
      </c>
      <c r="O182" s="0" t="str">
        <f aca="false">IF(N182="","",ROUNDUP(N182/75,0))</f>
        <v/>
      </c>
    </row>
    <row r="183" customFormat="false" ht="15" hidden="false" customHeight="false" outlineLevel="0" collapsed="false">
      <c r="A183" s="0" t="s">
        <v>33</v>
      </c>
      <c r="B183" s="0" t="s">
        <v>215</v>
      </c>
      <c r="C183" s="0" t="n">
        <v>18</v>
      </c>
      <c r="D183" s="0" t="n">
        <v>1</v>
      </c>
      <c r="E183" s="0" t="n">
        <v>57</v>
      </c>
      <c r="F183" s="0" t="n">
        <f aca="false">COUNTIF($A$2:A183,A183)</f>
        <v>182</v>
      </c>
      <c r="G183" s="0" t="n">
        <f aca="false">ROUNDUP(C183*1.236/75,0)</f>
        <v>1</v>
      </c>
      <c r="H183" s="0" t="str">
        <f aca="false">IF(MOD(F183-1,2)=0,SUMPRODUCT(($A$2:$A$644=A183)*(ROW($A$2:$A$644)&gt;=ROW())*(ROW($A$2:$A$644)&lt;ROW()+2)*$C$2:$C$644),"")</f>
        <v/>
      </c>
      <c r="I183" s="0" t="str">
        <f aca="false">IF(H183="","",ROUNDUP(H183/75,0))</f>
        <v/>
      </c>
      <c r="J183" s="0" t="str">
        <f aca="false">IF(MOD(F183-1,3)=0,SUMPRODUCT(($A$2:$A$644=A183)*(ROW($A$2:$A$644)&gt;=ROW())*(ROW($A$2:$A$644)&lt;ROW()+3)*$C$2:$C$644),"")</f>
        <v/>
      </c>
      <c r="K183" s="0" t="str">
        <f aca="false">IF(J183="","",ROUNDUP(J183/75,0))</f>
        <v/>
      </c>
      <c r="L183" s="0" t="str">
        <f aca="false">IF(MOD(F183-1,5)=0,SUMPRODUCT(($A$2:$A$644=A183)*(ROW($A$2:$A$644)&gt;=ROW())*(ROW($A$2:$A$644)&lt;ROW()+5)*$C$2:$C$644),"")</f>
        <v/>
      </c>
      <c r="M183" s="0" t="str">
        <f aca="false">IF(L183="","",ROUNDUP(L183/75,0))</f>
        <v/>
      </c>
      <c r="N183" s="0" t="str">
        <f aca="false">IF(MOD(F183-1,7)=0,SUMPRODUCT(($A$2:$A$644=A183)*(ROW($A$2:$A$644)&gt;=ROW())*(ROW($A$2:$A$644)&lt;ROW()+7)*$C$2:$C$644),"")</f>
        <v/>
      </c>
      <c r="O183" s="0" t="str">
        <f aca="false">IF(N183="","",ROUNDUP(N183/75,0))</f>
        <v/>
      </c>
    </row>
    <row r="184" customFormat="false" ht="15" hidden="false" customHeight="false" outlineLevel="0" collapsed="false">
      <c r="A184" s="0" t="s">
        <v>33</v>
      </c>
      <c r="B184" s="0" t="s">
        <v>216</v>
      </c>
      <c r="C184" s="0" t="n">
        <v>30</v>
      </c>
      <c r="D184" s="0" t="n">
        <v>1</v>
      </c>
      <c r="E184" s="0" t="n">
        <v>45</v>
      </c>
      <c r="F184" s="0" t="n">
        <f aca="false">COUNTIF($A$2:A184,A184)</f>
        <v>183</v>
      </c>
      <c r="G184" s="0" t="n">
        <f aca="false">ROUNDUP(C184*1.236/75,0)</f>
        <v>1</v>
      </c>
      <c r="H184" s="0" t="n">
        <f aca="false">IF(MOD(F184-1,2)=0,SUMPRODUCT(($A$2:$A$644=A184)*(ROW($A$2:$A$644)&gt;=ROW())*(ROW($A$2:$A$644)&lt;ROW()+2)*$C$2:$C$644),"")</f>
        <v>72</v>
      </c>
      <c r="I184" s="0" t="n">
        <f aca="false">IF(H184="","",ROUNDUP(H184/75,0))</f>
        <v>1</v>
      </c>
      <c r="J184" s="0" t="str">
        <f aca="false">IF(MOD(F184-1,3)=0,SUMPRODUCT(($A$2:$A$644=A184)*(ROW($A$2:$A$644)&gt;=ROW())*(ROW($A$2:$A$644)&lt;ROW()+3)*$C$2:$C$644),"")</f>
        <v/>
      </c>
      <c r="K184" s="0" t="str">
        <f aca="false">IF(J184="","",ROUNDUP(J184/75,0))</f>
        <v/>
      </c>
      <c r="L184" s="0" t="str">
        <f aca="false">IF(MOD(F184-1,5)=0,SUMPRODUCT(($A$2:$A$644=A184)*(ROW($A$2:$A$644)&gt;=ROW())*(ROW($A$2:$A$644)&lt;ROW()+5)*$C$2:$C$644),"")</f>
        <v/>
      </c>
      <c r="M184" s="0" t="str">
        <f aca="false">IF(L184="","",ROUNDUP(L184/75,0))</f>
        <v/>
      </c>
      <c r="N184" s="0" t="n">
        <f aca="false">IF(MOD(F184-1,7)=0,SUMPRODUCT(($A$2:$A$644=A184)*(ROW($A$2:$A$644)&gt;=ROW())*(ROW($A$2:$A$644)&lt;ROW()+7)*$C$2:$C$644),"")</f>
        <v>300</v>
      </c>
      <c r="O184" s="0" t="n">
        <f aca="false">IF(N184="","",ROUNDUP(N184/75,0))</f>
        <v>4</v>
      </c>
    </row>
    <row r="185" customFormat="false" ht="15" hidden="false" customHeight="false" outlineLevel="0" collapsed="false">
      <c r="A185" s="0" t="s">
        <v>33</v>
      </c>
      <c r="B185" s="0" t="s">
        <v>217</v>
      </c>
      <c r="C185" s="0" t="n">
        <v>42</v>
      </c>
      <c r="D185" s="0" t="n">
        <v>1</v>
      </c>
      <c r="E185" s="0" t="n">
        <v>33</v>
      </c>
      <c r="F185" s="0" t="n">
        <f aca="false">COUNTIF($A$2:A185,A185)</f>
        <v>184</v>
      </c>
      <c r="G185" s="0" t="n">
        <f aca="false">ROUNDUP(C185*1.236/75,0)</f>
        <v>1</v>
      </c>
      <c r="H185" s="0" t="str">
        <f aca="false">IF(MOD(F185-1,2)=0,SUMPRODUCT(($A$2:$A$644=A185)*(ROW($A$2:$A$644)&gt;=ROW())*(ROW($A$2:$A$644)&lt;ROW()+2)*$C$2:$C$644),"")</f>
        <v/>
      </c>
      <c r="I185" s="0" t="str">
        <f aca="false">IF(H185="","",ROUNDUP(H185/75,0))</f>
        <v/>
      </c>
      <c r="J185" s="0" t="n">
        <f aca="false">IF(MOD(F185-1,3)=0,SUMPRODUCT(($A$2:$A$644=A185)*(ROW($A$2:$A$644)&gt;=ROW())*(ROW($A$2:$A$644)&lt;ROW()+3)*$C$2:$C$644),"")</f>
        <v>150</v>
      </c>
      <c r="K185" s="0" t="n">
        <f aca="false">IF(J185="","",ROUNDUP(J185/75,0))</f>
        <v>2</v>
      </c>
      <c r="L185" s="0" t="str">
        <f aca="false">IF(MOD(F185-1,5)=0,SUMPRODUCT(($A$2:$A$644=A185)*(ROW($A$2:$A$644)&gt;=ROW())*(ROW($A$2:$A$644)&lt;ROW()+5)*$C$2:$C$644),"")</f>
        <v/>
      </c>
      <c r="M185" s="0" t="str">
        <f aca="false">IF(L185="","",ROUNDUP(L185/75,0))</f>
        <v/>
      </c>
      <c r="N185" s="0" t="str">
        <f aca="false">IF(MOD(F185-1,7)=0,SUMPRODUCT(($A$2:$A$644=A185)*(ROW($A$2:$A$644)&gt;=ROW())*(ROW($A$2:$A$644)&lt;ROW()+7)*$C$2:$C$644),"")</f>
        <v/>
      </c>
      <c r="O185" s="0" t="str">
        <f aca="false">IF(N185="","",ROUNDUP(N185/75,0))</f>
        <v/>
      </c>
    </row>
    <row r="186" customFormat="false" ht="15" hidden="false" customHeight="false" outlineLevel="0" collapsed="false">
      <c r="A186" s="0" t="s">
        <v>33</v>
      </c>
      <c r="B186" s="0" t="s">
        <v>218</v>
      </c>
      <c r="C186" s="0" t="n">
        <v>54</v>
      </c>
      <c r="D186" s="0" t="n">
        <v>1</v>
      </c>
      <c r="E186" s="0" t="n">
        <v>21</v>
      </c>
      <c r="F186" s="0" t="n">
        <f aca="false">COUNTIF($A$2:A186,A186)</f>
        <v>185</v>
      </c>
      <c r="G186" s="0" t="n">
        <f aca="false">ROUNDUP(C186*1.236/75,0)</f>
        <v>1</v>
      </c>
      <c r="H186" s="0" t="n">
        <f aca="false">IF(MOD(F186-1,2)=0,SUMPRODUCT(($A$2:$A$644=A186)*(ROW($A$2:$A$644)&gt;=ROW())*(ROW($A$2:$A$644)&lt;ROW()+2)*$C$2:$C$644),"")</f>
        <v>108</v>
      </c>
      <c r="I186" s="0" t="n">
        <f aca="false">IF(H186="","",ROUNDUP(H186/75,0))</f>
        <v>2</v>
      </c>
      <c r="J186" s="0" t="str">
        <f aca="false">IF(MOD(F186-1,3)=0,SUMPRODUCT(($A$2:$A$644=A186)*(ROW($A$2:$A$644)&gt;=ROW())*(ROW($A$2:$A$644)&lt;ROW()+3)*$C$2:$C$644),"")</f>
        <v/>
      </c>
      <c r="K186" s="0" t="str">
        <f aca="false">IF(J186="","",ROUNDUP(J186/75,0))</f>
        <v/>
      </c>
      <c r="L186" s="0" t="str">
        <f aca="false">IF(MOD(F186-1,5)=0,SUMPRODUCT(($A$2:$A$644=A186)*(ROW($A$2:$A$644)&gt;=ROW())*(ROW($A$2:$A$644)&lt;ROW()+5)*$C$2:$C$644),"")</f>
        <v/>
      </c>
      <c r="M186" s="0" t="str">
        <f aca="false">IF(L186="","",ROUNDUP(L186/75,0))</f>
        <v/>
      </c>
      <c r="N186" s="0" t="str">
        <f aca="false">IF(MOD(F186-1,7)=0,SUMPRODUCT(($A$2:$A$644=A186)*(ROW($A$2:$A$644)&gt;=ROW())*(ROW($A$2:$A$644)&lt;ROW()+7)*$C$2:$C$644),"")</f>
        <v/>
      </c>
      <c r="O186" s="0" t="str">
        <f aca="false">IF(N186="","",ROUNDUP(N186/75,0))</f>
        <v/>
      </c>
    </row>
    <row r="187" customFormat="false" ht="15" hidden="false" customHeight="false" outlineLevel="0" collapsed="false">
      <c r="A187" s="0" t="s">
        <v>33</v>
      </c>
      <c r="B187" s="0" t="s">
        <v>219</v>
      </c>
      <c r="C187" s="0" t="n">
        <v>54</v>
      </c>
      <c r="D187" s="0" t="n">
        <v>1</v>
      </c>
      <c r="E187" s="0" t="n">
        <v>21</v>
      </c>
      <c r="F187" s="0" t="n">
        <f aca="false">COUNTIF($A$2:A187,A187)</f>
        <v>186</v>
      </c>
      <c r="G187" s="0" t="n">
        <f aca="false">ROUNDUP(C187*1.236/75,0)</f>
        <v>1</v>
      </c>
      <c r="H187" s="0" t="str">
        <f aca="false">IF(MOD(F187-1,2)=0,SUMPRODUCT(($A$2:$A$644=A187)*(ROW($A$2:$A$644)&gt;=ROW())*(ROW($A$2:$A$644)&lt;ROW()+2)*$C$2:$C$644),"")</f>
        <v/>
      </c>
      <c r="I187" s="0" t="str">
        <f aca="false">IF(H187="","",ROUNDUP(H187/75,0))</f>
        <v/>
      </c>
      <c r="J187" s="0" t="str">
        <f aca="false">IF(MOD(F187-1,3)=0,SUMPRODUCT(($A$2:$A$644=A187)*(ROW($A$2:$A$644)&gt;=ROW())*(ROW($A$2:$A$644)&lt;ROW()+3)*$C$2:$C$644),"")</f>
        <v/>
      </c>
      <c r="K187" s="0" t="str">
        <f aca="false">IF(J187="","",ROUNDUP(J187/75,0))</f>
        <v/>
      </c>
      <c r="L187" s="0" t="n">
        <f aca="false">IF(MOD(F187-1,5)=0,SUMPRODUCT(($A$2:$A$644=A187)*(ROW($A$2:$A$644)&gt;=ROW())*(ROW($A$2:$A$644)&lt;ROW()+5)*$C$2:$C$644),"")</f>
        <v>180</v>
      </c>
      <c r="M187" s="0" t="n">
        <f aca="false">IF(L187="","",ROUNDUP(L187/75,0))</f>
        <v>3</v>
      </c>
      <c r="N187" s="0" t="str">
        <f aca="false">IF(MOD(F187-1,7)=0,SUMPRODUCT(($A$2:$A$644=A187)*(ROW($A$2:$A$644)&gt;=ROW())*(ROW($A$2:$A$644)&lt;ROW()+7)*$C$2:$C$644),"")</f>
        <v/>
      </c>
      <c r="O187" s="0" t="str">
        <f aca="false">IF(N187="","",ROUNDUP(N187/75,0))</f>
        <v/>
      </c>
    </row>
    <row r="188" customFormat="false" ht="15" hidden="false" customHeight="false" outlineLevel="0" collapsed="false">
      <c r="A188" s="0" t="s">
        <v>33</v>
      </c>
      <c r="B188" s="0" t="s">
        <v>220</v>
      </c>
      <c r="C188" s="0" t="n">
        <v>48</v>
      </c>
      <c r="D188" s="0" t="n">
        <v>1</v>
      </c>
      <c r="E188" s="0" t="n">
        <v>27</v>
      </c>
      <c r="F188" s="0" t="n">
        <f aca="false">COUNTIF($A$2:A188,A188)</f>
        <v>187</v>
      </c>
      <c r="G188" s="0" t="n">
        <f aca="false">ROUNDUP(C188*1.236/75,0)</f>
        <v>1</v>
      </c>
      <c r="H188" s="0" t="n">
        <f aca="false">IF(MOD(F188-1,2)=0,SUMPRODUCT(($A$2:$A$644=A188)*(ROW($A$2:$A$644)&gt;=ROW())*(ROW($A$2:$A$644)&lt;ROW()+2)*$C$2:$C$644),"")</f>
        <v>60</v>
      </c>
      <c r="I188" s="0" t="n">
        <f aca="false">IF(H188="","",ROUNDUP(H188/75,0))</f>
        <v>1</v>
      </c>
      <c r="J188" s="0" t="n">
        <f aca="false">IF(MOD(F188-1,3)=0,SUMPRODUCT(($A$2:$A$644=A188)*(ROW($A$2:$A$644)&gt;=ROW())*(ROW($A$2:$A$644)&lt;ROW()+3)*$C$2:$C$644),"")</f>
        <v>120</v>
      </c>
      <c r="K188" s="0" t="n">
        <f aca="false">IF(J188="","",ROUNDUP(J188/75,0))</f>
        <v>2</v>
      </c>
      <c r="L188" s="0" t="str">
        <f aca="false">IF(MOD(F188-1,5)=0,SUMPRODUCT(($A$2:$A$644=A188)*(ROW($A$2:$A$644)&gt;=ROW())*(ROW($A$2:$A$644)&lt;ROW()+5)*$C$2:$C$644),"")</f>
        <v/>
      </c>
      <c r="M188" s="0" t="str">
        <f aca="false">IF(L188="","",ROUNDUP(L188/75,0))</f>
        <v/>
      </c>
      <c r="N188" s="0" t="str">
        <f aca="false">IF(MOD(F188-1,7)=0,SUMPRODUCT(($A$2:$A$644=A188)*(ROW($A$2:$A$644)&gt;=ROW())*(ROW($A$2:$A$644)&lt;ROW()+7)*$C$2:$C$644),"")</f>
        <v/>
      </c>
      <c r="O188" s="0" t="str">
        <f aca="false">IF(N188="","",ROUNDUP(N188/75,0))</f>
        <v/>
      </c>
    </row>
    <row r="189" customFormat="false" ht="15" hidden="false" customHeight="false" outlineLevel="0" collapsed="false">
      <c r="A189" s="0" t="s">
        <v>33</v>
      </c>
      <c r="B189" s="0" t="s">
        <v>221</v>
      </c>
      <c r="C189" s="0" t="n">
        <v>12</v>
      </c>
      <c r="D189" s="0" t="n">
        <v>1</v>
      </c>
      <c r="E189" s="0" t="n">
        <v>63</v>
      </c>
      <c r="F189" s="0" t="n">
        <f aca="false">COUNTIF($A$2:A189,A189)</f>
        <v>188</v>
      </c>
      <c r="G189" s="0" t="n">
        <f aca="false">ROUNDUP(C189*1.236/75,0)</f>
        <v>1</v>
      </c>
      <c r="H189" s="0" t="str">
        <f aca="false">IF(MOD(F189-1,2)=0,SUMPRODUCT(($A$2:$A$644=A189)*(ROW($A$2:$A$644)&gt;=ROW())*(ROW($A$2:$A$644)&lt;ROW()+2)*$C$2:$C$644),"")</f>
        <v/>
      </c>
      <c r="I189" s="0" t="str">
        <f aca="false">IF(H189="","",ROUNDUP(H189/75,0))</f>
        <v/>
      </c>
      <c r="J189" s="0" t="str">
        <f aca="false">IF(MOD(F189-1,3)=0,SUMPRODUCT(($A$2:$A$644=A189)*(ROW($A$2:$A$644)&gt;=ROW())*(ROW($A$2:$A$644)&lt;ROW()+3)*$C$2:$C$644),"")</f>
        <v/>
      </c>
      <c r="K189" s="0" t="str">
        <f aca="false">IF(J189="","",ROUNDUP(J189/75,0))</f>
        <v/>
      </c>
      <c r="L189" s="0" t="str">
        <f aca="false">IF(MOD(F189-1,5)=0,SUMPRODUCT(($A$2:$A$644=A189)*(ROW($A$2:$A$644)&gt;=ROW())*(ROW($A$2:$A$644)&lt;ROW()+5)*$C$2:$C$644),"")</f>
        <v/>
      </c>
      <c r="M189" s="0" t="str">
        <f aca="false">IF(L189="","",ROUNDUP(L189/75,0))</f>
        <v/>
      </c>
      <c r="N189" s="0" t="str">
        <f aca="false">IF(MOD(F189-1,7)=0,SUMPRODUCT(($A$2:$A$644=A189)*(ROW($A$2:$A$644)&gt;=ROW())*(ROW($A$2:$A$644)&lt;ROW()+7)*$C$2:$C$644),"")</f>
        <v/>
      </c>
      <c r="O189" s="0" t="str">
        <f aca="false">IF(N189="","",ROUNDUP(N189/75,0))</f>
        <v/>
      </c>
    </row>
    <row r="190" customFormat="false" ht="15" hidden="false" customHeight="false" outlineLevel="0" collapsed="false">
      <c r="A190" s="0" t="s">
        <v>33</v>
      </c>
      <c r="B190" s="0" t="s">
        <v>222</v>
      </c>
      <c r="C190" s="0" t="n">
        <v>60</v>
      </c>
      <c r="D190" s="0" t="n">
        <v>1</v>
      </c>
      <c r="E190" s="0" t="n">
        <v>15</v>
      </c>
      <c r="F190" s="0" t="n">
        <f aca="false">COUNTIF($A$2:A190,A190)</f>
        <v>189</v>
      </c>
      <c r="G190" s="0" t="n">
        <f aca="false">ROUNDUP(C190*1.236/75,0)</f>
        <v>1</v>
      </c>
      <c r="H190" s="0" t="n">
        <f aca="false">IF(MOD(F190-1,2)=0,SUMPRODUCT(($A$2:$A$644=A190)*(ROW($A$2:$A$644)&gt;=ROW())*(ROW($A$2:$A$644)&lt;ROW()+2)*$C$2:$C$644),"")</f>
        <v>66</v>
      </c>
      <c r="I190" s="0" t="n">
        <f aca="false">IF(H190="","",ROUNDUP(H190/75,0))</f>
        <v>1</v>
      </c>
      <c r="J190" s="0" t="str">
        <f aca="false">IF(MOD(F190-1,3)=0,SUMPRODUCT(($A$2:$A$644=A190)*(ROW($A$2:$A$644)&gt;=ROW())*(ROW($A$2:$A$644)&lt;ROW()+3)*$C$2:$C$644),"")</f>
        <v/>
      </c>
      <c r="K190" s="0" t="str">
        <f aca="false">IF(J190="","",ROUNDUP(J190/75,0))</f>
        <v/>
      </c>
      <c r="L190" s="0" t="str">
        <f aca="false">IF(MOD(F190-1,5)=0,SUMPRODUCT(($A$2:$A$644=A190)*(ROW($A$2:$A$644)&gt;=ROW())*(ROW($A$2:$A$644)&lt;ROW()+5)*$C$2:$C$644),"")</f>
        <v/>
      </c>
      <c r="M190" s="0" t="str">
        <f aca="false">IF(L190="","",ROUNDUP(L190/75,0))</f>
        <v/>
      </c>
      <c r="N190" s="0" t="str">
        <f aca="false">IF(MOD(F190-1,7)=0,SUMPRODUCT(($A$2:$A$644=A190)*(ROW($A$2:$A$644)&gt;=ROW())*(ROW($A$2:$A$644)&lt;ROW()+7)*$C$2:$C$644),"")</f>
        <v/>
      </c>
      <c r="O190" s="0" t="str">
        <f aca="false">IF(N190="","",ROUNDUP(N190/75,0))</f>
        <v/>
      </c>
    </row>
    <row r="191" customFormat="false" ht="15" hidden="false" customHeight="false" outlineLevel="0" collapsed="false">
      <c r="A191" s="0" t="s">
        <v>33</v>
      </c>
      <c r="B191" s="0" t="s">
        <v>223</v>
      </c>
      <c r="C191" s="0" t="n">
        <v>6</v>
      </c>
      <c r="D191" s="0" t="n">
        <v>1</v>
      </c>
      <c r="E191" s="0" t="n">
        <v>69</v>
      </c>
      <c r="F191" s="0" t="n">
        <f aca="false">COUNTIF($A$2:A191,A191)</f>
        <v>190</v>
      </c>
      <c r="G191" s="0" t="n">
        <f aca="false">ROUNDUP(C191*1.236/75,0)</f>
        <v>1</v>
      </c>
      <c r="H191" s="0" t="str">
        <f aca="false">IF(MOD(F191-1,2)=0,SUMPRODUCT(($A$2:$A$644=A191)*(ROW($A$2:$A$644)&gt;=ROW())*(ROW($A$2:$A$644)&lt;ROW()+2)*$C$2:$C$644),"")</f>
        <v/>
      </c>
      <c r="I191" s="0" t="str">
        <f aca="false">IF(H191="","",ROUNDUP(H191/75,0))</f>
        <v/>
      </c>
      <c r="J191" s="0" t="n">
        <f aca="false">IF(MOD(F191-1,3)=0,SUMPRODUCT(($A$2:$A$644=A191)*(ROW($A$2:$A$644)&gt;=ROW())*(ROW($A$2:$A$644)&lt;ROW()+3)*$C$2:$C$644),"")</f>
        <v>42</v>
      </c>
      <c r="K191" s="0" t="n">
        <f aca="false">IF(J191="","",ROUNDUP(J191/75,0))</f>
        <v>1</v>
      </c>
      <c r="L191" s="0" t="str">
        <f aca="false">IF(MOD(F191-1,5)=0,SUMPRODUCT(($A$2:$A$644=A191)*(ROW($A$2:$A$644)&gt;=ROW())*(ROW($A$2:$A$644)&lt;ROW()+5)*$C$2:$C$644),"")</f>
        <v/>
      </c>
      <c r="M191" s="0" t="str">
        <f aca="false">IF(L191="","",ROUNDUP(L191/75,0))</f>
        <v/>
      </c>
      <c r="N191" s="0" t="n">
        <f aca="false">IF(MOD(F191-1,7)=0,SUMPRODUCT(($A$2:$A$644=A191)*(ROW($A$2:$A$644)&gt;=ROW())*(ROW($A$2:$A$644)&lt;ROW()+7)*$C$2:$C$644),"")</f>
        <v>252</v>
      </c>
      <c r="O191" s="0" t="n">
        <f aca="false">IF(N191="","",ROUNDUP(N191/75,0))</f>
        <v>4</v>
      </c>
    </row>
    <row r="192" customFormat="false" ht="15" hidden="false" customHeight="false" outlineLevel="0" collapsed="false">
      <c r="A192" s="0" t="s">
        <v>33</v>
      </c>
      <c r="B192" s="0" t="s">
        <v>224</v>
      </c>
      <c r="C192" s="0" t="n">
        <v>24</v>
      </c>
      <c r="D192" s="0" t="n">
        <v>1</v>
      </c>
      <c r="E192" s="0" t="n">
        <v>51</v>
      </c>
      <c r="F192" s="0" t="n">
        <f aca="false">COUNTIF($A$2:A192,A192)</f>
        <v>191</v>
      </c>
      <c r="G192" s="0" t="n">
        <f aca="false">ROUNDUP(C192*1.236/75,0)</f>
        <v>1</v>
      </c>
      <c r="H192" s="0" t="n">
        <f aca="false">IF(MOD(F192-1,2)=0,SUMPRODUCT(($A$2:$A$644=A192)*(ROW($A$2:$A$644)&gt;=ROW())*(ROW($A$2:$A$644)&lt;ROW()+2)*$C$2:$C$644),"")</f>
        <v>36</v>
      </c>
      <c r="I192" s="0" t="n">
        <f aca="false">IF(H192="","",ROUNDUP(H192/75,0))</f>
        <v>1</v>
      </c>
      <c r="J192" s="0" t="str">
        <f aca="false">IF(MOD(F192-1,3)=0,SUMPRODUCT(($A$2:$A$644=A192)*(ROW($A$2:$A$644)&gt;=ROW())*(ROW($A$2:$A$644)&lt;ROW()+3)*$C$2:$C$644),"")</f>
        <v/>
      </c>
      <c r="K192" s="0" t="str">
        <f aca="false">IF(J192="","",ROUNDUP(J192/75,0))</f>
        <v/>
      </c>
      <c r="L192" s="0" t="n">
        <f aca="false">IF(MOD(F192-1,5)=0,SUMPRODUCT(($A$2:$A$644=A192)*(ROW($A$2:$A$644)&gt;=ROW())*(ROW($A$2:$A$644)&lt;ROW()+5)*$C$2:$C$644),"")</f>
        <v>228</v>
      </c>
      <c r="M192" s="0" t="n">
        <f aca="false">IF(L192="","",ROUNDUP(L192/75,0))</f>
        <v>4</v>
      </c>
      <c r="N192" s="0" t="str">
        <f aca="false">IF(MOD(F192-1,7)=0,SUMPRODUCT(($A$2:$A$644=A192)*(ROW($A$2:$A$644)&gt;=ROW())*(ROW($A$2:$A$644)&lt;ROW()+7)*$C$2:$C$644),"")</f>
        <v/>
      </c>
      <c r="O192" s="0" t="str">
        <f aca="false">IF(N192="","",ROUNDUP(N192/75,0))</f>
        <v/>
      </c>
    </row>
    <row r="193" customFormat="false" ht="15" hidden="false" customHeight="false" outlineLevel="0" collapsed="false">
      <c r="A193" s="0" t="s">
        <v>33</v>
      </c>
      <c r="B193" s="0" t="s">
        <v>225</v>
      </c>
      <c r="C193" s="0" t="n">
        <v>12</v>
      </c>
      <c r="D193" s="0" t="n">
        <v>1</v>
      </c>
      <c r="E193" s="0" t="n">
        <v>63</v>
      </c>
      <c r="F193" s="0" t="n">
        <f aca="false">COUNTIF($A$2:A193,A193)</f>
        <v>192</v>
      </c>
      <c r="G193" s="0" t="n">
        <f aca="false">ROUNDUP(C193*1.236/75,0)</f>
        <v>1</v>
      </c>
      <c r="H193" s="0" t="str">
        <f aca="false">IF(MOD(F193-1,2)=0,SUMPRODUCT(($A$2:$A$644=A193)*(ROW($A$2:$A$644)&gt;=ROW())*(ROW($A$2:$A$644)&lt;ROW()+2)*$C$2:$C$644),"")</f>
        <v/>
      </c>
      <c r="I193" s="0" t="str">
        <f aca="false">IF(H193="","",ROUNDUP(H193/75,0))</f>
        <v/>
      </c>
      <c r="J193" s="0" t="str">
        <f aca="false">IF(MOD(F193-1,3)=0,SUMPRODUCT(($A$2:$A$644=A193)*(ROW($A$2:$A$644)&gt;=ROW())*(ROW($A$2:$A$644)&lt;ROW()+3)*$C$2:$C$644),"")</f>
        <v/>
      </c>
      <c r="K193" s="0" t="str">
        <f aca="false">IF(J193="","",ROUNDUP(J193/75,0))</f>
        <v/>
      </c>
      <c r="L193" s="0" t="str">
        <f aca="false">IF(MOD(F193-1,5)=0,SUMPRODUCT(($A$2:$A$644=A193)*(ROW($A$2:$A$644)&gt;=ROW())*(ROW($A$2:$A$644)&lt;ROW()+5)*$C$2:$C$644),"")</f>
        <v/>
      </c>
      <c r="M193" s="0" t="str">
        <f aca="false">IF(L193="","",ROUNDUP(L193/75,0))</f>
        <v/>
      </c>
      <c r="N193" s="0" t="str">
        <f aca="false">IF(MOD(F193-1,7)=0,SUMPRODUCT(($A$2:$A$644=A193)*(ROW($A$2:$A$644)&gt;=ROW())*(ROW($A$2:$A$644)&lt;ROW()+7)*$C$2:$C$644),"")</f>
        <v/>
      </c>
      <c r="O193" s="0" t="str">
        <f aca="false">IF(N193="","",ROUNDUP(N193/75,0))</f>
        <v/>
      </c>
    </row>
    <row r="194" customFormat="false" ht="15" hidden="false" customHeight="false" outlineLevel="0" collapsed="false">
      <c r="A194" s="0" t="s">
        <v>33</v>
      </c>
      <c r="B194" s="0" t="s">
        <v>226</v>
      </c>
      <c r="C194" s="0" t="n">
        <v>42</v>
      </c>
      <c r="D194" s="0" t="n">
        <v>1</v>
      </c>
      <c r="E194" s="0" t="n">
        <v>33</v>
      </c>
      <c r="F194" s="0" t="n">
        <f aca="false">COUNTIF($A$2:A194,A194)</f>
        <v>193</v>
      </c>
      <c r="G194" s="0" t="n">
        <f aca="false">ROUNDUP(C194*1.236/75,0)</f>
        <v>1</v>
      </c>
      <c r="H194" s="0" t="n">
        <f aca="false">IF(MOD(F194-1,2)=0,SUMPRODUCT(($A$2:$A$644=A194)*(ROW($A$2:$A$644)&gt;=ROW())*(ROW($A$2:$A$644)&lt;ROW()+2)*$C$2:$C$644),"")</f>
        <v>114</v>
      </c>
      <c r="I194" s="0" t="n">
        <f aca="false">IF(H194="","",ROUNDUP(H194/75,0))</f>
        <v>2</v>
      </c>
      <c r="J194" s="0" t="n">
        <f aca="false">IF(MOD(F194-1,3)=0,SUMPRODUCT(($A$2:$A$644=A194)*(ROW($A$2:$A$644)&gt;=ROW())*(ROW($A$2:$A$644)&lt;ROW()+3)*$C$2:$C$644),"")</f>
        <v>192</v>
      </c>
      <c r="K194" s="0" t="n">
        <f aca="false">IF(J194="","",ROUNDUP(J194/75,0))</f>
        <v>3</v>
      </c>
      <c r="L194" s="0" t="str">
        <f aca="false">IF(MOD(F194-1,5)=0,SUMPRODUCT(($A$2:$A$644=A194)*(ROW($A$2:$A$644)&gt;=ROW())*(ROW($A$2:$A$644)&lt;ROW()+5)*$C$2:$C$644),"")</f>
        <v/>
      </c>
      <c r="M194" s="0" t="str">
        <f aca="false">IF(L194="","",ROUNDUP(L194/75,0))</f>
        <v/>
      </c>
      <c r="N194" s="0" t="str">
        <f aca="false">IF(MOD(F194-1,7)=0,SUMPRODUCT(($A$2:$A$644=A194)*(ROW($A$2:$A$644)&gt;=ROW())*(ROW($A$2:$A$644)&lt;ROW()+7)*$C$2:$C$644),"")</f>
        <v/>
      </c>
      <c r="O194" s="0" t="str">
        <f aca="false">IF(N194="","",ROUNDUP(N194/75,0))</f>
        <v/>
      </c>
    </row>
    <row r="195" customFormat="false" ht="15" hidden="false" customHeight="false" outlineLevel="0" collapsed="false">
      <c r="A195" s="0" t="s">
        <v>33</v>
      </c>
      <c r="B195" s="0" t="s">
        <v>227</v>
      </c>
      <c r="C195" s="0" t="n">
        <v>72</v>
      </c>
      <c r="D195" s="0" t="n">
        <v>1</v>
      </c>
      <c r="E195" s="0" t="n">
        <v>3</v>
      </c>
      <c r="F195" s="0" t="n">
        <f aca="false">COUNTIF($A$2:A195,A195)</f>
        <v>194</v>
      </c>
      <c r="G195" s="0" t="n">
        <f aca="false">ROUNDUP(C195*1.236/75,0)</f>
        <v>2</v>
      </c>
      <c r="H195" s="0" t="str">
        <f aca="false">IF(MOD(F195-1,2)=0,SUMPRODUCT(($A$2:$A$644=A195)*(ROW($A$2:$A$644)&gt;=ROW())*(ROW($A$2:$A$644)&lt;ROW()+2)*$C$2:$C$644),"")</f>
        <v/>
      </c>
      <c r="I195" s="0" t="str">
        <f aca="false">IF(H195="","",ROUNDUP(H195/75,0))</f>
        <v/>
      </c>
      <c r="J195" s="0" t="str">
        <f aca="false">IF(MOD(F195-1,3)=0,SUMPRODUCT(($A$2:$A$644=A195)*(ROW($A$2:$A$644)&gt;=ROW())*(ROW($A$2:$A$644)&lt;ROW()+3)*$C$2:$C$644),"")</f>
        <v/>
      </c>
      <c r="K195" s="0" t="str">
        <f aca="false">IF(J195="","",ROUNDUP(J195/75,0))</f>
        <v/>
      </c>
      <c r="L195" s="0" t="str">
        <f aca="false">IF(MOD(F195-1,5)=0,SUMPRODUCT(($A$2:$A$644=A195)*(ROW($A$2:$A$644)&gt;=ROW())*(ROW($A$2:$A$644)&lt;ROW()+5)*$C$2:$C$644),"")</f>
        <v/>
      </c>
      <c r="M195" s="0" t="str">
        <f aca="false">IF(L195="","",ROUNDUP(L195/75,0))</f>
        <v/>
      </c>
      <c r="N195" s="0" t="str">
        <f aca="false">IF(MOD(F195-1,7)=0,SUMPRODUCT(($A$2:$A$644=A195)*(ROW($A$2:$A$644)&gt;=ROW())*(ROW($A$2:$A$644)&lt;ROW()+7)*$C$2:$C$644),"")</f>
        <v/>
      </c>
      <c r="O195" s="0" t="str">
        <f aca="false">IF(N195="","",ROUNDUP(N195/75,0))</f>
        <v/>
      </c>
    </row>
    <row r="196" customFormat="false" ht="15" hidden="false" customHeight="false" outlineLevel="0" collapsed="false">
      <c r="A196" s="0" t="s">
        <v>33</v>
      </c>
      <c r="B196" s="0" t="s">
        <v>228</v>
      </c>
      <c r="C196" s="0" t="n">
        <v>78</v>
      </c>
      <c r="D196" s="0" t="n">
        <v>2</v>
      </c>
      <c r="E196" s="0" t="n">
        <v>72</v>
      </c>
      <c r="F196" s="0" t="n">
        <f aca="false">COUNTIF($A$2:A196,A196)</f>
        <v>195</v>
      </c>
      <c r="G196" s="0" t="n">
        <f aca="false">ROUNDUP(C196*1.236/75,0)</f>
        <v>2</v>
      </c>
      <c r="H196" s="0" t="n">
        <f aca="false">IF(MOD(F196-1,2)=0,SUMPRODUCT(($A$2:$A$644=A196)*(ROW($A$2:$A$644)&gt;=ROW())*(ROW($A$2:$A$644)&lt;ROW()+2)*$C$2:$C$644),"")</f>
        <v>96</v>
      </c>
      <c r="I196" s="0" t="n">
        <f aca="false">IF(H196="","",ROUNDUP(H196/75,0))</f>
        <v>2</v>
      </c>
      <c r="J196" s="0" t="str">
        <f aca="false">IF(MOD(F196-1,3)=0,SUMPRODUCT(($A$2:$A$644=A196)*(ROW($A$2:$A$644)&gt;=ROW())*(ROW($A$2:$A$644)&lt;ROW()+3)*$C$2:$C$644),"")</f>
        <v/>
      </c>
      <c r="K196" s="0" t="str">
        <f aca="false">IF(J196="","",ROUNDUP(J196/75,0))</f>
        <v/>
      </c>
      <c r="L196" s="0" t="str">
        <f aca="false">IF(MOD(F196-1,5)=0,SUMPRODUCT(($A$2:$A$644=A196)*(ROW($A$2:$A$644)&gt;=ROW())*(ROW($A$2:$A$644)&lt;ROW()+5)*$C$2:$C$644),"")</f>
        <v/>
      </c>
      <c r="M196" s="0" t="str">
        <f aca="false">IF(L196="","",ROUNDUP(L196/75,0))</f>
        <v/>
      </c>
      <c r="N196" s="0" t="str">
        <f aca="false">IF(MOD(F196-1,7)=0,SUMPRODUCT(($A$2:$A$644=A196)*(ROW($A$2:$A$644)&gt;=ROW())*(ROW($A$2:$A$644)&lt;ROW()+7)*$C$2:$C$644),"")</f>
        <v/>
      </c>
      <c r="O196" s="0" t="str">
        <f aca="false">IF(N196="","",ROUNDUP(N196/75,0))</f>
        <v/>
      </c>
    </row>
    <row r="197" customFormat="false" ht="15" hidden="false" customHeight="false" outlineLevel="0" collapsed="false">
      <c r="A197" s="0" t="s">
        <v>33</v>
      </c>
      <c r="B197" s="0" t="s">
        <v>229</v>
      </c>
      <c r="C197" s="0" t="n">
        <v>18</v>
      </c>
      <c r="D197" s="0" t="n">
        <v>1</v>
      </c>
      <c r="E197" s="0" t="n">
        <v>57</v>
      </c>
      <c r="F197" s="0" t="n">
        <f aca="false">COUNTIF($A$2:A197,A197)</f>
        <v>196</v>
      </c>
      <c r="G197" s="0" t="n">
        <f aca="false">ROUNDUP(C197*1.236/75,0)</f>
        <v>1</v>
      </c>
      <c r="H197" s="0" t="str">
        <f aca="false">IF(MOD(F197-1,2)=0,SUMPRODUCT(($A$2:$A$644=A197)*(ROW($A$2:$A$644)&gt;=ROW())*(ROW($A$2:$A$644)&lt;ROW()+2)*$C$2:$C$644),"")</f>
        <v/>
      </c>
      <c r="I197" s="0" t="str">
        <f aca="false">IF(H197="","",ROUNDUP(H197/75,0))</f>
        <v/>
      </c>
      <c r="J197" s="0" t="n">
        <f aca="false">IF(MOD(F197-1,3)=0,SUMPRODUCT(($A$2:$A$644=A197)*(ROW($A$2:$A$644)&gt;=ROW())*(ROW($A$2:$A$644)&lt;ROW()+3)*$C$2:$C$644),"")</f>
        <v>54</v>
      </c>
      <c r="K197" s="0" t="n">
        <f aca="false">IF(J197="","",ROUNDUP(J197/75,0))</f>
        <v>1</v>
      </c>
      <c r="L197" s="0" t="n">
        <f aca="false">IF(MOD(F197-1,5)=0,SUMPRODUCT(($A$2:$A$644=A197)*(ROW($A$2:$A$644)&gt;=ROW())*(ROW($A$2:$A$644)&lt;ROW()+5)*$C$2:$C$644),"")</f>
        <v>102</v>
      </c>
      <c r="M197" s="0" t="n">
        <f aca="false">IF(L197="","",ROUNDUP(L197/75,0))</f>
        <v>2</v>
      </c>
      <c r="N197" s="0" t="str">
        <f aca="false">IF(MOD(F197-1,7)=0,SUMPRODUCT(($A$2:$A$644=A197)*(ROW($A$2:$A$644)&gt;=ROW())*(ROW($A$2:$A$644)&lt;ROW()+7)*$C$2:$C$644),"")</f>
        <v/>
      </c>
      <c r="O197" s="0" t="str">
        <f aca="false">IF(N197="","",ROUNDUP(N197/75,0))</f>
        <v/>
      </c>
    </row>
    <row r="198" customFormat="false" ht="15" hidden="false" customHeight="false" outlineLevel="0" collapsed="false">
      <c r="A198" s="0" t="s">
        <v>33</v>
      </c>
      <c r="B198" s="0" t="s">
        <v>230</v>
      </c>
      <c r="C198" s="0" t="n">
        <v>18</v>
      </c>
      <c r="D198" s="0" t="n">
        <v>1</v>
      </c>
      <c r="E198" s="0" t="n">
        <v>57</v>
      </c>
      <c r="F198" s="0" t="n">
        <f aca="false">COUNTIF($A$2:A198,A198)</f>
        <v>197</v>
      </c>
      <c r="G198" s="0" t="n">
        <f aca="false">ROUNDUP(C198*1.236/75,0)</f>
        <v>1</v>
      </c>
      <c r="H198" s="0" t="n">
        <f aca="false">IF(MOD(F198-1,2)=0,SUMPRODUCT(($A$2:$A$644=A198)*(ROW($A$2:$A$644)&gt;=ROW())*(ROW($A$2:$A$644)&lt;ROW()+2)*$C$2:$C$644),"")</f>
        <v>36</v>
      </c>
      <c r="I198" s="0" t="n">
        <f aca="false">IF(H198="","",ROUNDUP(H198/75,0))</f>
        <v>1</v>
      </c>
      <c r="J198" s="0" t="str">
        <f aca="false">IF(MOD(F198-1,3)=0,SUMPRODUCT(($A$2:$A$644=A198)*(ROW($A$2:$A$644)&gt;=ROW())*(ROW($A$2:$A$644)&lt;ROW()+3)*$C$2:$C$644),"")</f>
        <v/>
      </c>
      <c r="K198" s="0" t="str">
        <f aca="false">IF(J198="","",ROUNDUP(J198/75,0))</f>
        <v/>
      </c>
      <c r="L198" s="0" t="str">
        <f aca="false">IF(MOD(F198-1,5)=0,SUMPRODUCT(($A$2:$A$644=A198)*(ROW($A$2:$A$644)&gt;=ROW())*(ROW($A$2:$A$644)&lt;ROW()+5)*$C$2:$C$644),"")</f>
        <v/>
      </c>
      <c r="M198" s="0" t="str">
        <f aca="false">IF(L198="","",ROUNDUP(L198/75,0))</f>
        <v/>
      </c>
      <c r="N198" s="0" t="n">
        <f aca="false">IF(MOD(F198-1,7)=0,SUMPRODUCT(($A$2:$A$644=A198)*(ROW($A$2:$A$644)&gt;=ROW())*(ROW($A$2:$A$644)&lt;ROW()+7)*$C$2:$C$644),"")</f>
        <v>192</v>
      </c>
      <c r="O198" s="0" t="n">
        <f aca="false">IF(N198="","",ROUNDUP(N198/75,0))</f>
        <v>3</v>
      </c>
    </row>
    <row r="199" customFormat="false" ht="15" hidden="false" customHeight="false" outlineLevel="0" collapsed="false">
      <c r="A199" s="0" t="s">
        <v>33</v>
      </c>
      <c r="B199" s="0" t="s">
        <v>231</v>
      </c>
      <c r="C199" s="0" t="n">
        <v>18</v>
      </c>
      <c r="D199" s="0" t="n">
        <v>1</v>
      </c>
      <c r="E199" s="0" t="n">
        <v>57</v>
      </c>
      <c r="F199" s="0" t="n">
        <f aca="false">COUNTIF($A$2:A199,A199)</f>
        <v>198</v>
      </c>
      <c r="G199" s="0" t="n">
        <f aca="false">ROUNDUP(C199*1.236/75,0)</f>
        <v>1</v>
      </c>
      <c r="H199" s="0" t="str">
        <f aca="false">IF(MOD(F199-1,2)=0,SUMPRODUCT(($A$2:$A$644=A199)*(ROW($A$2:$A$644)&gt;=ROW())*(ROW($A$2:$A$644)&lt;ROW()+2)*$C$2:$C$644),"")</f>
        <v/>
      </c>
      <c r="I199" s="0" t="str">
        <f aca="false">IF(H199="","",ROUNDUP(H199/75,0))</f>
        <v/>
      </c>
      <c r="J199" s="0" t="str">
        <f aca="false">IF(MOD(F199-1,3)=0,SUMPRODUCT(($A$2:$A$644=A199)*(ROW($A$2:$A$644)&gt;=ROW())*(ROW($A$2:$A$644)&lt;ROW()+3)*$C$2:$C$644),"")</f>
        <v/>
      </c>
      <c r="K199" s="0" t="str">
        <f aca="false">IF(J199="","",ROUNDUP(J199/75,0))</f>
        <v/>
      </c>
      <c r="L199" s="0" t="str">
        <f aca="false">IF(MOD(F199-1,5)=0,SUMPRODUCT(($A$2:$A$644=A199)*(ROW($A$2:$A$644)&gt;=ROW())*(ROW($A$2:$A$644)&lt;ROW()+5)*$C$2:$C$644),"")</f>
        <v/>
      </c>
      <c r="M199" s="0" t="str">
        <f aca="false">IF(L199="","",ROUNDUP(L199/75,0))</f>
        <v/>
      </c>
      <c r="N199" s="0" t="str">
        <f aca="false">IF(MOD(F199-1,7)=0,SUMPRODUCT(($A$2:$A$644=A199)*(ROW($A$2:$A$644)&gt;=ROW())*(ROW($A$2:$A$644)&lt;ROW()+7)*$C$2:$C$644),"")</f>
        <v/>
      </c>
      <c r="O199" s="0" t="str">
        <f aca="false">IF(N199="","",ROUNDUP(N199/75,0))</f>
        <v/>
      </c>
    </row>
    <row r="200" customFormat="false" ht="15" hidden="false" customHeight="false" outlineLevel="0" collapsed="false">
      <c r="A200" s="0" t="s">
        <v>33</v>
      </c>
      <c r="B200" s="0" t="s">
        <v>232</v>
      </c>
      <c r="C200" s="0" t="n">
        <v>36</v>
      </c>
      <c r="D200" s="0" t="n">
        <v>1</v>
      </c>
      <c r="E200" s="0" t="n">
        <v>39</v>
      </c>
      <c r="F200" s="0" t="n">
        <f aca="false">COUNTIF($A$2:A200,A200)</f>
        <v>199</v>
      </c>
      <c r="G200" s="0" t="n">
        <f aca="false">ROUNDUP(C200*1.236/75,0)</f>
        <v>1</v>
      </c>
      <c r="H200" s="0" t="n">
        <f aca="false">IF(MOD(F200-1,2)=0,SUMPRODUCT(($A$2:$A$644=A200)*(ROW($A$2:$A$644)&gt;=ROW())*(ROW($A$2:$A$644)&lt;ROW()+2)*$C$2:$C$644),"")</f>
        <v>48</v>
      </c>
      <c r="I200" s="0" t="n">
        <f aca="false">IF(H200="","",ROUNDUP(H200/75,0))</f>
        <v>1</v>
      </c>
      <c r="J200" s="0" t="n">
        <f aca="false">IF(MOD(F200-1,3)=0,SUMPRODUCT(($A$2:$A$644=A200)*(ROW($A$2:$A$644)&gt;=ROW())*(ROW($A$2:$A$644)&lt;ROW()+3)*$C$2:$C$644),"")</f>
        <v>60</v>
      </c>
      <c r="K200" s="0" t="n">
        <f aca="false">IF(J200="","",ROUNDUP(J200/75,0))</f>
        <v>1</v>
      </c>
      <c r="L200" s="0" t="str">
        <f aca="false">IF(MOD(F200-1,5)=0,SUMPRODUCT(($A$2:$A$644=A200)*(ROW($A$2:$A$644)&gt;=ROW())*(ROW($A$2:$A$644)&lt;ROW()+5)*$C$2:$C$644),"")</f>
        <v/>
      </c>
      <c r="M200" s="0" t="str">
        <f aca="false">IF(L200="","",ROUNDUP(L200/75,0))</f>
        <v/>
      </c>
      <c r="N200" s="0" t="str">
        <f aca="false">IF(MOD(F200-1,7)=0,SUMPRODUCT(($A$2:$A$644=A200)*(ROW($A$2:$A$644)&gt;=ROW())*(ROW($A$2:$A$644)&lt;ROW()+7)*$C$2:$C$644),"")</f>
        <v/>
      </c>
      <c r="O200" s="0" t="str">
        <f aca="false">IF(N200="","",ROUNDUP(N200/75,0))</f>
        <v/>
      </c>
    </row>
    <row r="201" customFormat="false" ht="15" hidden="false" customHeight="false" outlineLevel="0" collapsed="false">
      <c r="A201" s="0" t="s">
        <v>33</v>
      </c>
      <c r="B201" s="0" t="s">
        <v>233</v>
      </c>
      <c r="C201" s="0" t="n">
        <v>12</v>
      </c>
      <c r="D201" s="0" t="n">
        <v>1</v>
      </c>
      <c r="E201" s="0" t="n">
        <v>63</v>
      </c>
      <c r="F201" s="0" t="n">
        <f aca="false">COUNTIF($A$2:A201,A201)</f>
        <v>200</v>
      </c>
      <c r="G201" s="0" t="n">
        <f aca="false">ROUNDUP(C201*1.236/75,0)</f>
        <v>1</v>
      </c>
      <c r="H201" s="0" t="str">
        <f aca="false">IF(MOD(F201-1,2)=0,SUMPRODUCT(($A$2:$A$644=A201)*(ROW($A$2:$A$644)&gt;=ROW())*(ROW($A$2:$A$644)&lt;ROW()+2)*$C$2:$C$644),"")</f>
        <v/>
      </c>
      <c r="I201" s="0" t="str">
        <f aca="false">IF(H201="","",ROUNDUP(H201/75,0))</f>
        <v/>
      </c>
      <c r="J201" s="0" t="str">
        <f aca="false">IF(MOD(F201-1,3)=0,SUMPRODUCT(($A$2:$A$644=A201)*(ROW($A$2:$A$644)&gt;=ROW())*(ROW($A$2:$A$644)&lt;ROW()+3)*$C$2:$C$644),"")</f>
        <v/>
      </c>
      <c r="K201" s="0" t="str">
        <f aca="false">IF(J201="","",ROUNDUP(J201/75,0))</f>
        <v/>
      </c>
      <c r="L201" s="0" t="str">
        <f aca="false">IF(MOD(F201-1,5)=0,SUMPRODUCT(($A$2:$A$644=A201)*(ROW($A$2:$A$644)&gt;=ROW())*(ROW($A$2:$A$644)&lt;ROW()+5)*$C$2:$C$644),"")</f>
        <v/>
      </c>
      <c r="M201" s="0" t="str">
        <f aca="false">IF(L201="","",ROUNDUP(L201/75,0))</f>
        <v/>
      </c>
      <c r="N201" s="0" t="str">
        <f aca="false">IF(MOD(F201-1,7)=0,SUMPRODUCT(($A$2:$A$644=A201)*(ROW($A$2:$A$644)&gt;=ROW())*(ROW($A$2:$A$644)&lt;ROW()+7)*$C$2:$C$644),"")</f>
        <v/>
      </c>
      <c r="O201" s="0" t="str">
        <f aca="false">IF(N201="","",ROUNDUP(N201/75,0))</f>
        <v/>
      </c>
    </row>
    <row r="202" customFormat="false" ht="15" hidden="false" customHeight="false" outlineLevel="0" collapsed="false">
      <c r="A202" s="0" t="s">
        <v>33</v>
      </c>
      <c r="B202" s="0" t="s">
        <v>234</v>
      </c>
      <c r="C202" s="0" t="n">
        <v>12</v>
      </c>
      <c r="D202" s="0" t="n">
        <v>1</v>
      </c>
      <c r="E202" s="0" t="n">
        <v>63</v>
      </c>
      <c r="F202" s="0" t="n">
        <f aca="false">COUNTIF($A$2:A202,A202)</f>
        <v>201</v>
      </c>
      <c r="G202" s="0" t="n">
        <f aca="false">ROUNDUP(C202*1.236/75,0)</f>
        <v>1</v>
      </c>
      <c r="H202" s="0" t="n">
        <f aca="false">IF(MOD(F202-1,2)=0,SUMPRODUCT(($A$2:$A$644=A202)*(ROW($A$2:$A$644)&gt;=ROW())*(ROW($A$2:$A$644)&lt;ROW()+2)*$C$2:$C$644),"")</f>
        <v>78</v>
      </c>
      <c r="I202" s="0" t="n">
        <f aca="false">IF(H202="","",ROUNDUP(H202/75,0))</f>
        <v>2</v>
      </c>
      <c r="J202" s="0" t="str">
        <f aca="false">IF(MOD(F202-1,3)=0,SUMPRODUCT(($A$2:$A$644=A202)*(ROW($A$2:$A$644)&gt;=ROW())*(ROW($A$2:$A$644)&lt;ROW()+3)*$C$2:$C$644),"")</f>
        <v/>
      </c>
      <c r="K202" s="0" t="str">
        <f aca="false">IF(J202="","",ROUNDUP(J202/75,0))</f>
        <v/>
      </c>
      <c r="L202" s="0" t="n">
        <f aca="false">IF(MOD(F202-1,5)=0,SUMPRODUCT(($A$2:$A$644=A202)*(ROW($A$2:$A$644)&gt;=ROW())*(ROW($A$2:$A$644)&lt;ROW()+5)*$C$2:$C$644),"")</f>
        <v>144</v>
      </c>
      <c r="M202" s="0" t="n">
        <f aca="false">IF(L202="","",ROUNDUP(L202/75,0))</f>
        <v>2</v>
      </c>
      <c r="N202" s="0" t="str">
        <f aca="false">IF(MOD(F202-1,7)=0,SUMPRODUCT(($A$2:$A$644=A202)*(ROW($A$2:$A$644)&gt;=ROW())*(ROW($A$2:$A$644)&lt;ROW()+7)*$C$2:$C$644),"")</f>
        <v/>
      </c>
      <c r="O202" s="0" t="str">
        <f aca="false">IF(N202="","",ROUNDUP(N202/75,0))</f>
        <v/>
      </c>
    </row>
    <row r="203" customFormat="false" ht="15" hidden="false" customHeight="false" outlineLevel="0" collapsed="false">
      <c r="A203" s="0" t="s">
        <v>33</v>
      </c>
      <c r="B203" s="0" t="s">
        <v>235</v>
      </c>
      <c r="C203" s="0" t="n">
        <v>66</v>
      </c>
      <c r="D203" s="0" t="n">
        <v>1</v>
      </c>
      <c r="E203" s="0" t="n">
        <v>9</v>
      </c>
      <c r="F203" s="0" t="n">
        <f aca="false">COUNTIF($A$2:A203,A203)</f>
        <v>202</v>
      </c>
      <c r="G203" s="0" t="n">
        <f aca="false">ROUNDUP(C203*1.236/75,0)</f>
        <v>2</v>
      </c>
      <c r="H203" s="0" t="str">
        <f aca="false">IF(MOD(F203-1,2)=0,SUMPRODUCT(($A$2:$A$644=A203)*(ROW($A$2:$A$644)&gt;=ROW())*(ROW($A$2:$A$644)&lt;ROW()+2)*$C$2:$C$644),"")</f>
        <v/>
      </c>
      <c r="I203" s="0" t="str">
        <f aca="false">IF(H203="","",ROUNDUP(H203/75,0))</f>
        <v/>
      </c>
      <c r="J203" s="0" t="n">
        <f aca="false">IF(MOD(F203-1,3)=0,SUMPRODUCT(($A$2:$A$644=A203)*(ROW($A$2:$A$644)&gt;=ROW())*(ROW($A$2:$A$644)&lt;ROW()+3)*$C$2:$C$644),"")</f>
        <v>108</v>
      </c>
      <c r="K203" s="0" t="n">
        <f aca="false">IF(J203="","",ROUNDUP(J203/75,0))</f>
        <v>2</v>
      </c>
      <c r="L203" s="0" t="str">
        <f aca="false">IF(MOD(F203-1,5)=0,SUMPRODUCT(($A$2:$A$644=A203)*(ROW($A$2:$A$644)&gt;=ROW())*(ROW($A$2:$A$644)&lt;ROW()+5)*$C$2:$C$644),"")</f>
        <v/>
      </c>
      <c r="M203" s="0" t="str">
        <f aca="false">IF(L203="","",ROUNDUP(L203/75,0))</f>
        <v/>
      </c>
      <c r="N203" s="0" t="str">
        <f aca="false">IF(MOD(F203-1,7)=0,SUMPRODUCT(($A$2:$A$644=A203)*(ROW($A$2:$A$644)&gt;=ROW())*(ROW($A$2:$A$644)&lt;ROW()+7)*$C$2:$C$644),"")</f>
        <v/>
      </c>
      <c r="O203" s="0" t="str">
        <f aca="false">IF(N203="","",ROUNDUP(N203/75,0))</f>
        <v/>
      </c>
    </row>
    <row r="204" customFormat="false" ht="15" hidden="false" customHeight="false" outlineLevel="0" collapsed="false">
      <c r="A204" s="0" t="s">
        <v>33</v>
      </c>
      <c r="B204" s="0" t="s">
        <v>236</v>
      </c>
      <c r="C204" s="0" t="n">
        <v>30</v>
      </c>
      <c r="D204" s="0" t="n">
        <v>1</v>
      </c>
      <c r="E204" s="0" t="n">
        <v>45</v>
      </c>
      <c r="F204" s="0" t="n">
        <f aca="false">COUNTIF($A$2:A204,A204)</f>
        <v>203</v>
      </c>
      <c r="G204" s="0" t="n">
        <f aca="false">ROUNDUP(C204*1.236/75,0)</f>
        <v>1</v>
      </c>
      <c r="H204" s="0" t="n">
        <f aca="false">IF(MOD(F204-1,2)=0,SUMPRODUCT(($A$2:$A$644=A204)*(ROW($A$2:$A$644)&gt;=ROW())*(ROW($A$2:$A$644)&lt;ROW()+2)*$C$2:$C$644),"")</f>
        <v>42</v>
      </c>
      <c r="I204" s="0" t="n">
        <f aca="false">IF(H204="","",ROUNDUP(H204/75,0))</f>
        <v>1</v>
      </c>
      <c r="J204" s="0" t="str">
        <f aca="false">IF(MOD(F204-1,3)=0,SUMPRODUCT(($A$2:$A$644=A204)*(ROW($A$2:$A$644)&gt;=ROW())*(ROW($A$2:$A$644)&lt;ROW()+3)*$C$2:$C$644),"")</f>
        <v/>
      </c>
      <c r="K204" s="0" t="str">
        <f aca="false">IF(J204="","",ROUNDUP(J204/75,0))</f>
        <v/>
      </c>
      <c r="L204" s="0" t="str">
        <f aca="false">IF(MOD(F204-1,5)=0,SUMPRODUCT(($A$2:$A$644=A204)*(ROW($A$2:$A$644)&gt;=ROW())*(ROW($A$2:$A$644)&lt;ROW()+5)*$C$2:$C$644),"")</f>
        <v/>
      </c>
      <c r="M204" s="0" t="str">
        <f aca="false">IF(L204="","",ROUNDUP(L204/75,0))</f>
        <v/>
      </c>
      <c r="N204" s="0" t="str">
        <f aca="false">IF(MOD(F204-1,7)=0,SUMPRODUCT(($A$2:$A$644=A204)*(ROW($A$2:$A$644)&gt;=ROW())*(ROW($A$2:$A$644)&lt;ROW()+7)*$C$2:$C$644),"")</f>
        <v/>
      </c>
      <c r="O204" s="0" t="str">
        <f aca="false">IF(N204="","",ROUNDUP(N204/75,0))</f>
        <v/>
      </c>
    </row>
    <row r="205" customFormat="false" ht="15" hidden="false" customHeight="false" outlineLevel="0" collapsed="false">
      <c r="A205" s="0" t="s">
        <v>33</v>
      </c>
      <c r="B205" s="0" t="s">
        <v>237</v>
      </c>
      <c r="C205" s="0" t="n">
        <v>12</v>
      </c>
      <c r="D205" s="0" t="n">
        <v>1</v>
      </c>
      <c r="E205" s="0" t="n">
        <v>63</v>
      </c>
      <c r="F205" s="0" t="n">
        <f aca="false">COUNTIF($A$2:A205,A205)</f>
        <v>204</v>
      </c>
      <c r="G205" s="0" t="n">
        <f aca="false">ROUNDUP(C205*1.236/75,0)</f>
        <v>1</v>
      </c>
      <c r="H205" s="0" t="str">
        <f aca="false">IF(MOD(F205-1,2)=0,SUMPRODUCT(($A$2:$A$644=A205)*(ROW($A$2:$A$644)&gt;=ROW())*(ROW($A$2:$A$644)&lt;ROW()+2)*$C$2:$C$644),"")</f>
        <v/>
      </c>
      <c r="I205" s="0" t="str">
        <f aca="false">IF(H205="","",ROUNDUP(H205/75,0))</f>
        <v/>
      </c>
      <c r="J205" s="0" t="str">
        <f aca="false">IF(MOD(F205-1,3)=0,SUMPRODUCT(($A$2:$A$644=A205)*(ROW($A$2:$A$644)&gt;=ROW())*(ROW($A$2:$A$644)&lt;ROW()+3)*$C$2:$C$644),"")</f>
        <v/>
      </c>
      <c r="K205" s="0" t="str">
        <f aca="false">IF(J205="","",ROUNDUP(J205/75,0))</f>
        <v/>
      </c>
      <c r="L205" s="0" t="str">
        <f aca="false">IF(MOD(F205-1,5)=0,SUMPRODUCT(($A$2:$A$644=A205)*(ROW($A$2:$A$644)&gt;=ROW())*(ROW($A$2:$A$644)&lt;ROW()+5)*$C$2:$C$644),"")</f>
        <v/>
      </c>
      <c r="M205" s="0" t="str">
        <f aca="false">IF(L205="","",ROUNDUP(L205/75,0))</f>
        <v/>
      </c>
      <c r="N205" s="0" t="n">
        <f aca="false">IF(MOD(F205-1,7)=0,SUMPRODUCT(($A$2:$A$644=A205)*(ROW($A$2:$A$644)&gt;=ROW())*(ROW($A$2:$A$644)&lt;ROW()+7)*$C$2:$C$644),"")</f>
        <v>162</v>
      </c>
      <c r="O205" s="0" t="n">
        <f aca="false">IF(N205="","",ROUNDUP(N205/75,0))</f>
        <v>3</v>
      </c>
    </row>
    <row r="206" customFormat="false" ht="15" hidden="false" customHeight="false" outlineLevel="0" collapsed="false">
      <c r="A206" s="0" t="s">
        <v>33</v>
      </c>
      <c r="B206" s="0" t="s">
        <v>238</v>
      </c>
      <c r="C206" s="0" t="n">
        <v>24</v>
      </c>
      <c r="D206" s="0" t="n">
        <v>1</v>
      </c>
      <c r="E206" s="0" t="n">
        <v>51</v>
      </c>
      <c r="F206" s="0" t="n">
        <f aca="false">COUNTIF($A$2:A206,A206)</f>
        <v>205</v>
      </c>
      <c r="G206" s="0" t="n">
        <f aca="false">ROUNDUP(C206*1.236/75,0)</f>
        <v>1</v>
      </c>
      <c r="H206" s="0" t="n">
        <f aca="false">IF(MOD(F206-1,2)=0,SUMPRODUCT(($A$2:$A$644=A206)*(ROW($A$2:$A$644)&gt;=ROW())*(ROW($A$2:$A$644)&lt;ROW()+2)*$C$2:$C$644),"")</f>
        <v>42</v>
      </c>
      <c r="I206" s="0" t="n">
        <f aca="false">IF(H206="","",ROUNDUP(H206/75,0))</f>
        <v>1</v>
      </c>
      <c r="J206" s="0" t="n">
        <f aca="false">IF(MOD(F206-1,3)=0,SUMPRODUCT(($A$2:$A$644=A206)*(ROW($A$2:$A$644)&gt;=ROW())*(ROW($A$2:$A$644)&lt;ROW()+3)*$C$2:$C$644),"")</f>
        <v>90</v>
      </c>
      <c r="K206" s="0" t="n">
        <f aca="false">IF(J206="","",ROUNDUP(J206/75,0))</f>
        <v>2</v>
      </c>
      <c r="L206" s="0" t="str">
        <f aca="false">IF(MOD(F206-1,5)=0,SUMPRODUCT(($A$2:$A$644=A206)*(ROW($A$2:$A$644)&gt;=ROW())*(ROW($A$2:$A$644)&lt;ROW()+5)*$C$2:$C$644),"")</f>
        <v/>
      </c>
      <c r="M206" s="0" t="str">
        <f aca="false">IF(L206="","",ROUNDUP(L206/75,0))</f>
        <v/>
      </c>
      <c r="N206" s="0" t="str">
        <f aca="false">IF(MOD(F206-1,7)=0,SUMPRODUCT(($A$2:$A$644=A206)*(ROW($A$2:$A$644)&gt;=ROW())*(ROW($A$2:$A$644)&lt;ROW()+7)*$C$2:$C$644),"")</f>
        <v/>
      </c>
      <c r="O206" s="0" t="str">
        <f aca="false">IF(N206="","",ROUNDUP(N206/75,0))</f>
        <v/>
      </c>
    </row>
    <row r="207" customFormat="false" ht="15" hidden="false" customHeight="false" outlineLevel="0" collapsed="false">
      <c r="A207" s="0" t="s">
        <v>33</v>
      </c>
      <c r="B207" s="0" t="s">
        <v>239</v>
      </c>
      <c r="C207" s="0" t="n">
        <v>18</v>
      </c>
      <c r="D207" s="0" t="n">
        <v>1</v>
      </c>
      <c r="E207" s="0" t="n">
        <v>57</v>
      </c>
      <c r="F207" s="0" t="n">
        <f aca="false">COUNTIF($A$2:A207,A207)</f>
        <v>206</v>
      </c>
      <c r="G207" s="0" t="n">
        <f aca="false">ROUNDUP(C207*1.236/75,0)</f>
        <v>1</v>
      </c>
      <c r="H207" s="0" t="str">
        <f aca="false">IF(MOD(F207-1,2)=0,SUMPRODUCT(($A$2:$A$644=A207)*(ROW($A$2:$A$644)&gt;=ROW())*(ROW($A$2:$A$644)&lt;ROW()+2)*$C$2:$C$644),"")</f>
        <v/>
      </c>
      <c r="I207" s="0" t="str">
        <f aca="false">IF(H207="","",ROUNDUP(H207/75,0))</f>
        <v/>
      </c>
      <c r="J207" s="0" t="str">
        <f aca="false">IF(MOD(F207-1,3)=0,SUMPRODUCT(($A$2:$A$644=A207)*(ROW($A$2:$A$644)&gt;=ROW())*(ROW($A$2:$A$644)&lt;ROW()+3)*$C$2:$C$644),"")</f>
        <v/>
      </c>
      <c r="K207" s="0" t="str">
        <f aca="false">IF(J207="","",ROUNDUP(J207/75,0))</f>
        <v/>
      </c>
      <c r="L207" s="0" t="n">
        <f aca="false">IF(MOD(F207-1,5)=0,SUMPRODUCT(($A$2:$A$644=A207)*(ROW($A$2:$A$644)&gt;=ROW())*(ROW($A$2:$A$644)&lt;ROW()+5)*$C$2:$C$644),"")</f>
        <v>126</v>
      </c>
      <c r="M207" s="0" t="n">
        <f aca="false">IF(L207="","",ROUNDUP(L207/75,0))</f>
        <v>2</v>
      </c>
      <c r="N207" s="0" t="str">
        <f aca="false">IF(MOD(F207-1,7)=0,SUMPRODUCT(($A$2:$A$644=A207)*(ROW($A$2:$A$644)&gt;=ROW())*(ROW($A$2:$A$644)&lt;ROW()+7)*$C$2:$C$644),"")</f>
        <v/>
      </c>
      <c r="O207" s="0" t="str">
        <f aca="false">IF(N207="","",ROUNDUP(N207/75,0))</f>
        <v/>
      </c>
    </row>
    <row r="208" customFormat="false" ht="15" hidden="false" customHeight="false" outlineLevel="0" collapsed="false">
      <c r="A208" s="0" t="s">
        <v>33</v>
      </c>
      <c r="B208" s="0" t="s">
        <v>240</v>
      </c>
      <c r="C208" s="0" t="n">
        <v>48</v>
      </c>
      <c r="D208" s="0" t="n">
        <v>1</v>
      </c>
      <c r="E208" s="0" t="n">
        <v>27</v>
      </c>
      <c r="F208" s="0" t="n">
        <f aca="false">COUNTIF($A$2:A208,A208)</f>
        <v>207</v>
      </c>
      <c r="G208" s="0" t="n">
        <f aca="false">ROUNDUP(C208*1.236/75,0)</f>
        <v>1</v>
      </c>
      <c r="H208" s="0" t="n">
        <f aca="false">IF(MOD(F208-1,2)=0,SUMPRODUCT(($A$2:$A$644=A208)*(ROW($A$2:$A$644)&gt;=ROW())*(ROW($A$2:$A$644)&lt;ROW()+2)*$C$2:$C$644),"")</f>
        <v>60</v>
      </c>
      <c r="I208" s="0" t="n">
        <f aca="false">IF(H208="","",ROUNDUP(H208/75,0))</f>
        <v>1</v>
      </c>
      <c r="J208" s="0" t="str">
        <f aca="false">IF(MOD(F208-1,3)=0,SUMPRODUCT(($A$2:$A$644=A208)*(ROW($A$2:$A$644)&gt;=ROW())*(ROW($A$2:$A$644)&lt;ROW()+3)*$C$2:$C$644),"")</f>
        <v/>
      </c>
      <c r="K208" s="0" t="str">
        <f aca="false">IF(J208="","",ROUNDUP(J208/75,0))</f>
        <v/>
      </c>
      <c r="L208" s="0" t="str">
        <f aca="false">IF(MOD(F208-1,5)=0,SUMPRODUCT(($A$2:$A$644=A208)*(ROW($A$2:$A$644)&gt;=ROW())*(ROW($A$2:$A$644)&lt;ROW()+5)*$C$2:$C$644),"")</f>
        <v/>
      </c>
      <c r="M208" s="0" t="str">
        <f aca="false">IF(L208="","",ROUNDUP(L208/75,0))</f>
        <v/>
      </c>
      <c r="N208" s="0" t="str">
        <f aca="false">IF(MOD(F208-1,7)=0,SUMPRODUCT(($A$2:$A$644=A208)*(ROW($A$2:$A$644)&gt;=ROW())*(ROW($A$2:$A$644)&lt;ROW()+7)*$C$2:$C$644),"")</f>
        <v/>
      </c>
      <c r="O208" s="0" t="str">
        <f aca="false">IF(N208="","",ROUNDUP(N208/75,0))</f>
        <v/>
      </c>
    </row>
    <row r="209" customFormat="false" ht="15" hidden="false" customHeight="false" outlineLevel="0" collapsed="false">
      <c r="A209" s="0" t="s">
        <v>33</v>
      </c>
      <c r="B209" s="0" t="s">
        <v>241</v>
      </c>
      <c r="C209" s="0" t="n">
        <v>12</v>
      </c>
      <c r="D209" s="0" t="n">
        <v>1</v>
      </c>
      <c r="E209" s="0" t="n">
        <v>63</v>
      </c>
      <c r="F209" s="0" t="n">
        <f aca="false">COUNTIF($A$2:A209,A209)</f>
        <v>208</v>
      </c>
      <c r="G209" s="0" t="n">
        <f aca="false">ROUNDUP(C209*1.236/75,0)</f>
        <v>1</v>
      </c>
      <c r="H209" s="0" t="str">
        <f aca="false">IF(MOD(F209-1,2)=0,SUMPRODUCT(($A$2:$A$644=A209)*(ROW($A$2:$A$644)&gt;=ROW())*(ROW($A$2:$A$644)&lt;ROW()+2)*$C$2:$C$644),"")</f>
        <v/>
      </c>
      <c r="I209" s="0" t="str">
        <f aca="false">IF(H209="","",ROUNDUP(H209/75,0))</f>
        <v/>
      </c>
      <c r="J209" s="0" t="n">
        <f aca="false">IF(MOD(F209-1,3)=0,SUMPRODUCT(($A$2:$A$644=A209)*(ROW($A$2:$A$644)&gt;=ROW())*(ROW($A$2:$A$644)&lt;ROW()+3)*$C$2:$C$644),"")</f>
        <v>60</v>
      </c>
      <c r="K209" s="0" t="n">
        <f aca="false">IF(J209="","",ROUNDUP(J209/75,0))</f>
        <v>1</v>
      </c>
      <c r="L209" s="0" t="str">
        <f aca="false">IF(MOD(F209-1,5)=0,SUMPRODUCT(($A$2:$A$644=A209)*(ROW($A$2:$A$644)&gt;=ROW())*(ROW($A$2:$A$644)&lt;ROW()+5)*$C$2:$C$644),"")</f>
        <v/>
      </c>
      <c r="M209" s="0" t="str">
        <f aca="false">IF(L209="","",ROUNDUP(L209/75,0))</f>
        <v/>
      </c>
      <c r="N209" s="0" t="str">
        <f aca="false">IF(MOD(F209-1,7)=0,SUMPRODUCT(($A$2:$A$644=A209)*(ROW($A$2:$A$644)&gt;=ROW())*(ROW($A$2:$A$644)&lt;ROW()+7)*$C$2:$C$644),"")</f>
        <v/>
      </c>
      <c r="O209" s="0" t="str">
        <f aca="false">IF(N209="","",ROUNDUP(N209/75,0))</f>
        <v/>
      </c>
    </row>
    <row r="210" customFormat="false" ht="15" hidden="false" customHeight="false" outlineLevel="0" collapsed="false">
      <c r="A210" s="0" t="s">
        <v>33</v>
      </c>
      <c r="B210" s="0" t="s">
        <v>242</v>
      </c>
      <c r="C210" s="0" t="n">
        <v>12</v>
      </c>
      <c r="D210" s="0" t="n">
        <v>1</v>
      </c>
      <c r="E210" s="0" t="n">
        <v>63</v>
      </c>
      <c r="F210" s="0" t="n">
        <f aca="false">COUNTIF($A$2:A210,A210)</f>
        <v>209</v>
      </c>
      <c r="G210" s="0" t="n">
        <f aca="false">ROUNDUP(C210*1.236/75,0)</f>
        <v>1</v>
      </c>
      <c r="H210" s="0" t="n">
        <f aca="false">IF(MOD(F210-1,2)=0,SUMPRODUCT(($A$2:$A$644=A210)*(ROW($A$2:$A$644)&gt;=ROW())*(ROW($A$2:$A$644)&lt;ROW()+2)*$C$2:$C$644),"")</f>
        <v>48</v>
      </c>
      <c r="I210" s="0" t="n">
        <f aca="false">IF(H210="","",ROUNDUP(H210/75,0))</f>
        <v>1</v>
      </c>
      <c r="J210" s="0" t="str">
        <f aca="false">IF(MOD(F210-1,3)=0,SUMPRODUCT(($A$2:$A$644=A210)*(ROW($A$2:$A$644)&gt;=ROW())*(ROW($A$2:$A$644)&lt;ROW()+3)*$C$2:$C$644),"")</f>
        <v/>
      </c>
      <c r="K210" s="0" t="str">
        <f aca="false">IF(J210="","",ROUNDUP(J210/75,0))</f>
        <v/>
      </c>
      <c r="L210" s="0" t="str">
        <f aca="false">IF(MOD(F210-1,5)=0,SUMPRODUCT(($A$2:$A$644=A210)*(ROW($A$2:$A$644)&gt;=ROW())*(ROW($A$2:$A$644)&lt;ROW()+5)*$C$2:$C$644),"")</f>
        <v/>
      </c>
      <c r="M210" s="0" t="str">
        <f aca="false">IF(L210="","",ROUNDUP(L210/75,0))</f>
        <v/>
      </c>
      <c r="N210" s="0" t="str">
        <f aca="false">IF(MOD(F210-1,7)=0,SUMPRODUCT(($A$2:$A$644=A210)*(ROW($A$2:$A$644)&gt;=ROW())*(ROW($A$2:$A$644)&lt;ROW()+7)*$C$2:$C$644),"")</f>
        <v/>
      </c>
      <c r="O210" s="0" t="str">
        <f aca="false">IF(N210="","",ROUNDUP(N210/75,0))</f>
        <v/>
      </c>
    </row>
    <row r="211" customFormat="false" ht="15" hidden="false" customHeight="false" outlineLevel="0" collapsed="false">
      <c r="A211" s="0" t="s">
        <v>33</v>
      </c>
      <c r="B211" s="0" t="s">
        <v>243</v>
      </c>
      <c r="C211" s="0" t="n">
        <v>36</v>
      </c>
      <c r="D211" s="0" t="n">
        <v>1</v>
      </c>
      <c r="E211" s="0" t="n">
        <v>39</v>
      </c>
      <c r="F211" s="0" t="n">
        <f aca="false">COUNTIF($A$2:A211,A211)</f>
        <v>210</v>
      </c>
      <c r="G211" s="0" t="n">
        <f aca="false">ROUNDUP(C211*1.236/75,0)</f>
        <v>1</v>
      </c>
      <c r="H211" s="0" t="str">
        <f aca="false">IF(MOD(F211-1,2)=0,SUMPRODUCT(($A$2:$A$644=A211)*(ROW($A$2:$A$644)&gt;=ROW())*(ROW($A$2:$A$644)&lt;ROW()+2)*$C$2:$C$644),"")</f>
        <v/>
      </c>
      <c r="I211" s="0" t="str">
        <f aca="false">IF(H211="","",ROUNDUP(H211/75,0))</f>
        <v/>
      </c>
      <c r="J211" s="0" t="str">
        <f aca="false">IF(MOD(F211-1,3)=0,SUMPRODUCT(($A$2:$A$644=A211)*(ROW($A$2:$A$644)&gt;=ROW())*(ROW($A$2:$A$644)&lt;ROW()+3)*$C$2:$C$644),"")</f>
        <v/>
      </c>
      <c r="K211" s="0" t="str">
        <f aca="false">IF(J211="","",ROUNDUP(J211/75,0))</f>
        <v/>
      </c>
      <c r="L211" s="0" t="str">
        <f aca="false">IF(MOD(F211-1,5)=0,SUMPRODUCT(($A$2:$A$644=A211)*(ROW($A$2:$A$644)&gt;=ROW())*(ROW($A$2:$A$644)&lt;ROW()+5)*$C$2:$C$644),"")</f>
        <v/>
      </c>
      <c r="M211" s="0" t="str">
        <f aca="false">IF(L211="","",ROUNDUP(L211/75,0))</f>
        <v/>
      </c>
      <c r="N211" s="0" t="str">
        <f aca="false">IF(MOD(F211-1,7)=0,SUMPRODUCT(($A$2:$A$644=A211)*(ROW($A$2:$A$644)&gt;=ROW())*(ROW($A$2:$A$644)&lt;ROW()+7)*$C$2:$C$644),"")</f>
        <v/>
      </c>
      <c r="O211" s="0" t="str">
        <f aca="false">IF(N211="","",ROUNDUP(N211/75,0))</f>
        <v/>
      </c>
    </row>
    <row r="212" customFormat="false" ht="15" hidden="false" customHeight="false" outlineLevel="0" collapsed="false">
      <c r="A212" s="0" t="s">
        <v>33</v>
      </c>
      <c r="B212" s="0" t="s">
        <v>244</v>
      </c>
      <c r="C212" s="0" t="n">
        <v>96</v>
      </c>
      <c r="D212" s="0" t="n">
        <v>2</v>
      </c>
      <c r="E212" s="0" t="n">
        <v>54</v>
      </c>
      <c r="F212" s="0" t="n">
        <f aca="false">COUNTIF($A$2:A212,A212)</f>
        <v>211</v>
      </c>
      <c r="G212" s="0" t="n">
        <f aca="false">ROUNDUP(C212*1.236/75,0)</f>
        <v>2</v>
      </c>
      <c r="H212" s="0" t="n">
        <f aca="false">IF(MOD(F212-1,2)=0,SUMPRODUCT(($A$2:$A$644=A212)*(ROW($A$2:$A$644)&gt;=ROW())*(ROW($A$2:$A$644)&lt;ROW()+2)*$C$2:$C$644),"")</f>
        <v>150</v>
      </c>
      <c r="I212" s="0" t="n">
        <f aca="false">IF(H212="","",ROUNDUP(H212/75,0))</f>
        <v>2</v>
      </c>
      <c r="J212" s="0" t="n">
        <f aca="false">IF(MOD(F212-1,3)=0,SUMPRODUCT(($A$2:$A$644=A212)*(ROW($A$2:$A$644)&gt;=ROW())*(ROW($A$2:$A$644)&lt;ROW()+3)*$C$2:$C$644),"")</f>
        <v>154.8</v>
      </c>
      <c r="K212" s="0" t="n">
        <f aca="false">IF(J212="","",ROUNDUP(J212/75,0))</f>
        <v>3</v>
      </c>
      <c r="L212" s="0" t="n">
        <f aca="false">IF(MOD(F212-1,5)=0,SUMPRODUCT(($A$2:$A$644=A212)*(ROW($A$2:$A$644)&gt;=ROW())*(ROW($A$2:$A$644)&lt;ROW()+5)*$C$2:$C$644),"")</f>
        <v>202.8</v>
      </c>
      <c r="M212" s="0" t="n">
        <f aca="false">IF(L212="","",ROUNDUP(L212/75,0))</f>
        <v>3</v>
      </c>
      <c r="N212" s="0" t="n">
        <f aca="false">IF(MOD(F212-1,7)=0,SUMPRODUCT(($A$2:$A$644=A212)*(ROW($A$2:$A$644)&gt;=ROW())*(ROW($A$2:$A$644)&lt;ROW()+7)*$C$2:$C$644),"")</f>
        <v>202.8</v>
      </c>
      <c r="O212" s="0" t="n">
        <f aca="false">IF(N212="","",ROUNDUP(N212/75,0))</f>
        <v>3</v>
      </c>
    </row>
    <row r="213" customFormat="false" ht="15" hidden="false" customHeight="false" outlineLevel="0" collapsed="false">
      <c r="A213" s="0" t="s">
        <v>33</v>
      </c>
      <c r="B213" s="0" t="s">
        <v>245</v>
      </c>
      <c r="C213" s="0" t="n">
        <v>54</v>
      </c>
      <c r="D213" s="0" t="n">
        <v>1</v>
      </c>
      <c r="E213" s="0" t="n">
        <v>21</v>
      </c>
      <c r="F213" s="0" t="n">
        <f aca="false">COUNTIF($A$2:A213,A213)</f>
        <v>212</v>
      </c>
      <c r="G213" s="0" t="n">
        <f aca="false">ROUNDUP(C213*1.236/75,0)</f>
        <v>1</v>
      </c>
      <c r="H213" s="0" t="str">
        <f aca="false">IF(MOD(F213-1,2)=0,SUMPRODUCT(($A$2:$A$644=A213)*(ROW($A$2:$A$644)&gt;=ROW())*(ROW($A$2:$A$644)&lt;ROW()+2)*$C$2:$C$644),"")</f>
        <v/>
      </c>
      <c r="I213" s="0" t="str">
        <f aca="false">IF(H213="","",ROUNDUP(H213/75,0))</f>
        <v/>
      </c>
      <c r="J213" s="0" t="str">
        <f aca="false">IF(MOD(F213-1,3)=0,SUMPRODUCT(($A$2:$A$644=A213)*(ROW($A$2:$A$644)&gt;=ROW())*(ROW($A$2:$A$644)&lt;ROW()+3)*$C$2:$C$644),"")</f>
        <v/>
      </c>
      <c r="K213" s="0" t="str">
        <f aca="false">IF(J213="","",ROUNDUP(J213/75,0))</f>
        <v/>
      </c>
      <c r="L213" s="0" t="str">
        <f aca="false">IF(MOD(F213-1,5)=0,SUMPRODUCT(($A$2:$A$644=A213)*(ROW($A$2:$A$644)&gt;=ROW())*(ROW($A$2:$A$644)&lt;ROW()+5)*$C$2:$C$644),"")</f>
        <v/>
      </c>
      <c r="M213" s="0" t="str">
        <f aca="false">IF(L213="","",ROUNDUP(L213/75,0))</f>
        <v/>
      </c>
      <c r="N213" s="0" t="str">
        <f aca="false">IF(MOD(F213-1,7)=0,SUMPRODUCT(($A$2:$A$644=A213)*(ROW($A$2:$A$644)&gt;=ROW())*(ROW($A$2:$A$644)&lt;ROW()+7)*$C$2:$C$644),"")</f>
        <v/>
      </c>
      <c r="O213" s="0" t="str">
        <f aca="false">IF(N213="","",ROUNDUP(N213/75,0))</f>
        <v/>
      </c>
    </row>
    <row r="214" customFormat="false" ht="15" hidden="false" customHeight="false" outlineLevel="0" collapsed="false">
      <c r="A214" s="0" t="s">
        <v>33</v>
      </c>
      <c r="B214" s="0" t="s">
        <v>246</v>
      </c>
      <c r="C214" s="0" t="n">
        <v>4.8</v>
      </c>
      <c r="D214" s="0" t="n">
        <v>1</v>
      </c>
      <c r="E214" s="0" t="n">
        <v>70.2</v>
      </c>
      <c r="F214" s="0" t="n">
        <f aca="false">COUNTIF($A$2:A214,A214)</f>
        <v>213</v>
      </c>
      <c r="G214" s="0" t="n">
        <f aca="false">ROUNDUP(C214*1.236/75,0)</f>
        <v>1</v>
      </c>
      <c r="H214" s="0" t="n">
        <f aca="false">IF(MOD(F214-1,2)=0,SUMPRODUCT(($A$2:$A$644=A214)*(ROW($A$2:$A$644)&gt;=ROW())*(ROW($A$2:$A$644)&lt;ROW()+2)*$C$2:$C$644),"")</f>
        <v>10.8</v>
      </c>
      <c r="I214" s="0" t="n">
        <f aca="false">IF(H214="","",ROUNDUP(H214/75,0))</f>
        <v>1</v>
      </c>
      <c r="J214" s="0" t="str">
        <f aca="false">IF(MOD(F214-1,3)=0,SUMPRODUCT(($A$2:$A$644=A214)*(ROW($A$2:$A$644)&gt;=ROW())*(ROW($A$2:$A$644)&lt;ROW()+3)*$C$2:$C$644),"")</f>
        <v/>
      </c>
      <c r="K214" s="0" t="str">
        <f aca="false">IF(J214="","",ROUNDUP(J214/75,0))</f>
        <v/>
      </c>
      <c r="L214" s="0" t="str">
        <f aca="false">IF(MOD(F214-1,5)=0,SUMPRODUCT(($A$2:$A$644=A214)*(ROW($A$2:$A$644)&gt;=ROW())*(ROW($A$2:$A$644)&lt;ROW()+5)*$C$2:$C$644),"")</f>
        <v/>
      </c>
      <c r="M214" s="0" t="str">
        <f aca="false">IF(L214="","",ROUNDUP(L214/75,0))</f>
        <v/>
      </c>
      <c r="N214" s="0" t="str">
        <f aca="false">IF(MOD(F214-1,7)=0,SUMPRODUCT(($A$2:$A$644=A214)*(ROW($A$2:$A$644)&gt;=ROW())*(ROW($A$2:$A$644)&lt;ROW()+7)*$C$2:$C$644),"")</f>
        <v/>
      </c>
      <c r="O214" s="0" t="str">
        <f aca="false">IF(N214="","",ROUNDUP(N214/75,0))</f>
        <v/>
      </c>
    </row>
    <row r="215" customFormat="false" ht="15" hidden="false" customHeight="false" outlineLevel="0" collapsed="false">
      <c r="A215" s="0" t="s">
        <v>33</v>
      </c>
      <c r="B215" s="0" t="s">
        <v>247</v>
      </c>
      <c r="C215" s="0" t="n">
        <v>6</v>
      </c>
      <c r="D215" s="0" t="n">
        <v>1</v>
      </c>
      <c r="E215" s="0" t="n">
        <v>69</v>
      </c>
      <c r="F215" s="0" t="n">
        <f aca="false">COUNTIF($A$2:A215,A215)</f>
        <v>214</v>
      </c>
      <c r="G215" s="0" t="n">
        <f aca="false">ROUNDUP(C215*1.236/75,0)</f>
        <v>1</v>
      </c>
      <c r="H215" s="0" t="str">
        <f aca="false">IF(MOD(F215-1,2)=0,SUMPRODUCT(($A$2:$A$644=A215)*(ROW($A$2:$A$644)&gt;=ROW())*(ROW($A$2:$A$644)&lt;ROW()+2)*$C$2:$C$644),"")</f>
        <v/>
      </c>
      <c r="I215" s="0" t="str">
        <f aca="false">IF(H215="","",ROUNDUP(H215/75,0))</f>
        <v/>
      </c>
      <c r="J215" s="0" t="n">
        <f aca="false">IF(MOD(F215-1,3)=0,SUMPRODUCT(($A$2:$A$644=A215)*(ROW($A$2:$A$644)&gt;=ROW())*(ROW($A$2:$A$644)&lt;ROW()+3)*$C$2:$C$644),"")</f>
        <v>48</v>
      </c>
      <c r="K215" s="0" t="n">
        <f aca="false">IF(J215="","",ROUNDUP(J215/75,0))</f>
        <v>1</v>
      </c>
      <c r="L215" s="0" t="str">
        <f aca="false">IF(MOD(F215-1,5)=0,SUMPRODUCT(($A$2:$A$644=A215)*(ROW($A$2:$A$644)&gt;=ROW())*(ROW($A$2:$A$644)&lt;ROW()+5)*$C$2:$C$644),"")</f>
        <v/>
      </c>
      <c r="M215" s="0" t="str">
        <f aca="false">IF(L215="","",ROUNDUP(L215/75,0))</f>
        <v/>
      </c>
      <c r="N215" s="0" t="str">
        <f aca="false">IF(MOD(F215-1,7)=0,SUMPRODUCT(($A$2:$A$644=A215)*(ROW($A$2:$A$644)&gt;=ROW())*(ROW($A$2:$A$644)&lt;ROW()+7)*$C$2:$C$644),"")</f>
        <v/>
      </c>
      <c r="O215" s="0" t="str">
        <f aca="false">IF(N215="","",ROUNDUP(N215/75,0))</f>
        <v/>
      </c>
    </row>
    <row r="216" customFormat="false" ht="15" hidden="false" customHeight="false" outlineLevel="0" collapsed="false">
      <c r="A216" s="0" t="s">
        <v>33</v>
      </c>
      <c r="B216" s="0" t="s">
        <v>248</v>
      </c>
      <c r="C216" s="0" t="n">
        <v>42</v>
      </c>
      <c r="D216" s="0" t="n">
        <v>1</v>
      </c>
      <c r="E216" s="0" t="n">
        <v>33</v>
      </c>
      <c r="F216" s="0" t="n">
        <f aca="false">COUNTIF($A$2:A216,A216)</f>
        <v>215</v>
      </c>
      <c r="G216" s="0" t="n">
        <f aca="false">ROUNDUP(C216*1.236/75,0)</f>
        <v>1</v>
      </c>
      <c r="H216" s="0" t="n">
        <f aca="false">IF(MOD(F216-1,2)=0,SUMPRODUCT(($A$2:$A$644=A216)*(ROW($A$2:$A$644)&gt;=ROW())*(ROW($A$2:$A$644)&lt;ROW()+2)*$C$2:$C$644),"")</f>
        <v>42</v>
      </c>
      <c r="I216" s="0" t="n">
        <f aca="false">IF(H216="","",ROUNDUP(H216/75,0))</f>
        <v>1</v>
      </c>
      <c r="J216" s="0" t="str">
        <f aca="false">IF(MOD(F216-1,3)=0,SUMPRODUCT(($A$2:$A$644=A216)*(ROW($A$2:$A$644)&gt;=ROW())*(ROW($A$2:$A$644)&lt;ROW()+3)*$C$2:$C$644),"")</f>
        <v/>
      </c>
      <c r="K216" s="0" t="str">
        <f aca="false">IF(J216="","",ROUNDUP(J216/75,0))</f>
        <v/>
      </c>
      <c r="L216" s="0" t="str">
        <f aca="false">IF(MOD(F216-1,5)=0,SUMPRODUCT(($A$2:$A$644=A216)*(ROW($A$2:$A$644)&gt;=ROW())*(ROW($A$2:$A$644)&lt;ROW()+5)*$C$2:$C$644),"")</f>
        <v/>
      </c>
      <c r="M216" s="0" t="str">
        <f aca="false">IF(L216="","",ROUNDUP(L216/75,0))</f>
        <v/>
      </c>
      <c r="N216" s="0" t="str">
        <f aca="false">IF(MOD(F216-1,7)=0,SUMPRODUCT(($A$2:$A$644=A216)*(ROW($A$2:$A$644)&gt;=ROW())*(ROW($A$2:$A$644)&lt;ROW()+7)*$C$2:$C$644),"")</f>
        <v/>
      </c>
      <c r="O216" s="0" t="str">
        <f aca="false">IF(N216="","",ROUNDUP(N216/75,0))</f>
        <v/>
      </c>
    </row>
    <row r="217" customFormat="false" ht="15" hidden="false" customHeight="false" outlineLevel="0" collapsed="false">
      <c r="A217" s="0" t="s">
        <v>249</v>
      </c>
      <c r="B217" s="0" t="s">
        <v>250</v>
      </c>
      <c r="C217" s="0" t="n">
        <v>72</v>
      </c>
      <c r="D217" s="0" t="n">
        <v>1</v>
      </c>
      <c r="E217" s="0" t="n">
        <v>3</v>
      </c>
      <c r="F217" s="0" t="n">
        <f aca="false">COUNTIF($A$2:A217,A217)</f>
        <v>1</v>
      </c>
      <c r="G217" s="0" t="n">
        <f aca="false">ROUNDUP(C217*1.236/75,0)</f>
        <v>2</v>
      </c>
      <c r="H217" s="0" t="n">
        <f aca="false">IF(MOD(F217-1,2)=0,SUMPRODUCT(($A$2:$A$644=A217)*(ROW($A$2:$A$644)&gt;=ROW())*(ROW($A$2:$A$644)&lt;ROW()+2)*$C$2:$C$644),"")</f>
        <v>90</v>
      </c>
      <c r="I217" s="0" t="n">
        <f aca="false">IF(H217="","",ROUNDUP(H217/75,0))</f>
        <v>2</v>
      </c>
      <c r="J217" s="0" t="n">
        <f aca="false">IF(MOD(F217-1,3)=0,SUMPRODUCT(($A$2:$A$644=A217)*(ROW($A$2:$A$644)&gt;=ROW())*(ROW($A$2:$A$644)&lt;ROW()+3)*$C$2:$C$644),"")</f>
        <v>120</v>
      </c>
      <c r="K217" s="0" t="n">
        <f aca="false">IF(J217="","",ROUNDUP(J217/75,0))</f>
        <v>2</v>
      </c>
      <c r="L217" s="0" t="n">
        <f aca="false">IF(MOD(F217-1,5)=0,SUMPRODUCT(($A$2:$A$644=A217)*(ROW($A$2:$A$644)&gt;=ROW())*(ROW($A$2:$A$644)&lt;ROW()+5)*$C$2:$C$644),"")</f>
        <v>270</v>
      </c>
      <c r="M217" s="0" t="n">
        <f aca="false">IF(L217="","",ROUNDUP(L217/75,0))</f>
        <v>4</v>
      </c>
      <c r="N217" s="0" t="n">
        <f aca="false">IF(MOD(F217-1,7)=0,SUMPRODUCT(($A$2:$A$644=A217)*(ROW($A$2:$A$644)&gt;=ROW())*(ROW($A$2:$A$644)&lt;ROW()+7)*$C$2:$C$644),"")</f>
        <v>474</v>
      </c>
      <c r="O217" s="0" t="n">
        <f aca="false">IF(N217="","",ROUNDUP(N217/75,0))</f>
        <v>7</v>
      </c>
    </row>
    <row r="218" customFormat="false" ht="15" hidden="false" customHeight="false" outlineLevel="0" collapsed="false">
      <c r="A218" s="0" t="s">
        <v>249</v>
      </c>
      <c r="B218" s="0" t="s">
        <v>251</v>
      </c>
      <c r="C218" s="0" t="n">
        <v>18</v>
      </c>
      <c r="D218" s="0" t="n">
        <v>1</v>
      </c>
      <c r="E218" s="0" t="n">
        <v>57</v>
      </c>
      <c r="F218" s="0" t="n">
        <f aca="false">COUNTIF($A$2:A218,A218)</f>
        <v>2</v>
      </c>
      <c r="G218" s="0" t="n">
        <f aca="false">ROUNDUP(C218*1.236/75,0)</f>
        <v>1</v>
      </c>
      <c r="H218" s="0" t="str">
        <f aca="false">IF(MOD(F218-1,2)=0,SUMPRODUCT(($A$2:$A$644=A218)*(ROW($A$2:$A$644)&gt;=ROW())*(ROW($A$2:$A$644)&lt;ROW()+2)*$C$2:$C$644),"")</f>
        <v/>
      </c>
      <c r="I218" s="0" t="str">
        <f aca="false">IF(H218="","",ROUNDUP(H218/75,0))</f>
        <v/>
      </c>
      <c r="J218" s="0" t="str">
        <f aca="false">IF(MOD(F218-1,3)=0,SUMPRODUCT(($A$2:$A$644=A218)*(ROW($A$2:$A$644)&gt;=ROW())*(ROW($A$2:$A$644)&lt;ROW()+3)*$C$2:$C$644),"")</f>
        <v/>
      </c>
      <c r="K218" s="0" t="str">
        <f aca="false">IF(J218="","",ROUNDUP(J218/75,0))</f>
        <v/>
      </c>
      <c r="L218" s="0" t="str">
        <f aca="false">IF(MOD(F218-1,5)=0,SUMPRODUCT(($A$2:$A$644=A218)*(ROW($A$2:$A$644)&gt;=ROW())*(ROW($A$2:$A$644)&lt;ROW()+5)*$C$2:$C$644),"")</f>
        <v/>
      </c>
      <c r="M218" s="0" t="str">
        <f aca="false">IF(L218="","",ROUNDUP(L218/75,0))</f>
        <v/>
      </c>
      <c r="N218" s="0" t="str">
        <f aca="false">IF(MOD(F218-1,7)=0,SUMPRODUCT(($A$2:$A$644=A218)*(ROW($A$2:$A$644)&gt;=ROW())*(ROW($A$2:$A$644)&lt;ROW()+7)*$C$2:$C$644),"")</f>
        <v/>
      </c>
      <c r="O218" s="0" t="str">
        <f aca="false">IF(N218="","",ROUNDUP(N218/75,0))</f>
        <v/>
      </c>
    </row>
    <row r="219" customFormat="false" ht="15" hidden="false" customHeight="false" outlineLevel="0" collapsed="false">
      <c r="A219" s="0" t="s">
        <v>249</v>
      </c>
      <c r="B219" s="0" t="s">
        <v>252</v>
      </c>
      <c r="C219" s="0" t="n">
        <v>30</v>
      </c>
      <c r="D219" s="0" t="n">
        <v>1</v>
      </c>
      <c r="E219" s="0" t="n">
        <v>45</v>
      </c>
      <c r="F219" s="0" t="n">
        <f aca="false">COUNTIF($A$2:A219,A219)</f>
        <v>3</v>
      </c>
      <c r="G219" s="0" t="n">
        <f aca="false">ROUNDUP(C219*1.236/75,0)</f>
        <v>1</v>
      </c>
      <c r="H219" s="0" t="n">
        <f aca="false">IF(MOD(F219-1,2)=0,SUMPRODUCT(($A$2:$A$644=A219)*(ROW($A$2:$A$644)&gt;=ROW())*(ROW($A$2:$A$644)&lt;ROW()+2)*$C$2:$C$644),"")</f>
        <v>60</v>
      </c>
      <c r="I219" s="0" t="n">
        <f aca="false">IF(H219="","",ROUNDUP(H219/75,0))</f>
        <v>1</v>
      </c>
      <c r="J219" s="0" t="str">
        <f aca="false">IF(MOD(F219-1,3)=0,SUMPRODUCT(($A$2:$A$644=A219)*(ROW($A$2:$A$644)&gt;=ROW())*(ROW($A$2:$A$644)&lt;ROW()+3)*$C$2:$C$644),"")</f>
        <v/>
      </c>
      <c r="K219" s="0" t="str">
        <f aca="false">IF(J219="","",ROUNDUP(J219/75,0))</f>
        <v/>
      </c>
      <c r="L219" s="0" t="str">
        <f aca="false">IF(MOD(F219-1,5)=0,SUMPRODUCT(($A$2:$A$644=A219)*(ROW($A$2:$A$644)&gt;=ROW())*(ROW($A$2:$A$644)&lt;ROW()+5)*$C$2:$C$644),"")</f>
        <v/>
      </c>
      <c r="M219" s="0" t="str">
        <f aca="false">IF(L219="","",ROUNDUP(L219/75,0))</f>
        <v/>
      </c>
      <c r="N219" s="0" t="str">
        <f aca="false">IF(MOD(F219-1,7)=0,SUMPRODUCT(($A$2:$A$644=A219)*(ROW($A$2:$A$644)&gt;=ROW())*(ROW($A$2:$A$644)&lt;ROW()+7)*$C$2:$C$644),"")</f>
        <v/>
      </c>
      <c r="O219" s="0" t="str">
        <f aca="false">IF(N219="","",ROUNDUP(N219/75,0))</f>
        <v/>
      </c>
    </row>
    <row r="220" customFormat="false" ht="15" hidden="false" customHeight="false" outlineLevel="0" collapsed="false">
      <c r="A220" s="0" t="s">
        <v>249</v>
      </c>
      <c r="B220" s="0" t="s">
        <v>253</v>
      </c>
      <c r="C220" s="0" t="n">
        <v>30</v>
      </c>
      <c r="D220" s="0" t="n">
        <v>1</v>
      </c>
      <c r="E220" s="0" t="n">
        <v>45</v>
      </c>
      <c r="F220" s="0" t="n">
        <f aca="false">COUNTIF($A$2:A220,A220)</f>
        <v>4</v>
      </c>
      <c r="G220" s="0" t="n">
        <f aca="false">ROUNDUP(C220*1.236/75,0)</f>
        <v>1</v>
      </c>
      <c r="H220" s="0" t="str">
        <f aca="false">IF(MOD(F220-1,2)=0,SUMPRODUCT(($A$2:$A$644=A220)*(ROW($A$2:$A$644)&gt;=ROW())*(ROW($A$2:$A$644)&lt;ROW()+2)*$C$2:$C$644),"")</f>
        <v/>
      </c>
      <c r="I220" s="0" t="str">
        <f aca="false">IF(H220="","",ROUNDUP(H220/75,0))</f>
        <v/>
      </c>
      <c r="J220" s="0" t="n">
        <f aca="false">IF(MOD(F220-1,3)=0,SUMPRODUCT(($A$2:$A$644=A220)*(ROW($A$2:$A$644)&gt;=ROW())*(ROW($A$2:$A$644)&lt;ROW()+3)*$C$2:$C$644),"")</f>
        <v>258</v>
      </c>
      <c r="K220" s="0" t="n">
        <f aca="false">IF(J220="","",ROUNDUP(J220/75,0))</f>
        <v>4</v>
      </c>
      <c r="L220" s="0" t="str">
        <f aca="false">IF(MOD(F220-1,5)=0,SUMPRODUCT(($A$2:$A$644=A220)*(ROW($A$2:$A$644)&gt;=ROW())*(ROW($A$2:$A$644)&lt;ROW()+5)*$C$2:$C$644),"")</f>
        <v/>
      </c>
      <c r="M220" s="0" t="str">
        <f aca="false">IF(L220="","",ROUNDUP(L220/75,0))</f>
        <v/>
      </c>
      <c r="N220" s="0" t="str">
        <f aca="false">IF(MOD(F220-1,7)=0,SUMPRODUCT(($A$2:$A$644=A220)*(ROW($A$2:$A$644)&gt;=ROW())*(ROW($A$2:$A$644)&lt;ROW()+7)*$C$2:$C$644),"")</f>
        <v/>
      </c>
      <c r="O220" s="0" t="str">
        <f aca="false">IF(N220="","",ROUNDUP(N220/75,0))</f>
        <v/>
      </c>
    </row>
    <row r="221" customFormat="false" ht="15" hidden="false" customHeight="false" outlineLevel="0" collapsed="false">
      <c r="A221" s="0" t="s">
        <v>249</v>
      </c>
      <c r="B221" s="0" t="s">
        <v>254</v>
      </c>
      <c r="C221" s="0" t="n">
        <v>120</v>
      </c>
      <c r="D221" s="0" t="n">
        <v>2</v>
      </c>
      <c r="E221" s="0" t="n">
        <v>30</v>
      </c>
      <c r="F221" s="0" t="n">
        <f aca="false">COUNTIF($A$2:A221,A221)</f>
        <v>5</v>
      </c>
      <c r="G221" s="0" t="n">
        <f aca="false">ROUNDUP(C221*1.236/75,0)</f>
        <v>2</v>
      </c>
      <c r="H221" s="0" t="n">
        <f aca="false">IF(MOD(F221-1,2)=0,SUMPRODUCT(($A$2:$A$644=A221)*(ROW($A$2:$A$644)&gt;=ROW())*(ROW($A$2:$A$644)&lt;ROW()+2)*$C$2:$C$644),"")</f>
        <v>228</v>
      </c>
      <c r="I221" s="0" t="n">
        <f aca="false">IF(H221="","",ROUNDUP(H221/75,0))</f>
        <v>4</v>
      </c>
      <c r="J221" s="0" t="str">
        <f aca="false">IF(MOD(F221-1,3)=0,SUMPRODUCT(($A$2:$A$644=A221)*(ROW($A$2:$A$644)&gt;=ROW())*(ROW($A$2:$A$644)&lt;ROW()+3)*$C$2:$C$644),"")</f>
        <v/>
      </c>
      <c r="K221" s="0" t="str">
        <f aca="false">IF(J221="","",ROUNDUP(J221/75,0))</f>
        <v/>
      </c>
      <c r="L221" s="0" t="str">
        <f aca="false">IF(MOD(F221-1,5)=0,SUMPRODUCT(($A$2:$A$644=A221)*(ROW($A$2:$A$644)&gt;=ROW())*(ROW($A$2:$A$644)&lt;ROW()+5)*$C$2:$C$644),"")</f>
        <v/>
      </c>
      <c r="M221" s="0" t="str">
        <f aca="false">IF(L221="","",ROUNDUP(L221/75,0))</f>
        <v/>
      </c>
      <c r="N221" s="0" t="str">
        <f aca="false">IF(MOD(F221-1,7)=0,SUMPRODUCT(($A$2:$A$644=A221)*(ROW($A$2:$A$644)&gt;=ROW())*(ROW($A$2:$A$644)&lt;ROW()+7)*$C$2:$C$644),"")</f>
        <v/>
      </c>
      <c r="O221" s="0" t="str">
        <f aca="false">IF(N221="","",ROUNDUP(N221/75,0))</f>
        <v/>
      </c>
    </row>
    <row r="222" customFormat="false" ht="15" hidden="false" customHeight="false" outlineLevel="0" collapsed="false">
      <c r="A222" s="0" t="s">
        <v>249</v>
      </c>
      <c r="B222" s="0" t="s">
        <v>255</v>
      </c>
      <c r="C222" s="0" t="n">
        <v>108</v>
      </c>
      <c r="D222" s="0" t="n">
        <v>2</v>
      </c>
      <c r="E222" s="0" t="n">
        <v>42</v>
      </c>
      <c r="F222" s="0" t="n">
        <f aca="false">COUNTIF($A$2:A222,A222)</f>
        <v>6</v>
      </c>
      <c r="G222" s="0" t="n">
        <f aca="false">ROUNDUP(C222*1.236/75,0)</f>
        <v>2</v>
      </c>
      <c r="H222" s="0" t="str">
        <f aca="false">IF(MOD(F222-1,2)=0,SUMPRODUCT(($A$2:$A$644=A222)*(ROW($A$2:$A$644)&gt;=ROW())*(ROW($A$2:$A$644)&lt;ROW()+2)*$C$2:$C$644),"")</f>
        <v/>
      </c>
      <c r="I222" s="0" t="str">
        <f aca="false">IF(H222="","",ROUNDUP(H222/75,0))</f>
        <v/>
      </c>
      <c r="J222" s="0" t="str">
        <f aca="false">IF(MOD(F222-1,3)=0,SUMPRODUCT(($A$2:$A$644=A222)*(ROW($A$2:$A$644)&gt;=ROW())*(ROW($A$2:$A$644)&lt;ROW()+3)*$C$2:$C$644),"")</f>
        <v/>
      </c>
      <c r="K222" s="0" t="str">
        <f aca="false">IF(J222="","",ROUNDUP(J222/75,0))</f>
        <v/>
      </c>
      <c r="L222" s="0" t="n">
        <f aca="false">IF(MOD(F222-1,5)=0,SUMPRODUCT(($A$2:$A$644=A222)*(ROW($A$2:$A$644)&gt;=ROW())*(ROW($A$2:$A$644)&lt;ROW()+5)*$C$2:$C$644),"")</f>
        <v>342</v>
      </c>
      <c r="M222" s="0" t="n">
        <f aca="false">IF(L222="","",ROUNDUP(L222/75,0))</f>
        <v>5</v>
      </c>
      <c r="N222" s="0" t="str">
        <f aca="false">IF(MOD(F222-1,7)=0,SUMPRODUCT(($A$2:$A$644=A222)*(ROW($A$2:$A$644)&gt;=ROW())*(ROW($A$2:$A$644)&lt;ROW()+7)*$C$2:$C$644),"")</f>
        <v/>
      </c>
      <c r="O222" s="0" t="str">
        <f aca="false">IF(N222="","",ROUNDUP(N222/75,0))</f>
        <v/>
      </c>
    </row>
    <row r="223" customFormat="false" ht="15" hidden="false" customHeight="false" outlineLevel="0" collapsed="false">
      <c r="A223" s="0" t="s">
        <v>249</v>
      </c>
      <c r="B223" s="0" t="s">
        <v>256</v>
      </c>
      <c r="C223" s="0" t="n">
        <v>96</v>
      </c>
      <c r="D223" s="0" t="n">
        <v>2</v>
      </c>
      <c r="E223" s="0" t="n">
        <v>54</v>
      </c>
      <c r="F223" s="0" t="n">
        <f aca="false">COUNTIF($A$2:A223,A223)</f>
        <v>7</v>
      </c>
      <c r="G223" s="0" t="n">
        <f aca="false">ROUNDUP(C223*1.236/75,0)</f>
        <v>2</v>
      </c>
      <c r="H223" s="0" t="n">
        <f aca="false">IF(MOD(F223-1,2)=0,SUMPRODUCT(($A$2:$A$644=A223)*(ROW($A$2:$A$644)&gt;=ROW())*(ROW($A$2:$A$644)&lt;ROW()+2)*$C$2:$C$644),"")</f>
        <v>108</v>
      </c>
      <c r="I223" s="0" t="n">
        <f aca="false">IF(H223="","",ROUNDUP(H223/75,0))</f>
        <v>2</v>
      </c>
      <c r="J223" s="0" t="n">
        <f aca="false">IF(MOD(F223-1,3)=0,SUMPRODUCT(($A$2:$A$644=A223)*(ROW($A$2:$A$644)&gt;=ROW())*(ROW($A$2:$A$644)&lt;ROW()+3)*$C$2:$C$644),"")</f>
        <v>192</v>
      </c>
      <c r="K223" s="0" t="n">
        <f aca="false">IF(J223="","",ROUNDUP(J223/75,0))</f>
        <v>3</v>
      </c>
      <c r="L223" s="0" t="str">
        <f aca="false">IF(MOD(F223-1,5)=0,SUMPRODUCT(($A$2:$A$644=A223)*(ROW($A$2:$A$644)&gt;=ROW())*(ROW($A$2:$A$644)&lt;ROW()+5)*$C$2:$C$644),"")</f>
        <v/>
      </c>
      <c r="M223" s="0" t="str">
        <f aca="false">IF(L223="","",ROUNDUP(L223/75,0))</f>
        <v/>
      </c>
      <c r="N223" s="0" t="str">
        <f aca="false">IF(MOD(F223-1,7)=0,SUMPRODUCT(($A$2:$A$644=A223)*(ROW($A$2:$A$644)&gt;=ROW())*(ROW($A$2:$A$644)&lt;ROW()+7)*$C$2:$C$644),"")</f>
        <v/>
      </c>
      <c r="O223" s="0" t="str">
        <f aca="false">IF(N223="","",ROUNDUP(N223/75,0))</f>
        <v/>
      </c>
    </row>
    <row r="224" customFormat="false" ht="15" hidden="false" customHeight="false" outlineLevel="0" collapsed="false">
      <c r="A224" s="0" t="s">
        <v>249</v>
      </c>
      <c r="B224" s="0" t="s">
        <v>257</v>
      </c>
      <c r="C224" s="0" t="n">
        <v>12</v>
      </c>
      <c r="D224" s="0" t="n">
        <v>1</v>
      </c>
      <c r="E224" s="0" t="n">
        <v>63</v>
      </c>
      <c r="F224" s="0" t="n">
        <f aca="false">COUNTIF($A$2:A224,A224)</f>
        <v>8</v>
      </c>
      <c r="G224" s="0" t="n">
        <f aca="false">ROUNDUP(C224*1.236/75,0)</f>
        <v>1</v>
      </c>
      <c r="H224" s="0" t="str">
        <f aca="false">IF(MOD(F224-1,2)=0,SUMPRODUCT(($A$2:$A$644=A224)*(ROW($A$2:$A$644)&gt;=ROW())*(ROW($A$2:$A$644)&lt;ROW()+2)*$C$2:$C$644),"")</f>
        <v/>
      </c>
      <c r="I224" s="0" t="str">
        <f aca="false">IF(H224="","",ROUNDUP(H224/75,0))</f>
        <v/>
      </c>
      <c r="J224" s="0" t="str">
        <f aca="false">IF(MOD(F224-1,3)=0,SUMPRODUCT(($A$2:$A$644=A224)*(ROW($A$2:$A$644)&gt;=ROW())*(ROW($A$2:$A$644)&lt;ROW()+3)*$C$2:$C$644),"")</f>
        <v/>
      </c>
      <c r="K224" s="0" t="str">
        <f aca="false">IF(J224="","",ROUNDUP(J224/75,0))</f>
        <v/>
      </c>
      <c r="L224" s="0" t="str">
        <f aca="false">IF(MOD(F224-1,5)=0,SUMPRODUCT(($A$2:$A$644=A224)*(ROW($A$2:$A$644)&gt;=ROW())*(ROW($A$2:$A$644)&lt;ROW()+5)*$C$2:$C$644),"")</f>
        <v/>
      </c>
      <c r="M224" s="0" t="str">
        <f aca="false">IF(L224="","",ROUNDUP(L224/75,0))</f>
        <v/>
      </c>
      <c r="N224" s="0" t="n">
        <f aca="false">IF(MOD(F224-1,7)=0,SUMPRODUCT(($A$2:$A$644=A224)*(ROW($A$2:$A$644)&gt;=ROW())*(ROW($A$2:$A$644)&lt;ROW()+7)*$C$2:$C$644),"")</f>
        <v>300</v>
      </c>
      <c r="O224" s="0" t="n">
        <f aca="false">IF(N224="","",ROUNDUP(N224/75,0))</f>
        <v>4</v>
      </c>
    </row>
    <row r="225" customFormat="false" ht="15" hidden="false" customHeight="false" outlineLevel="0" collapsed="false">
      <c r="A225" s="0" t="s">
        <v>249</v>
      </c>
      <c r="B225" s="0" t="s">
        <v>258</v>
      </c>
      <c r="C225" s="0" t="n">
        <v>84</v>
      </c>
      <c r="D225" s="0" t="n">
        <v>2</v>
      </c>
      <c r="E225" s="0" t="n">
        <v>66</v>
      </c>
      <c r="F225" s="0" t="n">
        <f aca="false">COUNTIF($A$2:A225,A225)</f>
        <v>9</v>
      </c>
      <c r="G225" s="0" t="n">
        <f aca="false">ROUNDUP(C225*1.236/75,0)</f>
        <v>2</v>
      </c>
      <c r="H225" s="0" t="n">
        <f aca="false">IF(MOD(F225-1,2)=0,SUMPRODUCT(($A$2:$A$644=A225)*(ROW($A$2:$A$644)&gt;=ROW())*(ROW($A$2:$A$644)&lt;ROW()+2)*$C$2:$C$644),"")</f>
        <v>126</v>
      </c>
      <c r="I225" s="0" t="n">
        <f aca="false">IF(H225="","",ROUNDUP(H225/75,0))</f>
        <v>2</v>
      </c>
      <c r="J225" s="0" t="str">
        <f aca="false">IF(MOD(F225-1,3)=0,SUMPRODUCT(($A$2:$A$644=A225)*(ROW($A$2:$A$644)&gt;=ROW())*(ROW($A$2:$A$644)&lt;ROW()+3)*$C$2:$C$644),"")</f>
        <v/>
      </c>
      <c r="K225" s="0" t="str">
        <f aca="false">IF(J225="","",ROUNDUP(J225/75,0))</f>
        <v/>
      </c>
      <c r="L225" s="0" t="str">
        <f aca="false">IF(MOD(F225-1,5)=0,SUMPRODUCT(($A$2:$A$644=A225)*(ROW($A$2:$A$644)&gt;=ROW())*(ROW($A$2:$A$644)&lt;ROW()+5)*$C$2:$C$644),"")</f>
        <v/>
      </c>
      <c r="M225" s="0" t="str">
        <f aca="false">IF(L225="","",ROUNDUP(L225/75,0))</f>
        <v/>
      </c>
      <c r="N225" s="0" t="str">
        <f aca="false">IF(MOD(F225-1,7)=0,SUMPRODUCT(($A$2:$A$644=A225)*(ROW($A$2:$A$644)&gt;=ROW())*(ROW($A$2:$A$644)&lt;ROW()+7)*$C$2:$C$644),"")</f>
        <v/>
      </c>
      <c r="O225" s="0" t="str">
        <f aca="false">IF(N225="","",ROUNDUP(N225/75,0))</f>
        <v/>
      </c>
    </row>
    <row r="226" customFormat="false" ht="15" hidden="false" customHeight="false" outlineLevel="0" collapsed="false">
      <c r="A226" s="0" t="s">
        <v>249</v>
      </c>
      <c r="B226" s="0" t="s">
        <v>259</v>
      </c>
      <c r="C226" s="0" t="n">
        <v>42</v>
      </c>
      <c r="D226" s="0" t="n">
        <v>1</v>
      </c>
      <c r="E226" s="0" t="n">
        <v>33</v>
      </c>
      <c r="F226" s="0" t="n">
        <f aca="false">COUNTIF($A$2:A226,A226)</f>
        <v>10</v>
      </c>
      <c r="G226" s="0" t="n">
        <f aca="false">ROUNDUP(C226*1.236/75,0)</f>
        <v>1</v>
      </c>
      <c r="H226" s="0" t="str">
        <f aca="false">IF(MOD(F226-1,2)=0,SUMPRODUCT(($A$2:$A$644=A226)*(ROW($A$2:$A$644)&gt;=ROW())*(ROW($A$2:$A$644)&lt;ROW()+2)*$C$2:$C$644),"")</f>
        <v/>
      </c>
      <c r="I226" s="0" t="str">
        <f aca="false">IF(H226="","",ROUNDUP(H226/75,0))</f>
        <v/>
      </c>
      <c r="J226" s="0" t="n">
        <f aca="false">IF(MOD(F226-1,3)=0,SUMPRODUCT(($A$2:$A$644=A226)*(ROW($A$2:$A$644)&gt;=ROW())*(ROW($A$2:$A$644)&lt;ROW()+3)*$C$2:$C$644),"")</f>
        <v>120</v>
      </c>
      <c r="K226" s="0" t="n">
        <f aca="false">IF(J226="","",ROUNDUP(J226/75,0))</f>
        <v>2</v>
      </c>
      <c r="L226" s="0" t="str">
        <f aca="false">IF(MOD(F226-1,5)=0,SUMPRODUCT(($A$2:$A$644=A226)*(ROW($A$2:$A$644)&gt;=ROW())*(ROW($A$2:$A$644)&lt;ROW()+5)*$C$2:$C$644),"")</f>
        <v/>
      </c>
      <c r="M226" s="0" t="str">
        <f aca="false">IF(L226="","",ROUNDUP(L226/75,0))</f>
        <v/>
      </c>
      <c r="N226" s="0" t="str">
        <f aca="false">IF(MOD(F226-1,7)=0,SUMPRODUCT(($A$2:$A$644=A226)*(ROW($A$2:$A$644)&gt;=ROW())*(ROW($A$2:$A$644)&lt;ROW()+7)*$C$2:$C$644),"")</f>
        <v/>
      </c>
      <c r="O226" s="0" t="str">
        <f aca="false">IF(N226="","",ROUNDUP(N226/75,0))</f>
        <v/>
      </c>
    </row>
    <row r="227" customFormat="false" ht="15" hidden="false" customHeight="false" outlineLevel="0" collapsed="false">
      <c r="A227" s="0" t="s">
        <v>249</v>
      </c>
      <c r="B227" s="0" t="s">
        <v>260</v>
      </c>
      <c r="C227" s="0" t="n">
        <v>30</v>
      </c>
      <c r="D227" s="0" t="n">
        <v>1</v>
      </c>
      <c r="E227" s="0" t="n">
        <v>45</v>
      </c>
      <c r="F227" s="0" t="n">
        <f aca="false">COUNTIF($A$2:A227,A227)</f>
        <v>11</v>
      </c>
      <c r="G227" s="0" t="n">
        <f aca="false">ROUNDUP(C227*1.236/75,0)</f>
        <v>1</v>
      </c>
      <c r="H227" s="0" t="n">
        <f aca="false">IF(MOD(F227-1,2)=0,SUMPRODUCT(($A$2:$A$644=A227)*(ROW($A$2:$A$644)&gt;=ROW())*(ROW($A$2:$A$644)&lt;ROW()+2)*$C$2:$C$644),"")</f>
        <v>78</v>
      </c>
      <c r="I227" s="0" t="n">
        <f aca="false">IF(H227="","",ROUNDUP(H227/75,0))</f>
        <v>2</v>
      </c>
      <c r="J227" s="0" t="str">
        <f aca="false">IF(MOD(F227-1,3)=0,SUMPRODUCT(($A$2:$A$644=A227)*(ROW($A$2:$A$644)&gt;=ROW())*(ROW($A$2:$A$644)&lt;ROW()+3)*$C$2:$C$644),"")</f>
        <v/>
      </c>
      <c r="K227" s="0" t="str">
        <f aca="false">IF(J227="","",ROUNDUP(J227/75,0))</f>
        <v/>
      </c>
      <c r="L227" s="0" t="n">
        <f aca="false">IF(MOD(F227-1,5)=0,SUMPRODUCT(($A$2:$A$644=A227)*(ROW($A$2:$A$644)&gt;=ROW())*(ROW($A$2:$A$644)&lt;ROW()+5)*$C$2:$C$644),"")</f>
        <v>192</v>
      </c>
      <c r="M227" s="0" t="n">
        <f aca="false">IF(L227="","",ROUNDUP(L227/75,0))</f>
        <v>3</v>
      </c>
      <c r="N227" s="0" t="str">
        <f aca="false">IF(MOD(F227-1,7)=0,SUMPRODUCT(($A$2:$A$644=A227)*(ROW($A$2:$A$644)&gt;=ROW())*(ROW($A$2:$A$644)&lt;ROW()+7)*$C$2:$C$644),"")</f>
        <v/>
      </c>
      <c r="O227" s="0" t="str">
        <f aca="false">IF(N227="","",ROUNDUP(N227/75,0))</f>
        <v/>
      </c>
    </row>
    <row r="228" customFormat="false" ht="15" hidden="false" customHeight="false" outlineLevel="0" collapsed="false">
      <c r="A228" s="0" t="s">
        <v>249</v>
      </c>
      <c r="B228" s="0" t="s">
        <v>261</v>
      </c>
      <c r="C228" s="0" t="n">
        <v>48</v>
      </c>
      <c r="D228" s="0" t="n">
        <v>1</v>
      </c>
      <c r="E228" s="0" t="n">
        <v>27</v>
      </c>
      <c r="F228" s="0" t="n">
        <f aca="false">COUNTIF($A$2:A228,A228)</f>
        <v>12</v>
      </c>
      <c r="G228" s="0" t="n">
        <f aca="false">ROUNDUP(C228*1.236/75,0)</f>
        <v>1</v>
      </c>
      <c r="H228" s="0" t="str">
        <f aca="false">IF(MOD(F228-1,2)=0,SUMPRODUCT(($A$2:$A$644=A228)*(ROW($A$2:$A$644)&gt;=ROW())*(ROW($A$2:$A$644)&lt;ROW()+2)*$C$2:$C$644),"")</f>
        <v/>
      </c>
      <c r="I228" s="0" t="str">
        <f aca="false">IF(H228="","",ROUNDUP(H228/75,0))</f>
        <v/>
      </c>
      <c r="J228" s="0" t="str">
        <f aca="false">IF(MOD(F228-1,3)=0,SUMPRODUCT(($A$2:$A$644=A228)*(ROW($A$2:$A$644)&gt;=ROW())*(ROW($A$2:$A$644)&lt;ROW()+3)*$C$2:$C$644),"")</f>
        <v/>
      </c>
      <c r="K228" s="0" t="str">
        <f aca="false">IF(J228="","",ROUNDUP(J228/75,0))</f>
        <v/>
      </c>
      <c r="L228" s="0" t="str">
        <f aca="false">IF(MOD(F228-1,5)=0,SUMPRODUCT(($A$2:$A$644=A228)*(ROW($A$2:$A$644)&gt;=ROW())*(ROW($A$2:$A$644)&lt;ROW()+5)*$C$2:$C$644),"")</f>
        <v/>
      </c>
      <c r="M228" s="0" t="str">
        <f aca="false">IF(L228="","",ROUNDUP(L228/75,0))</f>
        <v/>
      </c>
      <c r="N228" s="0" t="str">
        <f aca="false">IF(MOD(F228-1,7)=0,SUMPRODUCT(($A$2:$A$644=A228)*(ROW($A$2:$A$644)&gt;=ROW())*(ROW($A$2:$A$644)&lt;ROW()+7)*$C$2:$C$644),"")</f>
        <v/>
      </c>
      <c r="O228" s="0" t="str">
        <f aca="false">IF(N228="","",ROUNDUP(N228/75,0))</f>
        <v/>
      </c>
    </row>
    <row r="229" customFormat="false" ht="15" hidden="false" customHeight="false" outlineLevel="0" collapsed="false">
      <c r="A229" s="0" t="s">
        <v>249</v>
      </c>
      <c r="B229" s="0" t="s">
        <v>262</v>
      </c>
      <c r="C229" s="0" t="n">
        <v>60</v>
      </c>
      <c r="D229" s="0" t="n">
        <v>1</v>
      </c>
      <c r="E229" s="0" t="n">
        <v>15</v>
      </c>
      <c r="F229" s="0" t="n">
        <f aca="false">COUNTIF($A$2:A229,A229)</f>
        <v>13</v>
      </c>
      <c r="G229" s="0" t="n">
        <f aca="false">ROUNDUP(C229*1.236/75,0)</f>
        <v>1</v>
      </c>
      <c r="H229" s="0" t="n">
        <f aca="false">IF(MOD(F229-1,2)=0,SUMPRODUCT(($A$2:$A$644=A229)*(ROW($A$2:$A$644)&gt;=ROW())*(ROW($A$2:$A$644)&lt;ROW()+2)*$C$2:$C$644),"")</f>
        <v>84</v>
      </c>
      <c r="I229" s="0" t="n">
        <f aca="false">IF(H229="","",ROUNDUP(H229/75,0))</f>
        <v>2</v>
      </c>
      <c r="J229" s="0" t="n">
        <f aca="false">IF(MOD(F229-1,3)=0,SUMPRODUCT(($A$2:$A$644=A229)*(ROW($A$2:$A$644)&gt;=ROW())*(ROW($A$2:$A$644)&lt;ROW()+3)*$C$2:$C$644),"")</f>
        <v>114</v>
      </c>
      <c r="K229" s="0" t="n">
        <f aca="false">IF(J229="","",ROUNDUP(J229/75,0))</f>
        <v>2</v>
      </c>
      <c r="L229" s="0" t="str">
        <f aca="false">IF(MOD(F229-1,5)=0,SUMPRODUCT(($A$2:$A$644=A229)*(ROW($A$2:$A$644)&gt;=ROW())*(ROW($A$2:$A$644)&lt;ROW()+5)*$C$2:$C$644),"")</f>
        <v/>
      </c>
      <c r="M229" s="0" t="str">
        <f aca="false">IF(L229="","",ROUNDUP(L229/75,0))</f>
        <v/>
      </c>
      <c r="N229" s="0" t="str">
        <f aca="false">IF(MOD(F229-1,7)=0,SUMPRODUCT(($A$2:$A$644=A229)*(ROW($A$2:$A$644)&gt;=ROW())*(ROW($A$2:$A$644)&lt;ROW()+7)*$C$2:$C$644),"")</f>
        <v/>
      </c>
      <c r="O229" s="0" t="str">
        <f aca="false">IF(N229="","",ROUNDUP(N229/75,0))</f>
        <v/>
      </c>
    </row>
    <row r="230" customFormat="false" ht="15" hidden="false" customHeight="false" outlineLevel="0" collapsed="false">
      <c r="A230" s="0" t="s">
        <v>249</v>
      </c>
      <c r="B230" s="0" t="s">
        <v>263</v>
      </c>
      <c r="C230" s="0" t="n">
        <v>24</v>
      </c>
      <c r="D230" s="0" t="n">
        <v>1</v>
      </c>
      <c r="E230" s="0" t="n">
        <v>51</v>
      </c>
      <c r="F230" s="0" t="n">
        <f aca="false">COUNTIF($A$2:A230,A230)</f>
        <v>14</v>
      </c>
      <c r="G230" s="0" t="n">
        <f aca="false">ROUNDUP(C230*1.236/75,0)</f>
        <v>1</v>
      </c>
      <c r="H230" s="0" t="str">
        <f aca="false">IF(MOD(F230-1,2)=0,SUMPRODUCT(($A$2:$A$644=A230)*(ROW($A$2:$A$644)&gt;=ROW())*(ROW($A$2:$A$644)&lt;ROW()+2)*$C$2:$C$644),"")</f>
        <v/>
      </c>
      <c r="I230" s="0" t="str">
        <f aca="false">IF(H230="","",ROUNDUP(H230/75,0))</f>
        <v/>
      </c>
      <c r="J230" s="0" t="str">
        <f aca="false">IF(MOD(F230-1,3)=0,SUMPRODUCT(($A$2:$A$644=A230)*(ROW($A$2:$A$644)&gt;=ROW())*(ROW($A$2:$A$644)&lt;ROW()+3)*$C$2:$C$644),"")</f>
        <v/>
      </c>
      <c r="K230" s="0" t="str">
        <f aca="false">IF(J230="","",ROUNDUP(J230/75,0))</f>
        <v/>
      </c>
      <c r="L230" s="0" t="str">
        <f aca="false">IF(MOD(F230-1,5)=0,SUMPRODUCT(($A$2:$A$644=A230)*(ROW($A$2:$A$644)&gt;=ROW())*(ROW($A$2:$A$644)&lt;ROW()+5)*$C$2:$C$644),"")</f>
        <v/>
      </c>
      <c r="M230" s="0" t="str">
        <f aca="false">IF(L230="","",ROUNDUP(L230/75,0))</f>
        <v/>
      </c>
      <c r="N230" s="0" t="str">
        <f aca="false">IF(MOD(F230-1,7)=0,SUMPRODUCT(($A$2:$A$644=A230)*(ROW($A$2:$A$644)&gt;=ROW())*(ROW($A$2:$A$644)&lt;ROW()+7)*$C$2:$C$644),"")</f>
        <v/>
      </c>
      <c r="O230" s="0" t="str">
        <f aca="false">IF(N230="","",ROUNDUP(N230/75,0))</f>
        <v/>
      </c>
    </row>
    <row r="231" customFormat="false" ht="15" hidden="false" customHeight="false" outlineLevel="0" collapsed="false">
      <c r="A231" s="0" t="s">
        <v>249</v>
      </c>
      <c r="B231" s="0" t="s">
        <v>264</v>
      </c>
      <c r="C231" s="0" t="n">
        <v>30</v>
      </c>
      <c r="D231" s="0" t="n">
        <v>1</v>
      </c>
      <c r="E231" s="0" t="n">
        <v>45</v>
      </c>
      <c r="F231" s="0" t="n">
        <f aca="false">COUNTIF($A$2:A231,A231)</f>
        <v>15</v>
      </c>
      <c r="G231" s="0" t="n">
        <f aca="false">ROUNDUP(C231*1.236/75,0)</f>
        <v>1</v>
      </c>
      <c r="H231" s="0" t="n">
        <f aca="false">IF(MOD(F231-1,2)=0,SUMPRODUCT(($A$2:$A$644=A231)*(ROW($A$2:$A$644)&gt;=ROW())*(ROW($A$2:$A$644)&lt;ROW()+2)*$C$2:$C$644),"")</f>
        <v>102</v>
      </c>
      <c r="I231" s="0" t="n">
        <f aca="false">IF(H231="","",ROUNDUP(H231/75,0))</f>
        <v>2</v>
      </c>
      <c r="J231" s="0" t="str">
        <f aca="false">IF(MOD(F231-1,3)=0,SUMPRODUCT(($A$2:$A$644=A231)*(ROW($A$2:$A$644)&gt;=ROW())*(ROW($A$2:$A$644)&lt;ROW()+3)*$C$2:$C$644),"")</f>
        <v/>
      </c>
      <c r="K231" s="0" t="str">
        <f aca="false">IF(J231="","",ROUNDUP(J231/75,0))</f>
        <v/>
      </c>
      <c r="L231" s="0" t="str">
        <f aca="false">IF(MOD(F231-1,5)=0,SUMPRODUCT(($A$2:$A$644=A231)*(ROW($A$2:$A$644)&gt;=ROW())*(ROW($A$2:$A$644)&lt;ROW()+5)*$C$2:$C$644),"")</f>
        <v/>
      </c>
      <c r="M231" s="0" t="str">
        <f aca="false">IF(L231="","",ROUNDUP(L231/75,0))</f>
        <v/>
      </c>
      <c r="N231" s="0" t="n">
        <f aca="false">IF(MOD(F231-1,7)=0,SUMPRODUCT(($A$2:$A$644=A231)*(ROW($A$2:$A$644)&gt;=ROW())*(ROW($A$2:$A$644)&lt;ROW()+7)*$C$2:$C$644),"")</f>
        <v>510</v>
      </c>
      <c r="O231" s="0" t="n">
        <f aca="false">IF(N231="","",ROUNDUP(N231/75,0))</f>
        <v>7</v>
      </c>
    </row>
    <row r="232" customFormat="false" ht="15" hidden="false" customHeight="false" outlineLevel="0" collapsed="false">
      <c r="A232" s="0" t="s">
        <v>249</v>
      </c>
      <c r="B232" s="0" t="s">
        <v>265</v>
      </c>
      <c r="C232" s="0" t="n">
        <v>72</v>
      </c>
      <c r="D232" s="0" t="n">
        <v>1</v>
      </c>
      <c r="E232" s="0" t="n">
        <v>3</v>
      </c>
      <c r="F232" s="0" t="n">
        <f aca="false">COUNTIF($A$2:A232,A232)</f>
        <v>16</v>
      </c>
      <c r="G232" s="0" t="n">
        <f aca="false">ROUNDUP(C232*1.236/75,0)</f>
        <v>2</v>
      </c>
      <c r="H232" s="0" t="str">
        <f aca="false">IF(MOD(F232-1,2)=0,SUMPRODUCT(($A$2:$A$644=A232)*(ROW($A$2:$A$644)&gt;=ROW())*(ROW($A$2:$A$644)&lt;ROW()+2)*$C$2:$C$644),"")</f>
        <v/>
      </c>
      <c r="I232" s="0" t="str">
        <f aca="false">IF(H232="","",ROUNDUP(H232/75,0))</f>
        <v/>
      </c>
      <c r="J232" s="0" t="n">
        <f aca="false">IF(MOD(F232-1,3)=0,SUMPRODUCT(($A$2:$A$644=A232)*(ROW($A$2:$A$644)&gt;=ROW())*(ROW($A$2:$A$644)&lt;ROW()+3)*$C$2:$C$644),"")</f>
        <v>234</v>
      </c>
      <c r="K232" s="0" t="n">
        <f aca="false">IF(J232="","",ROUNDUP(J232/75,0))</f>
        <v>4</v>
      </c>
      <c r="L232" s="0" t="n">
        <f aca="false">IF(MOD(F232-1,5)=0,SUMPRODUCT(($A$2:$A$644=A232)*(ROW($A$2:$A$644)&gt;=ROW())*(ROW($A$2:$A$644)&lt;ROW()+5)*$C$2:$C$644),"")</f>
        <v>432</v>
      </c>
      <c r="M232" s="0" t="n">
        <f aca="false">IF(L232="","",ROUNDUP(L232/75,0))</f>
        <v>6</v>
      </c>
      <c r="N232" s="0" t="str">
        <f aca="false">IF(MOD(F232-1,7)=0,SUMPRODUCT(($A$2:$A$644=A232)*(ROW($A$2:$A$644)&gt;=ROW())*(ROW($A$2:$A$644)&lt;ROW()+7)*$C$2:$C$644),"")</f>
        <v/>
      </c>
      <c r="O232" s="0" t="str">
        <f aca="false">IF(N232="","",ROUNDUP(N232/75,0))</f>
        <v/>
      </c>
    </row>
    <row r="233" customFormat="false" ht="15" hidden="false" customHeight="false" outlineLevel="0" collapsed="false">
      <c r="A233" s="0" t="s">
        <v>249</v>
      </c>
      <c r="B233" s="0" t="s">
        <v>266</v>
      </c>
      <c r="C233" s="0" t="n">
        <v>72</v>
      </c>
      <c r="D233" s="0" t="n">
        <v>1</v>
      </c>
      <c r="E233" s="0" t="n">
        <v>3</v>
      </c>
      <c r="F233" s="0" t="n">
        <f aca="false">COUNTIF($A$2:A233,A233)</f>
        <v>17</v>
      </c>
      <c r="G233" s="0" t="n">
        <f aca="false">ROUNDUP(C233*1.236/75,0)</f>
        <v>2</v>
      </c>
      <c r="H233" s="0" t="n">
        <f aca="false">IF(MOD(F233-1,2)=0,SUMPRODUCT(($A$2:$A$644=A233)*(ROW($A$2:$A$644)&gt;=ROW())*(ROW($A$2:$A$644)&lt;ROW()+2)*$C$2:$C$644),"")</f>
        <v>162</v>
      </c>
      <c r="I233" s="0" t="n">
        <f aca="false">IF(H233="","",ROUNDUP(H233/75,0))</f>
        <v>3</v>
      </c>
      <c r="J233" s="0" t="str">
        <f aca="false">IF(MOD(F233-1,3)=0,SUMPRODUCT(($A$2:$A$644=A233)*(ROW($A$2:$A$644)&gt;=ROW())*(ROW($A$2:$A$644)&lt;ROW()+3)*$C$2:$C$644),"")</f>
        <v/>
      </c>
      <c r="K233" s="0" t="str">
        <f aca="false">IF(J233="","",ROUNDUP(J233/75,0))</f>
        <v/>
      </c>
      <c r="L233" s="0" t="str">
        <f aca="false">IF(MOD(F233-1,5)=0,SUMPRODUCT(($A$2:$A$644=A233)*(ROW($A$2:$A$644)&gt;=ROW())*(ROW($A$2:$A$644)&lt;ROW()+5)*$C$2:$C$644),"")</f>
        <v/>
      </c>
      <c r="M233" s="0" t="str">
        <f aca="false">IF(L233="","",ROUNDUP(L233/75,0))</f>
        <v/>
      </c>
      <c r="N233" s="0" t="str">
        <f aca="false">IF(MOD(F233-1,7)=0,SUMPRODUCT(($A$2:$A$644=A233)*(ROW($A$2:$A$644)&gt;=ROW())*(ROW($A$2:$A$644)&lt;ROW()+7)*$C$2:$C$644),"")</f>
        <v/>
      </c>
      <c r="O233" s="0" t="str">
        <f aca="false">IF(N233="","",ROUNDUP(N233/75,0))</f>
        <v/>
      </c>
    </row>
    <row r="234" customFormat="false" ht="15" hidden="false" customHeight="false" outlineLevel="0" collapsed="false">
      <c r="A234" s="0" t="s">
        <v>249</v>
      </c>
      <c r="B234" s="0" t="s">
        <v>267</v>
      </c>
      <c r="C234" s="0" t="n">
        <v>90</v>
      </c>
      <c r="D234" s="0" t="n">
        <v>2</v>
      </c>
      <c r="E234" s="0" t="n">
        <v>60</v>
      </c>
      <c r="F234" s="0" t="n">
        <f aca="false">COUNTIF($A$2:A234,A234)</f>
        <v>18</v>
      </c>
      <c r="G234" s="0" t="n">
        <f aca="false">ROUNDUP(C234*1.236/75,0)</f>
        <v>2</v>
      </c>
      <c r="H234" s="0" t="str">
        <f aca="false">IF(MOD(F234-1,2)=0,SUMPRODUCT(($A$2:$A$644=A234)*(ROW($A$2:$A$644)&gt;=ROW())*(ROW($A$2:$A$644)&lt;ROW()+2)*$C$2:$C$644),"")</f>
        <v/>
      </c>
      <c r="I234" s="0" t="str">
        <f aca="false">IF(H234="","",ROUNDUP(H234/75,0))</f>
        <v/>
      </c>
      <c r="J234" s="0" t="str">
        <f aca="false">IF(MOD(F234-1,3)=0,SUMPRODUCT(($A$2:$A$644=A234)*(ROW($A$2:$A$644)&gt;=ROW())*(ROW($A$2:$A$644)&lt;ROW()+3)*$C$2:$C$644),"")</f>
        <v/>
      </c>
      <c r="K234" s="0" t="str">
        <f aca="false">IF(J234="","",ROUNDUP(J234/75,0))</f>
        <v/>
      </c>
      <c r="L234" s="0" t="str">
        <f aca="false">IF(MOD(F234-1,5)=0,SUMPRODUCT(($A$2:$A$644=A234)*(ROW($A$2:$A$644)&gt;=ROW())*(ROW($A$2:$A$644)&lt;ROW()+5)*$C$2:$C$644),"")</f>
        <v/>
      </c>
      <c r="M234" s="0" t="str">
        <f aca="false">IF(L234="","",ROUNDUP(L234/75,0))</f>
        <v/>
      </c>
      <c r="N234" s="0" t="str">
        <f aca="false">IF(MOD(F234-1,7)=0,SUMPRODUCT(($A$2:$A$644=A234)*(ROW($A$2:$A$644)&gt;=ROW())*(ROW($A$2:$A$644)&lt;ROW()+7)*$C$2:$C$644),"")</f>
        <v/>
      </c>
      <c r="O234" s="0" t="str">
        <f aca="false">IF(N234="","",ROUNDUP(N234/75,0))</f>
        <v/>
      </c>
    </row>
    <row r="235" customFormat="false" ht="15" hidden="false" customHeight="false" outlineLevel="0" collapsed="false">
      <c r="A235" s="0" t="s">
        <v>249</v>
      </c>
      <c r="B235" s="0" t="s">
        <v>268</v>
      </c>
      <c r="C235" s="0" t="n">
        <v>114</v>
      </c>
      <c r="D235" s="0" t="n">
        <v>2</v>
      </c>
      <c r="E235" s="0" t="n">
        <v>36</v>
      </c>
      <c r="F235" s="0" t="n">
        <f aca="false">COUNTIF($A$2:A235,A235)</f>
        <v>19</v>
      </c>
      <c r="G235" s="0" t="n">
        <f aca="false">ROUNDUP(C235*1.236/75,0)</f>
        <v>2</v>
      </c>
      <c r="H235" s="0" t="n">
        <f aca="false">IF(MOD(F235-1,2)=0,SUMPRODUCT(($A$2:$A$644=A235)*(ROW($A$2:$A$644)&gt;=ROW())*(ROW($A$2:$A$644)&lt;ROW()+2)*$C$2:$C$644),"")</f>
        <v>198</v>
      </c>
      <c r="I235" s="0" t="n">
        <f aca="false">IF(H235="","",ROUNDUP(H235/75,0))</f>
        <v>3</v>
      </c>
      <c r="J235" s="0" t="n">
        <f aca="false">IF(MOD(F235-1,3)=0,SUMPRODUCT(($A$2:$A$644=A235)*(ROW($A$2:$A$644)&gt;=ROW())*(ROW($A$2:$A$644)&lt;ROW()+3)*$C$2:$C$644),"")</f>
        <v>246</v>
      </c>
      <c r="K235" s="0" t="n">
        <f aca="false">IF(J235="","",ROUNDUP(J235/75,0))</f>
        <v>4</v>
      </c>
      <c r="L235" s="0" t="str">
        <f aca="false">IF(MOD(F235-1,5)=0,SUMPRODUCT(($A$2:$A$644=A235)*(ROW($A$2:$A$644)&gt;=ROW())*(ROW($A$2:$A$644)&lt;ROW()+5)*$C$2:$C$644),"")</f>
        <v/>
      </c>
      <c r="M235" s="0" t="str">
        <f aca="false">IF(L235="","",ROUNDUP(L235/75,0))</f>
        <v/>
      </c>
      <c r="N235" s="0" t="str">
        <f aca="false">IF(MOD(F235-1,7)=0,SUMPRODUCT(($A$2:$A$644=A235)*(ROW($A$2:$A$644)&gt;=ROW())*(ROW($A$2:$A$644)&lt;ROW()+7)*$C$2:$C$644),"")</f>
        <v/>
      </c>
      <c r="O235" s="0" t="str">
        <f aca="false">IF(N235="","",ROUNDUP(N235/75,0))</f>
        <v/>
      </c>
    </row>
    <row r="236" customFormat="false" ht="15" hidden="false" customHeight="false" outlineLevel="0" collapsed="false">
      <c r="A236" s="0" t="s">
        <v>249</v>
      </c>
      <c r="B236" s="0" t="s">
        <v>269</v>
      </c>
      <c r="C236" s="0" t="n">
        <v>84</v>
      </c>
      <c r="D236" s="0" t="n">
        <v>2</v>
      </c>
      <c r="E236" s="0" t="n">
        <v>66</v>
      </c>
      <c r="F236" s="0" t="n">
        <f aca="false">COUNTIF($A$2:A236,A236)</f>
        <v>20</v>
      </c>
      <c r="G236" s="0" t="n">
        <f aca="false">ROUNDUP(C236*1.236/75,0)</f>
        <v>2</v>
      </c>
      <c r="H236" s="0" t="str">
        <f aca="false">IF(MOD(F236-1,2)=0,SUMPRODUCT(($A$2:$A$644=A236)*(ROW($A$2:$A$644)&gt;=ROW())*(ROW($A$2:$A$644)&lt;ROW()+2)*$C$2:$C$644),"")</f>
        <v/>
      </c>
      <c r="I236" s="0" t="str">
        <f aca="false">IF(H236="","",ROUNDUP(H236/75,0))</f>
        <v/>
      </c>
      <c r="J236" s="0" t="str">
        <f aca="false">IF(MOD(F236-1,3)=0,SUMPRODUCT(($A$2:$A$644=A236)*(ROW($A$2:$A$644)&gt;=ROW())*(ROW($A$2:$A$644)&lt;ROW()+3)*$C$2:$C$644),"")</f>
        <v/>
      </c>
      <c r="K236" s="0" t="str">
        <f aca="false">IF(J236="","",ROUNDUP(J236/75,0))</f>
        <v/>
      </c>
      <c r="L236" s="0" t="str">
        <f aca="false">IF(MOD(F236-1,5)=0,SUMPRODUCT(($A$2:$A$644=A236)*(ROW($A$2:$A$644)&gt;=ROW())*(ROW($A$2:$A$644)&lt;ROW()+5)*$C$2:$C$644),"")</f>
        <v/>
      </c>
      <c r="M236" s="0" t="str">
        <f aca="false">IF(L236="","",ROUNDUP(L236/75,0))</f>
        <v/>
      </c>
      <c r="N236" s="0" t="str">
        <f aca="false">IF(MOD(F236-1,7)=0,SUMPRODUCT(($A$2:$A$644=A236)*(ROW($A$2:$A$644)&gt;=ROW())*(ROW($A$2:$A$644)&lt;ROW()+7)*$C$2:$C$644),"")</f>
        <v/>
      </c>
      <c r="O236" s="0" t="str">
        <f aca="false">IF(N236="","",ROUNDUP(N236/75,0))</f>
        <v/>
      </c>
    </row>
    <row r="237" customFormat="false" ht="15" hidden="false" customHeight="false" outlineLevel="0" collapsed="false">
      <c r="A237" s="0" t="s">
        <v>249</v>
      </c>
      <c r="B237" s="0" t="s">
        <v>270</v>
      </c>
      <c r="C237" s="0" t="n">
        <v>48</v>
      </c>
      <c r="D237" s="0" t="n">
        <v>1</v>
      </c>
      <c r="E237" s="0" t="n">
        <v>27</v>
      </c>
      <c r="F237" s="0" t="n">
        <f aca="false">COUNTIF($A$2:A237,A237)</f>
        <v>21</v>
      </c>
      <c r="G237" s="0" t="n">
        <f aca="false">ROUNDUP(C237*1.236/75,0)</f>
        <v>1</v>
      </c>
      <c r="H237" s="0" t="n">
        <f aca="false">IF(MOD(F237-1,2)=0,SUMPRODUCT(($A$2:$A$644=A237)*(ROW($A$2:$A$644)&gt;=ROW())*(ROW($A$2:$A$644)&lt;ROW()+2)*$C$2:$C$644),"")</f>
        <v>72</v>
      </c>
      <c r="I237" s="0" t="n">
        <f aca="false">IF(H237="","",ROUNDUP(H237/75,0))</f>
        <v>1</v>
      </c>
      <c r="J237" s="0" t="str">
        <f aca="false">IF(MOD(F237-1,3)=0,SUMPRODUCT(($A$2:$A$644=A237)*(ROW($A$2:$A$644)&gt;=ROW())*(ROW($A$2:$A$644)&lt;ROW()+3)*$C$2:$C$644),"")</f>
        <v/>
      </c>
      <c r="K237" s="0" t="str">
        <f aca="false">IF(J237="","",ROUNDUP(J237/75,0))</f>
        <v/>
      </c>
      <c r="L237" s="0" t="n">
        <f aca="false">IF(MOD(F237-1,5)=0,SUMPRODUCT(($A$2:$A$644=A237)*(ROW($A$2:$A$644)&gt;=ROW())*(ROW($A$2:$A$644)&lt;ROW()+5)*$C$2:$C$644),"")</f>
        <v>276</v>
      </c>
      <c r="M237" s="0" t="n">
        <f aca="false">IF(L237="","",ROUNDUP(L237/75,0))</f>
        <v>4</v>
      </c>
      <c r="N237" s="0" t="str">
        <f aca="false">IF(MOD(F237-1,7)=0,SUMPRODUCT(($A$2:$A$644=A237)*(ROW($A$2:$A$644)&gt;=ROW())*(ROW($A$2:$A$644)&lt;ROW()+7)*$C$2:$C$644),"")</f>
        <v/>
      </c>
      <c r="O237" s="0" t="str">
        <f aca="false">IF(N237="","",ROUNDUP(N237/75,0))</f>
        <v/>
      </c>
    </row>
    <row r="238" customFormat="false" ht="15" hidden="false" customHeight="false" outlineLevel="0" collapsed="false">
      <c r="A238" s="0" t="s">
        <v>249</v>
      </c>
      <c r="B238" s="0" t="s">
        <v>271</v>
      </c>
      <c r="C238" s="0" t="n">
        <v>24</v>
      </c>
      <c r="D238" s="0" t="n">
        <v>1</v>
      </c>
      <c r="E238" s="0" t="n">
        <v>51</v>
      </c>
      <c r="F238" s="0" t="n">
        <f aca="false">COUNTIF($A$2:A238,A238)</f>
        <v>22</v>
      </c>
      <c r="G238" s="0" t="n">
        <f aca="false">ROUNDUP(C238*1.236/75,0)</f>
        <v>1</v>
      </c>
      <c r="H238" s="0" t="str">
        <f aca="false">IF(MOD(F238-1,2)=0,SUMPRODUCT(($A$2:$A$644=A238)*(ROW($A$2:$A$644)&gt;=ROW())*(ROW($A$2:$A$644)&lt;ROW()+2)*$C$2:$C$644),"")</f>
        <v/>
      </c>
      <c r="I238" s="0" t="str">
        <f aca="false">IF(H238="","",ROUNDUP(H238/75,0))</f>
        <v/>
      </c>
      <c r="J238" s="0" t="n">
        <f aca="false">IF(MOD(F238-1,3)=0,SUMPRODUCT(($A$2:$A$644=A238)*(ROW($A$2:$A$644)&gt;=ROW())*(ROW($A$2:$A$644)&lt;ROW()+3)*$C$2:$C$644),"")</f>
        <v>198</v>
      </c>
      <c r="K238" s="0" t="n">
        <f aca="false">IF(J238="","",ROUNDUP(J238/75,0))</f>
        <v>3</v>
      </c>
      <c r="L238" s="0" t="str">
        <f aca="false">IF(MOD(F238-1,5)=0,SUMPRODUCT(($A$2:$A$644=A238)*(ROW($A$2:$A$644)&gt;=ROW())*(ROW($A$2:$A$644)&lt;ROW()+5)*$C$2:$C$644),"")</f>
        <v/>
      </c>
      <c r="M238" s="0" t="str">
        <f aca="false">IF(L238="","",ROUNDUP(L238/75,0))</f>
        <v/>
      </c>
      <c r="N238" s="0" t="n">
        <f aca="false">IF(MOD(F238-1,7)=0,SUMPRODUCT(($A$2:$A$644=A238)*(ROW($A$2:$A$644)&gt;=ROW())*(ROW($A$2:$A$644)&lt;ROW()+7)*$C$2:$C$644),"")</f>
        <v>360</v>
      </c>
      <c r="O238" s="0" t="n">
        <f aca="false">IF(N238="","",ROUNDUP(N238/75,0))</f>
        <v>5</v>
      </c>
    </row>
    <row r="239" customFormat="false" ht="15" hidden="false" customHeight="false" outlineLevel="0" collapsed="false">
      <c r="A239" s="0" t="s">
        <v>249</v>
      </c>
      <c r="B239" s="0" t="s">
        <v>272</v>
      </c>
      <c r="C239" s="0" t="n">
        <v>78</v>
      </c>
      <c r="D239" s="0" t="n">
        <v>2</v>
      </c>
      <c r="E239" s="0" t="n">
        <v>72</v>
      </c>
      <c r="F239" s="0" t="n">
        <f aca="false">COUNTIF($A$2:A239,A239)</f>
        <v>23</v>
      </c>
      <c r="G239" s="0" t="n">
        <f aca="false">ROUNDUP(C239*1.236/75,0)</f>
        <v>2</v>
      </c>
      <c r="H239" s="0" t="n">
        <f aca="false">IF(MOD(F239-1,2)=0,SUMPRODUCT(($A$2:$A$644=A239)*(ROW($A$2:$A$644)&gt;=ROW())*(ROW($A$2:$A$644)&lt;ROW()+2)*$C$2:$C$644),"")</f>
        <v>174</v>
      </c>
      <c r="I239" s="0" t="n">
        <f aca="false">IF(H239="","",ROUNDUP(H239/75,0))</f>
        <v>3</v>
      </c>
      <c r="J239" s="0" t="str">
        <f aca="false">IF(MOD(F239-1,3)=0,SUMPRODUCT(($A$2:$A$644=A239)*(ROW($A$2:$A$644)&gt;=ROW())*(ROW($A$2:$A$644)&lt;ROW()+3)*$C$2:$C$644),"")</f>
        <v/>
      </c>
      <c r="K239" s="0" t="str">
        <f aca="false">IF(J239="","",ROUNDUP(J239/75,0))</f>
        <v/>
      </c>
      <c r="L239" s="0" t="str">
        <f aca="false">IF(MOD(F239-1,5)=0,SUMPRODUCT(($A$2:$A$644=A239)*(ROW($A$2:$A$644)&gt;=ROW())*(ROW($A$2:$A$644)&lt;ROW()+5)*$C$2:$C$644),"")</f>
        <v/>
      </c>
      <c r="M239" s="0" t="str">
        <f aca="false">IF(L239="","",ROUNDUP(L239/75,0))</f>
        <v/>
      </c>
      <c r="N239" s="0" t="str">
        <f aca="false">IF(MOD(F239-1,7)=0,SUMPRODUCT(($A$2:$A$644=A239)*(ROW($A$2:$A$644)&gt;=ROW())*(ROW($A$2:$A$644)&lt;ROW()+7)*$C$2:$C$644),"")</f>
        <v/>
      </c>
      <c r="O239" s="0" t="str">
        <f aca="false">IF(N239="","",ROUNDUP(N239/75,0))</f>
        <v/>
      </c>
    </row>
    <row r="240" customFormat="false" ht="15" hidden="false" customHeight="false" outlineLevel="0" collapsed="false">
      <c r="A240" s="0" t="s">
        <v>249</v>
      </c>
      <c r="B240" s="0" t="s">
        <v>273</v>
      </c>
      <c r="C240" s="0" t="n">
        <v>96</v>
      </c>
      <c r="D240" s="0" t="n">
        <v>2</v>
      </c>
      <c r="E240" s="0" t="n">
        <v>54</v>
      </c>
      <c r="F240" s="0" t="n">
        <f aca="false">COUNTIF($A$2:A240,A240)</f>
        <v>24</v>
      </c>
      <c r="G240" s="0" t="n">
        <f aca="false">ROUNDUP(C240*1.236/75,0)</f>
        <v>2</v>
      </c>
      <c r="H240" s="0" t="str">
        <f aca="false">IF(MOD(F240-1,2)=0,SUMPRODUCT(($A$2:$A$644=A240)*(ROW($A$2:$A$644)&gt;=ROW())*(ROW($A$2:$A$644)&lt;ROW()+2)*$C$2:$C$644),"")</f>
        <v/>
      </c>
      <c r="I240" s="0" t="str">
        <f aca="false">IF(H240="","",ROUNDUP(H240/75,0))</f>
        <v/>
      </c>
      <c r="J240" s="0" t="str">
        <f aca="false">IF(MOD(F240-1,3)=0,SUMPRODUCT(($A$2:$A$644=A240)*(ROW($A$2:$A$644)&gt;=ROW())*(ROW($A$2:$A$644)&lt;ROW()+3)*$C$2:$C$644),"")</f>
        <v/>
      </c>
      <c r="K240" s="0" t="str">
        <f aca="false">IF(J240="","",ROUNDUP(J240/75,0))</f>
        <v/>
      </c>
      <c r="L240" s="0" t="str">
        <f aca="false">IF(MOD(F240-1,5)=0,SUMPRODUCT(($A$2:$A$644=A240)*(ROW($A$2:$A$644)&gt;=ROW())*(ROW($A$2:$A$644)&lt;ROW()+5)*$C$2:$C$644),"")</f>
        <v/>
      </c>
      <c r="M240" s="0" t="str">
        <f aca="false">IF(L240="","",ROUNDUP(L240/75,0))</f>
        <v/>
      </c>
      <c r="N240" s="0" t="str">
        <f aca="false">IF(MOD(F240-1,7)=0,SUMPRODUCT(($A$2:$A$644=A240)*(ROW($A$2:$A$644)&gt;=ROW())*(ROW($A$2:$A$644)&lt;ROW()+7)*$C$2:$C$644),"")</f>
        <v/>
      </c>
      <c r="O240" s="0" t="str">
        <f aca="false">IF(N240="","",ROUNDUP(N240/75,0))</f>
        <v/>
      </c>
    </row>
    <row r="241" customFormat="false" ht="15" hidden="false" customHeight="false" outlineLevel="0" collapsed="false">
      <c r="A241" s="0" t="s">
        <v>249</v>
      </c>
      <c r="B241" s="0" t="s">
        <v>274</v>
      </c>
      <c r="C241" s="0" t="n">
        <v>30</v>
      </c>
      <c r="D241" s="0" t="n">
        <v>1</v>
      </c>
      <c r="E241" s="0" t="n">
        <v>45</v>
      </c>
      <c r="F241" s="0" t="n">
        <f aca="false">COUNTIF($A$2:A241,A241)</f>
        <v>25</v>
      </c>
      <c r="G241" s="0" t="n">
        <f aca="false">ROUNDUP(C241*1.236/75,0)</f>
        <v>1</v>
      </c>
      <c r="H241" s="0" t="n">
        <f aca="false">IF(MOD(F241-1,2)=0,SUMPRODUCT(($A$2:$A$644=A241)*(ROW($A$2:$A$644)&gt;=ROW())*(ROW($A$2:$A$644)&lt;ROW()+2)*$C$2:$C$644),"")</f>
        <v>78</v>
      </c>
      <c r="I241" s="0" t="n">
        <f aca="false">IF(H241="","",ROUNDUP(H241/75,0))</f>
        <v>2</v>
      </c>
      <c r="J241" s="0" t="n">
        <f aca="false">IF(MOD(F241-1,3)=0,SUMPRODUCT(($A$2:$A$644=A241)*(ROW($A$2:$A$644)&gt;=ROW())*(ROW($A$2:$A$644)&lt;ROW()+3)*$C$2:$C$644),"")</f>
        <v>114</v>
      </c>
      <c r="K241" s="0" t="n">
        <f aca="false">IF(J241="","",ROUNDUP(J241/75,0))</f>
        <v>2</v>
      </c>
      <c r="L241" s="0" t="str">
        <f aca="false">IF(MOD(F241-1,5)=0,SUMPRODUCT(($A$2:$A$644=A241)*(ROW($A$2:$A$644)&gt;=ROW())*(ROW($A$2:$A$644)&lt;ROW()+5)*$C$2:$C$644),"")</f>
        <v/>
      </c>
      <c r="M241" s="0" t="str">
        <f aca="false">IF(L241="","",ROUNDUP(L241/75,0))</f>
        <v/>
      </c>
      <c r="N241" s="0" t="str">
        <f aca="false">IF(MOD(F241-1,7)=0,SUMPRODUCT(($A$2:$A$644=A241)*(ROW($A$2:$A$644)&gt;=ROW())*(ROW($A$2:$A$644)&lt;ROW()+7)*$C$2:$C$644),"")</f>
        <v/>
      </c>
      <c r="O241" s="0" t="str">
        <f aca="false">IF(N241="","",ROUNDUP(N241/75,0))</f>
        <v/>
      </c>
    </row>
    <row r="242" customFormat="false" ht="15" hidden="false" customHeight="false" outlineLevel="0" collapsed="false">
      <c r="A242" s="0" t="s">
        <v>249</v>
      </c>
      <c r="B242" s="0" t="s">
        <v>275</v>
      </c>
      <c r="C242" s="0" t="n">
        <v>48</v>
      </c>
      <c r="D242" s="0" t="n">
        <v>1</v>
      </c>
      <c r="E242" s="0" t="n">
        <v>27</v>
      </c>
      <c r="F242" s="0" t="n">
        <f aca="false">COUNTIF($A$2:A242,A242)</f>
        <v>26</v>
      </c>
      <c r="G242" s="0" t="n">
        <f aca="false">ROUNDUP(C242*1.236/75,0)</f>
        <v>1</v>
      </c>
      <c r="H242" s="0" t="str">
        <f aca="false">IF(MOD(F242-1,2)=0,SUMPRODUCT(($A$2:$A$644=A242)*(ROW($A$2:$A$644)&gt;=ROW())*(ROW($A$2:$A$644)&lt;ROW()+2)*$C$2:$C$644),"")</f>
        <v/>
      </c>
      <c r="I242" s="0" t="str">
        <f aca="false">IF(H242="","",ROUNDUP(H242/75,0))</f>
        <v/>
      </c>
      <c r="J242" s="0" t="str">
        <f aca="false">IF(MOD(F242-1,3)=0,SUMPRODUCT(($A$2:$A$644=A242)*(ROW($A$2:$A$644)&gt;=ROW())*(ROW($A$2:$A$644)&lt;ROW()+3)*$C$2:$C$644),"")</f>
        <v/>
      </c>
      <c r="K242" s="0" t="str">
        <f aca="false">IF(J242="","",ROUNDUP(J242/75,0))</f>
        <v/>
      </c>
      <c r="L242" s="0" t="n">
        <f aca="false">IF(MOD(F242-1,5)=0,SUMPRODUCT(($A$2:$A$644=A242)*(ROW($A$2:$A$644)&gt;=ROW())*(ROW($A$2:$A$644)&lt;ROW()+5)*$C$2:$C$644),"")</f>
        <v>312</v>
      </c>
      <c r="M242" s="0" t="n">
        <f aca="false">IF(L242="","",ROUNDUP(L242/75,0))</f>
        <v>5</v>
      </c>
      <c r="N242" s="0" t="str">
        <f aca="false">IF(MOD(F242-1,7)=0,SUMPRODUCT(($A$2:$A$644=A242)*(ROW($A$2:$A$644)&gt;=ROW())*(ROW($A$2:$A$644)&lt;ROW()+7)*$C$2:$C$644),"")</f>
        <v/>
      </c>
      <c r="O242" s="0" t="str">
        <f aca="false">IF(N242="","",ROUNDUP(N242/75,0))</f>
        <v/>
      </c>
    </row>
    <row r="243" customFormat="false" ht="15" hidden="false" customHeight="false" outlineLevel="0" collapsed="false">
      <c r="A243" s="0" t="s">
        <v>249</v>
      </c>
      <c r="B243" s="0" t="s">
        <v>276</v>
      </c>
      <c r="C243" s="0" t="n">
        <v>36</v>
      </c>
      <c r="D243" s="0" t="n">
        <v>1</v>
      </c>
      <c r="E243" s="0" t="n">
        <v>39</v>
      </c>
      <c r="F243" s="0" t="n">
        <f aca="false">COUNTIF($A$2:A243,A243)</f>
        <v>27</v>
      </c>
      <c r="G243" s="0" t="n">
        <f aca="false">ROUNDUP(C243*1.236/75,0)</f>
        <v>1</v>
      </c>
      <c r="H243" s="0" t="n">
        <f aca="false">IF(MOD(F243-1,2)=0,SUMPRODUCT(($A$2:$A$644=A243)*(ROW($A$2:$A$644)&gt;=ROW())*(ROW($A$2:$A$644)&lt;ROW()+2)*$C$2:$C$644),"")</f>
        <v>84</v>
      </c>
      <c r="I243" s="0" t="n">
        <f aca="false">IF(H243="","",ROUNDUP(H243/75,0))</f>
        <v>2</v>
      </c>
      <c r="J243" s="0" t="str">
        <f aca="false">IF(MOD(F243-1,3)=0,SUMPRODUCT(($A$2:$A$644=A243)*(ROW($A$2:$A$644)&gt;=ROW())*(ROW($A$2:$A$644)&lt;ROW()+3)*$C$2:$C$644),"")</f>
        <v/>
      </c>
      <c r="K243" s="0" t="str">
        <f aca="false">IF(J243="","",ROUNDUP(J243/75,0))</f>
        <v/>
      </c>
      <c r="L243" s="0" t="str">
        <f aca="false">IF(MOD(F243-1,5)=0,SUMPRODUCT(($A$2:$A$644=A243)*(ROW($A$2:$A$644)&gt;=ROW())*(ROW($A$2:$A$644)&lt;ROW()+5)*$C$2:$C$644),"")</f>
        <v/>
      </c>
      <c r="M243" s="0" t="str">
        <f aca="false">IF(L243="","",ROUNDUP(L243/75,0))</f>
        <v/>
      </c>
      <c r="N243" s="0" t="str">
        <f aca="false">IF(MOD(F243-1,7)=0,SUMPRODUCT(($A$2:$A$644=A243)*(ROW($A$2:$A$644)&gt;=ROW())*(ROW($A$2:$A$644)&lt;ROW()+7)*$C$2:$C$644),"")</f>
        <v/>
      </c>
      <c r="O243" s="0" t="str">
        <f aca="false">IF(N243="","",ROUNDUP(N243/75,0))</f>
        <v/>
      </c>
    </row>
    <row r="244" customFormat="false" ht="15" hidden="false" customHeight="false" outlineLevel="0" collapsed="false">
      <c r="A244" s="0" t="s">
        <v>249</v>
      </c>
      <c r="B244" s="0" t="s">
        <v>277</v>
      </c>
      <c r="C244" s="0" t="n">
        <v>48</v>
      </c>
      <c r="D244" s="0" t="n">
        <v>1</v>
      </c>
      <c r="E244" s="0" t="n">
        <v>27</v>
      </c>
      <c r="F244" s="0" t="n">
        <f aca="false">COUNTIF($A$2:A244,A244)</f>
        <v>28</v>
      </c>
      <c r="G244" s="0" t="n">
        <f aca="false">ROUNDUP(C244*1.236/75,0)</f>
        <v>1</v>
      </c>
      <c r="H244" s="0" t="str">
        <f aca="false">IF(MOD(F244-1,2)=0,SUMPRODUCT(($A$2:$A$644=A244)*(ROW($A$2:$A$644)&gt;=ROW())*(ROW($A$2:$A$644)&lt;ROW()+2)*$C$2:$C$644),"")</f>
        <v/>
      </c>
      <c r="I244" s="0" t="str">
        <f aca="false">IF(H244="","",ROUNDUP(H244/75,0))</f>
        <v/>
      </c>
      <c r="J244" s="0" t="n">
        <f aca="false">IF(MOD(F244-1,3)=0,SUMPRODUCT(($A$2:$A$644=A244)*(ROW($A$2:$A$644)&gt;=ROW())*(ROW($A$2:$A$644)&lt;ROW()+3)*$C$2:$C$644),"")</f>
        <v>228</v>
      </c>
      <c r="K244" s="0" t="n">
        <f aca="false">IF(J244="","",ROUNDUP(J244/75,0))</f>
        <v>4</v>
      </c>
      <c r="L244" s="0" t="str">
        <f aca="false">IF(MOD(F244-1,5)=0,SUMPRODUCT(($A$2:$A$644=A244)*(ROW($A$2:$A$644)&gt;=ROW())*(ROW($A$2:$A$644)&lt;ROW()+5)*$C$2:$C$644),"")</f>
        <v/>
      </c>
      <c r="M244" s="0" t="str">
        <f aca="false">IF(L244="","",ROUNDUP(L244/75,0))</f>
        <v/>
      </c>
      <c r="N244" s="0" t="str">
        <f aca="false">IF(MOD(F244-1,7)=0,SUMPRODUCT(($A$2:$A$644=A244)*(ROW($A$2:$A$644)&gt;=ROW())*(ROW($A$2:$A$644)&lt;ROW()+7)*$C$2:$C$644),"")</f>
        <v/>
      </c>
      <c r="O244" s="0" t="str">
        <f aca="false">IF(N244="","",ROUNDUP(N244/75,0))</f>
        <v/>
      </c>
    </row>
    <row r="245" customFormat="false" ht="15" hidden="false" customHeight="false" outlineLevel="0" collapsed="false">
      <c r="A245" s="0" t="s">
        <v>249</v>
      </c>
      <c r="B245" s="0" t="s">
        <v>278</v>
      </c>
      <c r="C245" s="0" t="n">
        <v>114</v>
      </c>
      <c r="D245" s="0" t="n">
        <v>2</v>
      </c>
      <c r="E245" s="0" t="n">
        <v>36</v>
      </c>
      <c r="F245" s="0" t="n">
        <f aca="false">COUNTIF($A$2:A245,A245)</f>
        <v>29</v>
      </c>
      <c r="G245" s="0" t="n">
        <f aca="false">ROUNDUP(C245*1.236/75,0)</f>
        <v>2</v>
      </c>
      <c r="H245" s="0" t="n">
        <f aca="false">IF(MOD(F245-1,2)=0,SUMPRODUCT(($A$2:$A$644=A245)*(ROW($A$2:$A$644)&gt;=ROW())*(ROW($A$2:$A$644)&lt;ROW()+2)*$C$2:$C$644),"")</f>
        <v>180</v>
      </c>
      <c r="I245" s="0" t="n">
        <f aca="false">IF(H245="","",ROUNDUP(H245/75,0))</f>
        <v>3</v>
      </c>
      <c r="J245" s="0" t="str">
        <f aca="false">IF(MOD(F245-1,3)=0,SUMPRODUCT(($A$2:$A$644=A245)*(ROW($A$2:$A$644)&gt;=ROW())*(ROW($A$2:$A$644)&lt;ROW()+3)*$C$2:$C$644),"")</f>
        <v/>
      </c>
      <c r="K245" s="0" t="str">
        <f aca="false">IF(J245="","",ROUNDUP(J245/75,0))</f>
        <v/>
      </c>
      <c r="L245" s="0" t="str">
        <f aca="false">IF(MOD(F245-1,5)=0,SUMPRODUCT(($A$2:$A$644=A245)*(ROW($A$2:$A$644)&gt;=ROW())*(ROW($A$2:$A$644)&lt;ROW()+5)*$C$2:$C$644),"")</f>
        <v/>
      </c>
      <c r="M245" s="0" t="str">
        <f aca="false">IF(L245="","",ROUNDUP(L245/75,0))</f>
        <v/>
      </c>
      <c r="N245" s="0" t="n">
        <f aca="false">IF(MOD(F245-1,7)=0,SUMPRODUCT(($A$2:$A$644=A245)*(ROW($A$2:$A$644)&gt;=ROW())*(ROW($A$2:$A$644)&lt;ROW()+7)*$C$2:$C$644),"")</f>
        <v>510</v>
      </c>
      <c r="O245" s="0" t="n">
        <f aca="false">IF(N245="","",ROUNDUP(N245/75,0))</f>
        <v>7</v>
      </c>
    </row>
    <row r="246" customFormat="false" ht="15" hidden="false" customHeight="false" outlineLevel="0" collapsed="false">
      <c r="A246" s="0" t="s">
        <v>249</v>
      </c>
      <c r="B246" s="0" t="s">
        <v>279</v>
      </c>
      <c r="C246" s="0" t="n">
        <v>66</v>
      </c>
      <c r="D246" s="0" t="n">
        <v>1</v>
      </c>
      <c r="E246" s="0" t="n">
        <v>9</v>
      </c>
      <c r="F246" s="0" t="n">
        <f aca="false">COUNTIF($A$2:A246,A246)</f>
        <v>30</v>
      </c>
      <c r="G246" s="0" t="n">
        <f aca="false">ROUNDUP(C246*1.236/75,0)</f>
        <v>2</v>
      </c>
      <c r="H246" s="0" t="str">
        <f aca="false">IF(MOD(F246-1,2)=0,SUMPRODUCT(($A$2:$A$644=A246)*(ROW($A$2:$A$644)&gt;=ROW())*(ROW($A$2:$A$644)&lt;ROW()+2)*$C$2:$C$644),"")</f>
        <v/>
      </c>
      <c r="I246" s="0" t="str">
        <f aca="false">IF(H246="","",ROUNDUP(H246/75,0))</f>
        <v/>
      </c>
      <c r="J246" s="0" t="str">
        <f aca="false">IF(MOD(F246-1,3)=0,SUMPRODUCT(($A$2:$A$644=A246)*(ROW($A$2:$A$644)&gt;=ROW())*(ROW($A$2:$A$644)&lt;ROW()+3)*$C$2:$C$644),"")</f>
        <v/>
      </c>
      <c r="K246" s="0" t="str">
        <f aca="false">IF(J246="","",ROUNDUP(J246/75,0))</f>
        <v/>
      </c>
      <c r="L246" s="0" t="str">
        <f aca="false">IF(MOD(F246-1,5)=0,SUMPRODUCT(($A$2:$A$644=A246)*(ROW($A$2:$A$644)&gt;=ROW())*(ROW($A$2:$A$644)&lt;ROW()+5)*$C$2:$C$644),"")</f>
        <v/>
      </c>
      <c r="M246" s="0" t="str">
        <f aca="false">IF(L246="","",ROUNDUP(L246/75,0))</f>
        <v/>
      </c>
      <c r="N246" s="0" t="str">
        <f aca="false">IF(MOD(F246-1,7)=0,SUMPRODUCT(($A$2:$A$644=A246)*(ROW($A$2:$A$644)&gt;=ROW())*(ROW($A$2:$A$644)&lt;ROW()+7)*$C$2:$C$644),"")</f>
        <v/>
      </c>
      <c r="O246" s="0" t="str">
        <f aca="false">IF(N246="","",ROUNDUP(N246/75,0))</f>
        <v/>
      </c>
    </row>
    <row r="247" customFormat="false" ht="15" hidden="false" customHeight="false" outlineLevel="0" collapsed="false">
      <c r="A247" s="0" t="s">
        <v>249</v>
      </c>
      <c r="B247" s="0" t="s">
        <v>280</v>
      </c>
      <c r="C247" s="0" t="n">
        <v>54</v>
      </c>
      <c r="D247" s="0" t="n">
        <v>1</v>
      </c>
      <c r="E247" s="0" t="n">
        <v>21</v>
      </c>
      <c r="F247" s="0" t="n">
        <f aca="false">COUNTIF($A$2:A247,A247)</f>
        <v>31</v>
      </c>
      <c r="G247" s="0" t="n">
        <f aca="false">ROUNDUP(C247*1.236/75,0)</f>
        <v>1</v>
      </c>
      <c r="H247" s="0" t="n">
        <f aca="false">IF(MOD(F247-1,2)=0,SUMPRODUCT(($A$2:$A$644=A247)*(ROW($A$2:$A$644)&gt;=ROW())*(ROW($A$2:$A$644)&lt;ROW()+2)*$C$2:$C$644),"")</f>
        <v>138</v>
      </c>
      <c r="I247" s="0" t="n">
        <f aca="false">IF(H247="","",ROUNDUP(H247/75,0))</f>
        <v>2</v>
      </c>
      <c r="J247" s="0" t="n">
        <f aca="false">IF(MOD(F247-1,3)=0,SUMPRODUCT(($A$2:$A$644=A247)*(ROW($A$2:$A$644)&gt;=ROW())*(ROW($A$2:$A$644)&lt;ROW()+3)*$C$2:$C$644),"")</f>
        <v>204</v>
      </c>
      <c r="K247" s="0" t="n">
        <f aca="false">IF(J247="","",ROUNDUP(J247/75,0))</f>
        <v>3</v>
      </c>
      <c r="L247" s="0" t="n">
        <f aca="false">IF(MOD(F247-1,5)=0,SUMPRODUCT(($A$2:$A$644=A247)*(ROW($A$2:$A$644)&gt;=ROW())*(ROW($A$2:$A$644)&lt;ROW()+5)*$C$2:$C$644),"")</f>
        <v>330</v>
      </c>
      <c r="M247" s="0" t="n">
        <f aca="false">IF(L247="","",ROUNDUP(L247/75,0))</f>
        <v>5</v>
      </c>
      <c r="N247" s="0" t="str">
        <f aca="false">IF(MOD(F247-1,7)=0,SUMPRODUCT(($A$2:$A$644=A247)*(ROW($A$2:$A$644)&gt;=ROW())*(ROW($A$2:$A$644)&lt;ROW()+7)*$C$2:$C$644),"")</f>
        <v/>
      </c>
      <c r="O247" s="0" t="str">
        <f aca="false">IF(N247="","",ROUNDUP(N247/75,0))</f>
        <v/>
      </c>
    </row>
    <row r="248" customFormat="false" ht="15" hidden="false" customHeight="false" outlineLevel="0" collapsed="false">
      <c r="A248" s="0" t="s">
        <v>249</v>
      </c>
      <c r="B248" s="0" t="s">
        <v>281</v>
      </c>
      <c r="C248" s="0" t="n">
        <v>84</v>
      </c>
      <c r="D248" s="0" t="n">
        <v>2</v>
      </c>
      <c r="E248" s="0" t="n">
        <v>66</v>
      </c>
      <c r="F248" s="0" t="n">
        <f aca="false">COUNTIF($A$2:A248,A248)</f>
        <v>32</v>
      </c>
      <c r="G248" s="0" t="n">
        <f aca="false">ROUNDUP(C248*1.236/75,0)</f>
        <v>2</v>
      </c>
      <c r="H248" s="0" t="str">
        <f aca="false">IF(MOD(F248-1,2)=0,SUMPRODUCT(($A$2:$A$644=A248)*(ROW($A$2:$A$644)&gt;=ROW())*(ROW($A$2:$A$644)&lt;ROW()+2)*$C$2:$C$644),"")</f>
        <v/>
      </c>
      <c r="I248" s="0" t="str">
        <f aca="false">IF(H248="","",ROUNDUP(H248/75,0))</f>
        <v/>
      </c>
      <c r="J248" s="0" t="str">
        <f aca="false">IF(MOD(F248-1,3)=0,SUMPRODUCT(($A$2:$A$644=A248)*(ROW($A$2:$A$644)&gt;=ROW())*(ROW($A$2:$A$644)&lt;ROW()+3)*$C$2:$C$644),"")</f>
        <v/>
      </c>
      <c r="K248" s="0" t="str">
        <f aca="false">IF(J248="","",ROUNDUP(J248/75,0))</f>
        <v/>
      </c>
      <c r="L248" s="0" t="str">
        <f aca="false">IF(MOD(F248-1,5)=0,SUMPRODUCT(($A$2:$A$644=A248)*(ROW($A$2:$A$644)&gt;=ROW())*(ROW($A$2:$A$644)&lt;ROW()+5)*$C$2:$C$644),"")</f>
        <v/>
      </c>
      <c r="M248" s="0" t="str">
        <f aca="false">IF(L248="","",ROUNDUP(L248/75,0))</f>
        <v/>
      </c>
      <c r="N248" s="0" t="str">
        <f aca="false">IF(MOD(F248-1,7)=0,SUMPRODUCT(($A$2:$A$644=A248)*(ROW($A$2:$A$644)&gt;=ROW())*(ROW($A$2:$A$644)&lt;ROW()+7)*$C$2:$C$644),"")</f>
        <v/>
      </c>
      <c r="O248" s="0" t="str">
        <f aca="false">IF(N248="","",ROUNDUP(N248/75,0))</f>
        <v/>
      </c>
    </row>
    <row r="249" customFormat="false" ht="15" hidden="false" customHeight="false" outlineLevel="0" collapsed="false">
      <c r="A249" s="0" t="s">
        <v>249</v>
      </c>
      <c r="B249" s="0" t="s">
        <v>282</v>
      </c>
      <c r="C249" s="0" t="n">
        <v>66</v>
      </c>
      <c r="D249" s="0" t="n">
        <v>1</v>
      </c>
      <c r="E249" s="0" t="n">
        <v>9</v>
      </c>
      <c r="F249" s="0" t="n">
        <f aca="false">COUNTIF($A$2:A249,A249)</f>
        <v>33</v>
      </c>
      <c r="G249" s="0" t="n">
        <f aca="false">ROUNDUP(C249*1.236/75,0)</f>
        <v>2</v>
      </c>
      <c r="H249" s="0" t="n">
        <f aca="false">IF(MOD(F249-1,2)=0,SUMPRODUCT(($A$2:$A$644=A249)*(ROW($A$2:$A$644)&gt;=ROW())*(ROW($A$2:$A$644)&lt;ROW()+2)*$C$2:$C$644),"")</f>
        <v>138</v>
      </c>
      <c r="I249" s="0" t="n">
        <f aca="false">IF(H249="","",ROUNDUP(H249/75,0))</f>
        <v>2</v>
      </c>
      <c r="J249" s="0" t="str">
        <f aca="false">IF(MOD(F249-1,3)=0,SUMPRODUCT(($A$2:$A$644=A249)*(ROW($A$2:$A$644)&gt;=ROW())*(ROW($A$2:$A$644)&lt;ROW()+3)*$C$2:$C$644),"")</f>
        <v/>
      </c>
      <c r="K249" s="0" t="str">
        <f aca="false">IF(J249="","",ROUNDUP(J249/75,0))</f>
        <v/>
      </c>
      <c r="L249" s="0" t="str">
        <f aca="false">IF(MOD(F249-1,5)=0,SUMPRODUCT(($A$2:$A$644=A249)*(ROW($A$2:$A$644)&gt;=ROW())*(ROW($A$2:$A$644)&lt;ROW()+5)*$C$2:$C$644),"")</f>
        <v/>
      </c>
      <c r="M249" s="0" t="str">
        <f aca="false">IF(L249="","",ROUNDUP(L249/75,0))</f>
        <v/>
      </c>
      <c r="N249" s="0" t="str">
        <f aca="false">IF(MOD(F249-1,7)=0,SUMPRODUCT(($A$2:$A$644=A249)*(ROW($A$2:$A$644)&gt;=ROW())*(ROW($A$2:$A$644)&lt;ROW()+7)*$C$2:$C$644),"")</f>
        <v/>
      </c>
      <c r="O249" s="0" t="str">
        <f aca="false">IF(N249="","",ROUNDUP(N249/75,0))</f>
        <v/>
      </c>
    </row>
    <row r="250" customFormat="false" ht="15" hidden="false" customHeight="false" outlineLevel="0" collapsed="false">
      <c r="A250" s="0" t="s">
        <v>249</v>
      </c>
      <c r="B250" s="0" t="s">
        <v>283</v>
      </c>
      <c r="C250" s="0" t="n">
        <v>72</v>
      </c>
      <c r="D250" s="0" t="n">
        <v>1</v>
      </c>
      <c r="E250" s="0" t="n">
        <v>3</v>
      </c>
      <c r="F250" s="0" t="n">
        <f aca="false">COUNTIF($A$2:A250,A250)</f>
        <v>34</v>
      </c>
      <c r="G250" s="0" t="n">
        <f aca="false">ROUNDUP(C250*1.236/75,0)</f>
        <v>2</v>
      </c>
      <c r="H250" s="0" t="str">
        <f aca="false">IF(MOD(F250-1,2)=0,SUMPRODUCT(($A$2:$A$644=A250)*(ROW($A$2:$A$644)&gt;=ROW())*(ROW($A$2:$A$644)&lt;ROW()+2)*$C$2:$C$644),"")</f>
        <v/>
      </c>
      <c r="I250" s="0" t="str">
        <f aca="false">IF(H250="","",ROUNDUP(H250/75,0))</f>
        <v/>
      </c>
      <c r="J250" s="0" t="n">
        <f aca="false">IF(MOD(F250-1,3)=0,SUMPRODUCT(($A$2:$A$644=A250)*(ROW($A$2:$A$644)&gt;=ROW())*(ROW($A$2:$A$644)&lt;ROW()+3)*$C$2:$C$644),"")</f>
        <v>168</v>
      </c>
      <c r="K250" s="0" t="n">
        <f aca="false">IF(J250="","",ROUNDUP(J250/75,0))</f>
        <v>3</v>
      </c>
      <c r="L250" s="0" t="str">
        <f aca="false">IF(MOD(F250-1,5)=0,SUMPRODUCT(($A$2:$A$644=A250)*(ROW($A$2:$A$644)&gt;=ROW())*(ROW($A$2:$A$644)&lt;ROW()+5)*$C$2:$C$644),"")</f>
        <v/>
      </c>
      <c r="M250" s="0" t="str">
        <f aca="false">IF(L250="","",ROUNDUP(L250/75,0))</f>
        <v/>
      </c>
      <c r="N250" s="0" t="str">
        <f aca="false">IF(MOD(F250-1,7)=0,SUMPRODUCT(($A$2:$A$644=A250)*(ROW($A$2:$A$644)&gt;=ROW())*(ROW($A$2:$A$644)&lt;ROW()+7)*$C$2:$C$644),"")</f>
        <v/>
      </c>
      <c r="O250" s="0" t="str">
        <f aca="false">IF(N250="","",ROUNDUP(N250/75,0))</f>
        <v/>
      </c>
    </row>
    <row r="251" customFormat="false" ht="15" hidden="false" customHeight="false" outlineLevel="0" collapsed="false">
      <c r="A251" s="0" t="s">
        <v>249</v>
      </c>
      <c r="B251" s="0" t="s">
        <v>284</v>
      </c>
      <c r="C251" s="0" t="n">
        <v>54</v>
      </c>
      <c r="D251" s="0" t="n">
        <v>1</v>
      </c>
      <c r="E251" s="0" t="n">
        <v>21</v>
      </c>
      <c r="F251" s="0" t="n">
        <f aca="false">COUNTIF($A$2:A251,A251)</f>
        <v>35</v>
      </c>
      <c r="G251" s="0" t="n">
        <f aca="false">ROUNDUP(C251*1.236/75,0)</f>
        <v>1</v>
      </c>
      <c r="H251" s="0" t="n">
        <f aca="false">IF(MOD(F251-1,2)=0,SUMPRODUCT(($A$2:$A$644=A251)*(ROW($A$2:$A$644)&gt;=ROW())*(ROW($A$2:$A$644)&lt;ROW()+2)*$C$2:$C$644),"")</f>
        <v>96</v>
      </c>
      <c r="I251" s="0" t="n">
        <f aca="false">IF(H251="","",ROUNDUP(H251/75,0))</f>
        <v>2</v>
      </c>
      <c r="J251" s="0" t="str">
        <f aca="false">IF(MOD(F251-1,3)=0,SUMPRODUCT(($A$2:$A$644=A251)*(ROW($A$2:$A$644)&gt;=ROW())*(ROW($A$2:$A$644)&lt;ROW()+3)*$C$2:$C$644),"")</f>
        <v/>
      </c>
      <c r="K251" s="0" t="str">
        <f aca="false">IF(J251="","",ROUNDUP(J251/75,0))</f>
        <v/>
      </c>
      <c r="L251" s="0" t="str">
        <f aca="false">IF(MOD(F251-1,5)=0,SUMPRODUCT(($A$2:$A$644=A251)*(ROW($A$2:$A$644)&gt;=ROW())*(ROW($A$2:$A$644)&lt;ROW()+5)*$C$2:$C$644),"")</f>
        <v/>
      </c>
      <c r="M251" s="0" t="str">
        <f aca="false">IF(L251="","",ROUNDUP(L251/75,0))</f>
        <v/>
      </c>
      <c r="N251" s="0" t="str">
        <f aca="false">IF(MOD(F251-1,7)=0,SUMPRODUCT(($A$2:$A$644=A251)*(ROW($A$2:$A$644)&gt;=ROW())*(ROW($A$2:$A$644)&lt;ROW()+7)*$C$2:$C$644),"")</f>
        <v/>
      </c>
      <c r="O251" s="0" t="str">
        <f aca="false">IF(N251="","",ROUNDUP(N251/75,0))</f>
        <v/>
      </c>
    </row>
    <row r="252" customFormat="false" ht="15" hidden="false" customHeight="false" outlineLevel="0" collapsed="false">
      <c r="A252" s="0" t="s">
        <v>249</v>
      </c>
      <c r="B252" s="0" t="s">
        <v>285</v>
      </c>
      <c r="C252" s="0" t="n">
        <v>42</v>
      </c>
      <c r="D252" s="0" t="n">
        <v>1</v>
      </c>
      <c r="E252" s="0" t="n">
        <v>33</v>
      </c>
      <c r="F252" s="0" t="n">
        <f aca="false">COUNTIF($A$2:A252,A252)</f>
        <v>36</v>
      </c>
      <c r="G252" s="0" t="n">
        <f aca="false">ROUNDUP(C252*1.236/75,0)</f>
        <v>1</v>
      </c>
      <c r="H252" s="0" t="str">
        <f aca="false">IF(MOD(F252-1,2)=0,SUMPRODUCT(($A$2:$A$644=A252)*(ROW($A$2:$A$644)&gt;=ROW())*(ROW($A$2:$A$644)&lt;ROW()+2)*$C$2:$C$644),"")</f>
        <v/>
      </c>
      <c r="I252" s="0" t="str">
        <f aca="false">IF(H252="","",ROUNDUP(H252/75,0))</f>
        <v/>
      </c>
      <c r="J252" s="0" t="str">
        <f aca="false">IF(MOD(F252-1,3)=0,SUMPRODUCT(($A$2:$A$644=A252)*(ROW($A$2:$A$644)&gt;=ROW())*(ROW($A$2:$A$644)&lt;ROW()+3)*$C$2:$C$644),"")</f>
        <v/>
      </c>
      <c r="K252" s="0" t="str">
        <f aca="false">IF(J252="","",ROUNDUP(J252/75,0))</f>
        <v/>
      </c>
      <c r="L252" s="0" t="n">
        <f aca="false">IF(MOD(F252-1,5)=0,SUMPRODUCT(($A$2:$A$644=A252)*(ROW($A$2:$A$644)&gt;=ROW())*(ROW($A$2:$A$644)&lt;ROW()+5)*$C$2:$C$644),"")</f>
        <v>282</v>
      </c>
      <c r="M252" s="0" t="n">
        <f aca="false">IF(L252="","",ROUNDUP(L252/75,0))</f>
        <v>4</v>
      </c>
      <c r="N252" s="0" t="n">
        <f aca="false">IF(MOD(F252-1,7)=0,SUMPRODUCT(($A$2:$A$644=A252)*(ROW($A$2:$A$644)&gt;=ROW())*(ROW($A$2:$A$644)&lt;ROW()+7)*$C$2:$C$644),"")</f>
        <v>402</v>
      </c>
      <c r="O252" s="0" t="n">
        <f aca="false">IF(N252="","",ROUNDUP(N252/75,0))</f>
        <v>6</v>
      </c>
    </row>
    <row r="253" customFormat="false" ht="15" hidden="false" customHeight="false" outlineLevel="0" collapsed="false">
      <c r="A253" s="0" t="s">
        <v>249</v>
      </c>
      <c r="B253" s="0" t="s">
        <v>286</v>
      </c>
      <c r="C253" s="0" t="n">
        <v>90</v>
      </c>
      <c r="D253" s="0" t="n">
        <v>2</v>
      </c>
      <c r="E253" s="0" t="n">
        <v>60</v>
      </c>
      <c r="F253" s="0" t="n">
        <f aca="false">COUNTIF($A$2:A253,A253)</f>
        <v>37</v>
      </c>
      <c r="G253" s="0" t="n">
        <f aca="false">ROUNDUP(C253*1.236/75,0)</f>
        <v>2</v>
      </c>
      <c r="H253" s="0" t="n">
        <f aca="false">IF(MOD(F253-1,2)=0,SUMPRODUCT(($A$2:$A$644=A253)*(ROW($A$2:$A$644)&gt;=ROW())*(ROW($A$2:$A$644)&lt;ROW()+2)*$C$2:$C$644),"")</f>
        <v>144</v>
      </c>
      <c r="I253" s="0" t="n">
        <f aca="false">IF(H253="","",ROUNDUP(H253/75,0))</f>
        <v>2</v>
      </c>
      <c r="J253" s="0" t="n">
        <f aca="false">IF(MOD(F253-1,3)=0,SUMPRODUCT(($A$2:$A$644=A253)*(ROW($A$2:$A$644)&gt;=ROW())*(ROW($A$2:$A$644)&lt;ROW()+3)*$C$2:$C$644),"")</f>
        <v>174</v>
      </c>
      <c r="K253" s="0" t="n">
        <f aca="false">IF(J253="","",ROUNDUP(J253/75,0))</f>
        <v>3</v>
      </c>
      <c r="L253" s="0" t="str">
        <f aca="false">IF(MOD(F253-1,5)=0,SUMPRODUCT(($A$2:$A$644=A253)*(ROW($A$2:$A$644)&gt;=ROW())*(ROW($A$2:$A$644)&lt;ROW()+5)*$C$2:$C$644),"")</f>
        <v/>
      </c>
      <c r="M253" s="0" t="str">
        <f aca="false">IF(L253="","",ROUNDUP(L253/75,0))</f>
        <v/>
      </c>
      <c r="N253" s="0" t="str">
        <f aca="false">IF(MOD(F253-1,7)=0,SUMPRODUCT(($A$2:$A$644=A253)*(ROW($A$2:$A$644)&gt;=ROW())*(ROW($A$2:$A$644)&lt;ROW()+7)*$C$2:$C$644),"")</f>
        <v/>
      </c>
      <c r="O253" s="0" t="str">
        <f aca="false">IF(N253="","",ROUNDUP(N253/75,0))</f>
        <v/>
      </c>
    </row>
    <row r="254" customFormat="false" ht="15" hidden="false" customHeight="false" outlineLevel="0" collapsed="false">
      <c r="A254" s="0" t="s">
        <v>249</v>
      </c>
      <c r="B254" s="0" t="s">
        <v>287</v>
      </c>
      <c r="C254" s="0" t="n">
        <v>54</v>
      </c>
      <c r="D254" s="0" t="n">
        <v>1</v>
      </c>
      <c r="E254" s="0" t="n">
        <v>21</v>
      </c>
      <c r="F254" s="0" t="n">
        <f aca="false">COUNTIF($A$2:A254,A254)</f>
        <v>38</v>
      </c>
      <c r="G254" s="0" t="n">
        <f aca="false">ROUNDUP(C254*1.236/75,0)</f>
        <v>1</v>
      </c>
      <c r="H254" s="0" t="str">
        <f aca="false">IF(MOD(F254-1,2)=0,SUMPRODUCT(($A$2:$A$644=A254)*(ROW($A$2:$A$644)&gt;=ROW())*(ROW($A$2:$A$644)&lt;ROW()+2)*$C$2:$C$644),"")</f>
        <v/>
      </c>
      <c r="I254" s="0" t="str">
        <f aca="false">IF(H254="","",ROUNDUP(H254/75,0))</f>
        <v/>
      </c>
      <c r="J254" s="0" t="str">
        <f aca="false">IF(MOD(F254-1,3)=0,SUMPRODUCT(($A$2:$A$644=A254)*(ROW($A$2:$A$644)&gt;=ROW())*(ROW($A$2:$A$644)&lt;ROW()+3)*$C$2:$C$644),"")</f>
        <v/>
      </c>
      <c r="K254" s="0" t="str">
        <f aca="false">IF(J254="","",ROUNDUP(J254/75,0))</f>
        <v/>
      </c>
      <c r="L254" s="0" t="str">
        <f aca="false">IF(MOD(F254-1,5)=0,SUMPRODUCT(($A$2:$A$644=A254)*(ROW($A$2:$A$644)&gt;=ROW())*(ROW($A$2:$A$644)&lt;ROW()+5)*$C$2:$C$644),"")</f>
        <v/>
      </c>
      <c r="M254" s="0" t="str">
        <f aca="false">IF(L254="","",ROUNDUP(L254/75,0))</f>
        <v/>
      </c>
      <c r="N254" s="0" t="str">
        <f aca="false">IF(MOD(F254-1,7)=0,SUMPRODUCT(($A$2:$A$644=A254)*(ROW($A$2:$A$644)&gt;=ROW())*(ROW($A$2:$A$644)&lt;ROW()+7)*$C$2:$C$644),"")</f>
        <v/>
      </c>
      <c r="O254" s="0" t="str">
        <f aca="false">IF(N254="","",ROUNDUP(N254/75,0))</f>
        <v/>
      </c>
    </row>
    <row r="255" customFormat="false" ht="15" hidden="false" customHeight="false" outlineLevel="0" collapsed="false">
      <c r="A255" s="0" t="s">
        <v>249</v>
      </c>
      <c r="B255" s="0" t="s">
        <v>288</v>
      </c>
      <c r="C255" s="0" t="n">
        <v>30</v>
      </c>
      <c r="D255" s="0" t="n">
        <v>1</v>
      </c>
      <c r="E255" s="0" t="n">
        <v>45</v>
      </c>
      <c r="F255" s="0" t="n">
        <f aca="false">COUNTIF($A$2:A255,A255)</f>
        <v>39</v>
      </c>
      <c r="G255" s="0" t="n">
        <f aca="false">ROUNDUP(C255*1.236/75,0)</f>
        <v>1</v>
      </c>
      <c r="H255" s="0" t="n">
        <f aca="false">IF(MOD(F255-1,2)=0,SUMPRODUCT(($A$2:$A$644=A255)*(ROW($A$2:$A$644)&gt;=ROW())*(ROW($A$2:$A$644)&lt;ROW()+2)*$C$2:$C$644),"")</f>
        <v>96</v>
      </c>
      <c r="I255" s="0" t="n">
        <f aca="false">IF(H255="","",ROUNDUP(H255/75,0))</f>
        <v>2</v>
      </c>
      <c r="J255" s="0" t="str">
        <f aca="false">IF(MOD(F255-1,3)=0,SUMPRODUCT(($A$2:$A$644=A255)*(ROW($A$2:$A$644)&gt;=ROW())*(ROW($A$2:$A$644)&lt;ROW()+3)*$C$2:$C$644),"")</f>
        <v/>
      </c>
      <c r="K255" s="0" t="str">
        <f aca="false">IF(J255="","",ROUNDUP(J255/75,0))</f>
        <v/>
      </c>
      <c r="L255" s="0" t="str">
        <f aca="false">IF(MOD(F255-1,5)=0,SUMPRODUCT(($A$2:$A$644=A255)*(ROW($A$2:$A$644)&gt;=ROW())*(ROW($A$2:$A$644)&lt;ROW()+5)*$C$2:$C$644),"")</f>
        <v/>
      </c>
      <c r="M255" s="0" t="str">
        <f aca="false">IF(L255="","",ROUNDUP(L255/75,0))</f>
        <v/>
      </c>
      <c r="N255" s="0" t="str">
        <f aca="false">IF(MOD(F255-1,7)=0,SUMPRODUCT(($A$2:$A$644=A255)*(ROW($A$2:$A$644)&gt;=ROW())*(ROW($A$2:$A$644)&lt;ROW()+7)*$C$2:$C$644),"")</f>
        <v/>
      </c>
      <c r="O255" s="0" t="str">
        <f aca="false">IF(N255="","",ROUNDUP(N255/75,0))</f>
        <v/>
      </c>
    </row>
    <row r="256" customFormat="false" ht="15" hidden="false" customHeight="false" outlineLevel="0" collapsed="false">
      <c r="A256" s="0" t="s">
        <v>249</v>
      </c>
      <c r="B256" s="0" t="s">
        <v>289</v>
      </c>
      <c r="C256" s="0" t="n">
        <v>66</v>
      </c>
      <c r="D256" s="0" t="n">
        <v>1</v>
      </c>
      <c r="E256" s="0" t="n">
        <v>9</v>
      </c>
      <c r="F256" s="0" t="n">
        <f aca="false">COUNTIF($A$2:A256,A256)</f>
        <v>40</v>
      </c>
      <c r="G256" s="0" t="n">
        <f aca="false">ROUNDUP(C256*1.236/75,0)</f>
        <v>2</v>
      </c>
      <c r="H256" s="0" t="str">
        <f aca="false">IF(MOD(F256-1,2)=0,SUMPRODUCT(($A$2:$A$644=A256)*(ROW($A$2:$A$644)&gt;=ROW())*(ROW($A$2:$A$644)&lt;ROW()+2)*$C$2:$C$644),"")</f>
        <v/>
      </c>
      <c r="I256" s="0" t="str">
        <f aca="false">IF(H256="","",ROUNDUP(H256/75,0))</f>
        <v/>
      </c>
      <c r="J256" s="0" t="n">
        <f aca="false">IF(MOD(F256-1,3)=0,SUMPRODUCT(($A$2:$A$644=A256)*(ROW($A$2:$A$644)&gt;=ROW())*(ROW($A$2:$A$644)&lt;ROW()+3)*$C$2:$C$644),"")</f>
        <v>186</v>
      </c>
      <c r="K256" s="0" t="n">
        <f aca="false">IF(J256="","",ROUNDUP(J256/75,0))</f>
        <v>3</v>
      </c>
      <c r="L256" s="0" t="str">
        <f aca="false">IF(MOD(F256-1,5)=0,SUMPRODUCT(($A$2:$A$644=A256)*(ROW($A$2:$A$644)&gt;=ROW())*(ROW($A$2:$A$644)&lt;ROW()+5)*$C$2:$C$644),"")</f>
        <v/>
      </c>
      <c r="M256" s="0" t="str">
        <f aca="false">IF(L256="","",ROUNDUP(L256/75,0))</f>
        <v/>
      </c>
      <c r="N256" s="0" t="str">
        <f aca="false">IF(MOD(F256-1,7)=0,SUMPRODUCT(($A$2:$A$644=A256)*(ROW($A$2:$A$644)&gt;=ROW())*(ROW($A$2:$A$644)&lt;ROW()+7)*$C$2:$C$644),"")</f>
        <v/>
      </c>
      <c r="O256" s="0" t="str">
        <f aca="false">IF(N256="","",ROUNDUP(N256/75,0))</f>
        <v/>
      </c>
    </row>
    <row r="257" customFormat="false" ht="15" hidden="false" customHeight="false" outlineLevel="0" collapsed="false">
      <c r="A257" s="0" t="s">
        <v>249</v>
      </c>
      <c r="B257" s="0" t="s">
        <v>290</v>
      </c>
      <c r="C257" s="0" t="n">
        <v>36</v>
      </c>
      <c r="D257" s="0" t="n">
        <v>1</v>
      </c>
      <c r="E257" s="0" t="n">
        <v>39</v>
      </c>
      <c r="F257" s="0" t="n">
        <f aca="false">COUNTIF($A$2:A257,A257)</f>
        <v>41</v>
      </c>
      <c r="G257" s="0" t="n">
        <f aca="false">ROUNDUP(C257*1.236/75,0)</f>
        <v>1</v>
      </c>
      <c r="H257" s="0" t="n">
        <f aca="false">IF(MOD(F257-1,2)=0,SUMPRODUCT(($A$2:$A$644=A257)*(ROW($A$2:$A$644)&gt;=ROW())*(ROW($A$2:$A$644)&lt;ROW()+2)*$C$2:$C$644),"")</f>
        <v>120</v>
      </c>
      <c r="I257" s="0" t="n">
        <f aca="false">IF(H257="","",ROUNDUP(H257/75,0))</f>
        <v>2</v>
      </c>
      <c r="J257" s="0" t="str">
        <f aca="false">IF(MOD(F257-1,3)=0,SUMPRODUCT(($A$2:$A$644=A257)*(ROW($A$2:$A$644)&gt;=ROW())*(ROW($A$2:$A$644)&lt;ROW()+3)*$C$2:$C$644),"")</f>
        <v/>
      </c>
      <c r="K257" s="0" t="str">
        <f aca="false">IF(J257="","",ROUNDUP(J257/75,0))</f>
        <v/>
      </c>
      <c r="L257" s="0" t="n">
        <f aca="false">IF(MOD(F257-1,5)=0,SUMPRODUCT(($A$2:$A$644=A257)*(ROW($A$2:$A$644)&gt;=ROW())*(ROW($A$2:$A$644)&lt;ROW()+5)*$C$2:$C$644),"")</f>
        <v>258</v>
      </c>
      <c r="M257" s="0" t="n">
        <f aca="false">IF(L257="","",ROUNDUP(L257/75,0))</f>
        <v>4</v>
      </c>
      <c r="N257" s="0" t="str">
        <f aca="false">IF(MOD(F257-1,7)=0,SUMPRODUCT(($A$2:$A$644=A257)*(ROW($A$2:$A$644)&gt;=ROW())*(ROW($A$2:$A$644)&lt;ROW()+7)*$C$2:$C$644),"")</f>
        <v/>
      </c>
      <c r="O257" s="0" t="str">
        <f aca="false">IF(N257="","",ROUNDUP(N257/75,0))</f>
        <v/>
      </c>
    </row>
    <row r="258" customFormat="false" ht="15" hidden="false" customHeight="false" outlineLevel="0" collapsed="false">
      <c r="A258" s="0" t="s">
        <v>249</v>
      </c>
      <c r="B258" s="0" t="s">
        <v>291</v>
      </c>
      <c r="C258" s="0" t="n">
        <v>84</v>
      </c>
      <c r="D258" s="0" t="n">
        <v>2</v>
      </c>
      <c r="E258" s="0" t="n">
        <v>66</v>
      </c>
      <c r="F258" s="0" t="n">
        <f aca="false">COUNTIF($A$2:A258,A258)</f>
        <v>42</v>
      </c>
      <c r="G258" s="0" t="n">
        <f aca="false">ROUNDUP(C258*1.236/75,0)</f>
        <v>2</v>
      </c>
      <c r="H258" s="0" t="str">
        <f aca="false">IF(MOD(F258-1,2)=0,SUMPRODUCT(($A$2:$A$644=A258)*(ROW($A$2:$A$644)&gt;=ROW())*(ROW($A$2:$A$644)&lt;ROW()+2)*$C$2:$C$644),"")</f>
        <v/>
      </c>
      <c r="I258" s="0" t="str">
        <f aca="false">IF(H258="","",ROUNDUP(H258/75,0))</f>
        <v/>
      </c>
      <c r="J258" s="0" t="str">
        <f aca="false">IF(MOD(F258-1,3)=0,SUMPRODUCT(($A$2:$A$644=A258)*(ROW($A$2:$A$644)&gt;=ROW())*(ROW($A$2:$A$644)&lt;ROW()+3)*$C$2:$C$644),"")</f>
        <v/>
      </c>
      <c r="K258" s="0" t="str">
        <f aca="false">IF(J258="","",ROUNDUP(J258/75,0))</f>
        <v/>
      </c>
      <c r="L258" s="0" t="str">
        <f aca="false">IF(MOD(F258-1,5)=0,SUMPRODUCT(($A$2:$A$644=A258)*(ROW($A$2:$A$644)&gt;=ROW())*(ROW($A$2:$A$644)&lt;ROW()+5)*$C$2:$C$644),"")</f>
        <v/>
      </c>
      <c r="M258" s="0" t="str">
        <f aca="false">IF(L258="","",ROUNDUP(L258/75,0))</f>
        <v/>
      </c>
      <c r="N258" s="0" t="str">
        <f aca="false">IF(MOD(F258-1,7)=0,SUMPRODUCT(($A$2:$A$644=A258)*(ROW($A$2:$A$644)&gt;=ROW())*(ROW($A$2:$A$644)&lt;ROW()+7)*$C$2:$C$644),"")</f>
        <v/>
      </c>
      <c r="O258" s="0" t="str">
        <f aca="false">IF(N258="","",ROUNDUP(N258/75,0))</f>
        <v/>
      </c>
    </row>
    <row r="259" customFormat="false" ht="15" hidden="false" customHeight="false" outlineLevel="0" collapsed="false">
      <c r="A259" s="0" t="s">
        <v>249</v>
      </c>
      <c r="B259" s="0" t="s">
        <v>292</v>
      </c>
      <c r="C259" s="0" t="n">
        <v>36</v>
      </c>
      <c r="D259" s="0" t="n">
        <v>1</v>
      </c>
      <c r="E259" s="0" t="n">
        <v>39</v>
      </c>
      <c r="F259" s="0" t="n">
        <f aca="false">COUNTIF($A$2:A259,A259)</f>
        <v>43</v>
      </c>
      <c r="G259" s="0" t="n">
        <f aca="false">ROUNDUP(C259*1.236/75,0)</f>
        <v>1</v>
      </c>
      <c r="H259" s="0" t="n">
        <f aca="false">IF(MOD(F259-1,2)=0,SUMPRODUCT(($A$2:$A$644=A259)*(ROW($A$2:$A$644)&gt;=ROW())*(ROW($A$2:$A$644)&lt;ROW()+2)*$C$2:$C$644),"")</f>
        <v>54</v>
      </c>
      <c r="I259" s="0" t="n">
        <f aca="false">IF(H259="","",ROUNDUP(H259/75,0))</f>
        <v>1</v>
      </c>
      <c r="J259" s="0" t="n">
        <f aca="false">IF(MOD(F259-1,3)=0,SUMPRODUCT(($A$2:$A$644=A259)*(ROW($A$2:$A$644)&gt;=ROW())*(ROW($A$2:$A$644)&lt;ROW()+3)*$C$2:$C$644),"")</f>
        <v>138</v>
      </c>
      <c r="K259" s="0" t="n">
        <f aca="false">IF(J259="","",ROUNDUP(J259/75,0))</f>
        <v>2</v>
      </c>
      <c r="L259" s="0" t="str">
        <f aca="false">IF(MOD(F259-1,5)=0,SUMPRODUCT(($A$2:$A$644=A259)*(ROW($A$2:$A$644)&gt;=ROW())*(ROW($A$2:$A$644)&lt;ROW()+5)*$C$2:$C$644),"")</f>
        <v/>
      </c>
      <c r="M259" s="0" t="str">
        <f aca="false">IF(L259="","",ROUNDUP(L259/75,0))</f>
        <v/>
      </c>
      <c r="N259" s="0" t="n">
        <f aca="false">IF(MOD(F259-1,7)=0,SUMPRODUCT(($A$2:$A$644=A259)*(ROW($A$2:$A$644)&gt;=ROW())*(ROW($A$2:$A$644)&lt;ROW()+7)*$C$2:$C$644),"")</f>
        <v>411</v>
      </c>
      <c r="O259" s="0" t="n">
        <f aca="false">IF(N259="","",ROUNDUP(N259/75,0))</f>
        <v>6</v>
      </c>
    </row>
    <row r="260" customFormat="false" ht="15" hidden="false" customHeight="false" outlineLevel="0" collapsed="false">
      <c r="A260" s="0" t="s">
        <v>249</v>
      </c>
      <c r="B260" s="0" t="s">
        <v>293</v>
      </c>
      <c r="C260" s="0" t="n">
        <v>18</v>
      </c>
      <c r="D260" s="0" t="n">
        <v>1</v>
      </c>
      <c r="E260" s="0" t="n">
        <v>57</v>
      </c>
      <c r="F260" s="0" t="n">
        <f aca="false">COUNTIF($A$2:A260,A260)</f>
        <v>44</v>
      </c>
      <c r="G260" s="0" t="n">
        <f aca="false">ROUNDUP(C260*1.236/75,0)</f>
        <v>1</v>
      </c>
      <c r="H260" s="0" t="str">
        <f aca="false">IF(MOD(F260-1,2)=0,SUMPRODUCT(($A$2:$A$644=A260)*(ROW($A$2:$A$644)&gt;=ROW())*(ROW($A$2:$A$644)&lt;ROW()+2)*$C$2:$C$644),"")</f>
        <v/>
      </c>
      <c r="I260" s="0" t="str">
        <f aca="false">IF(H260="","",ROUNDUP(H260/75,0))</f>
        <v/>
      </c>
      <c r="J260" s="0" t="str">
        <f aca="false">IF(MOD(F260-1,3)=0,SUMPRODUCT(($A$2:$A$644=A260)*(ROW($A$2:$A$644)&gt;=ROW())*(ROW($A$2:$A$644)&lt;ROW()+3)*$C$2:$C$644),"")</f>
        <v/>
      </c>
      <c r="K260" s="0" t="str">
        <f aca="false">IF(J260="","",ROUNDUP(J260/75,0))</f>
        <v/>
      </c>
      <c r="L260" s="0" t="str">
        <f aca="false">IF(MOD(F260-1,5)=0,SUMPRODUCT(($A$2:$A$644=A260)*(ROW($A$2:$A$644)&gt;=ROW())*(ROW($A$2:$A$644)&lt;ROW()+5)*$C$2:$C$644),"")</f>
        <v/>
      </c>
      <c r="M260" s="0" t="str">
        <f aca="false">IF(L260="","",ROUNDUP(L260/75,0))</f>
        <v/>
      </c>
      <c r="N260" s="0" t="str">
        <f aca="false">IF(MOD(F260-1,7)=0,SUMPRODUCT(($A$2:$A$644=A260)*(ROW($A$2:$A$644)&gt;=ROW())*(ROW($A$2:$A$644)&lt;ROW()+7)*$C$2:$C$644),"")</f>
        <v/>
      </c>
      <c r="O260" s="0" t="str">
        <f aca="false">IF(N260="","",ROUNDUP(N260/75,0))</f>
        <v/>
      </c>
    </row>
    <row r="261" customFormat="false" ht="15" hidden="false" customHeight="false" outlineLevel="0" collapsed="false">
      <c r="A261" s="0" t="s">
        <v>249</v>
      </c>
      <c r="B261" s="0" t="s">
        <v>294</v>
      </c>
      <c r="C261" s="0" t="n">
        <v>84</v>
      </c>
      <c r="D261" s="0" t="n">
        <v>2</v>
      </c>
      <c r="E261" s="0" t="n">
        <v>66</v>
      </c>
      <c r="F261" s="0" t="n">
        <f aca="false">COUNTIF($A$2:A261,A261)</f>
        <v>45</v>
      </c>
      <c r="G261" s="0" t="n">
        <f aca="false">ROUNDUP(C261*1.236/75,0)</f>
        <v>2</v>
      </c>
      <c r="H261" s="0" t="n">
        <f aca="false">IF(MOD(F261-1,2)=0,SUMPRODUCT(($A$2:$A$644=A261)*(ROW($A$2:$A$644)&gt;=ROW())*(ROW($A$2:$A$644)&lt;ROW()+2)*$C$2:$C$644),"")</f>
        <v>108</v>
      </c>
      <c r="I261" s="0" t="n">
        <f aca="false">IF(H261="","",ROUNDUP(H261/75,0))</f>
        <v>2</v>
      </c>
      <c r="J261" s="0" t="str">
        <f aca="false">IF(MOD(F261-1,3)=0,SUMPRODUCT(($A$2:$A$644=A261)*(ROW($A$2:$A$644)&gt;=ROW())*(ROW($A$2:$A$644)&lt;ROW()+3)*$C$2:$C$644),"")</f>
        <v/>
      </c>
      <c r="K261" s="0" t="str">
        <f aca="false">IF(J261="","",ROUNDUP(J261/75,0))</f>
        <v/>
      </c>
      <c r="L261" s="0" t="str">
        <f aca="false">IF(MOD(F261-1,5)=0,SUMPRODUCT(($A$2:$A$644=A261)*(ROW($A$2:$A$644)&gt;=ROW())*(ROW($A$2:$A$644)&lt;ROW()+5)*$C$2:$C$644),"")</f>
        <v/>
      </c>
      <c r="M261" s="0" t="str">
        <f aca="false">IF(L261="","",ROUNDUP(L261/75,0))</f>
        <v/>
      </c>
      <c r="N261" s="0" t="str">
        <f aca="false">IF(MOD(F261-1,7)=0,SUMPRODUCT(($A$2:$A$644=A261)*(ROW($A$2:$A$644)&gt;=ROW())*(ROW($A$2:$A$644)&lt;ROW()+7)*$C$2:$C$644),"")</f>
        <v/>
      </c>
      <c r="O261" s="0" t="str">
        <f aca="false">IF(N261="","",ROUNDUP(N261/75,0))</f>
        <v/>
      </c>
    </row>
    <row r="262" customFormat="false" ht="15" hidden="false" customHeight="false" outlineLevel="0" collapsed="false">
      <c r="A262" s="0" t="s">
        <v>249</v>
      </c>
      <c r="B262" s="0" t="s">
        <v>295</v>
      </c>
      <c r="C262" s="0" t="n">
        <v>24</v>
      </c>
      <c r="D262" s="0" t="n">
        <v>1</v>
      </c>
      <c r="E262" s="0" t="n">
        <v>51</v>
      </c>
      <c r="F262" s="0" t="n">
        <f aca="false">COUNTIF($A$2:A262,A262)</f>
        <v>46</v>
      </c>
      <c r="G262" s="0" t="n">
        <f aca="false">ROUNDUP(C262*1.236/75,0)</f>
        <v>1</v>
      </c>
      <c r="H262" s="0" t="str">
        <f aca="false">IF(MOD(F262-1,2)=0,SUMPRODUCT(($A$2:$A$644=A262)*(ROW($A$2:$A$644)&gt;=ROW())*(ROW($A$2:$A$644)&lt;ROW()+2)*$C$2:$C$644),"")</f>
        <v/>
      </c>
      <c r="I262" s="0" t="str">
        <f aca="false">IF(H262="","",ROUNDUP(H262/75,0))</f>
        <v/>
      </c>
      <c r="J262" s="0" t="n">
        <f aca="false">IF(MOD(F262-1,3)=0,SUMPRODUCT(($A$2:$A$644=A262)*(ROW($A$2:$A$644)&gt;=ROW())*(ROW($A$2:$A$644)&lt;ROW()+3)*$C$2:$C$644),"")</f>
        <v>201</v>
      </c>
      <c r="K262" s="0" t="n">
        <f aca="false">IF(J262="","",ROUNDUP(J262/75,0))</f>
        <v>3</v>
      </c>
      <c r="L262" s="0" t="n">
        <f aca="false">IF(MOD(F262-1,5)=0,SUMPRODUCT(($A$2:$A$644=A262)*(ROW($A$2:$A$644)&gt;=ROW())*(ROW($A$2:$A$644)&lt;ROW()+5)*$C$2:$C$644),"")</f>
        <v>327</v>
      </c>
      <c r="M262" s="0" t="n">
        <f aca="false">IF(L262="","",ROUNDUP(L262/75,0))</f>
        <v>5</v>
      </c>
      <c r="N262" s="0" t="str">
        <f aca="false">IF(MOD(F262-1,7)=0,SUMPRODUCT(($A$2:$A$644=A262)*(ROW($A$2:$A$644)&gt;=ROW())*(ROW($A$2:$A$644)&lt;ROW()+7)*$C$2:$C$644),"")</f>
        <v/>
      </c>
      <c r="O262" s="0" t="str">
        <f aca="false">IF(N262="","",ROUNDUP(N262/75,0))</f>
        <v/>
      </c>
    </row>
    <row r="263" customFormat="false" ht="15" hidden="false" customHeight="false" outlineLevel="0" collapsed="false">
      <c r="A263" s="0" t="s">
        <v>249</v>
      </c>
      <c r="B263" s="0" t="s">
        <v>296</v>
      </c>
      <c r="C263" s="0" t="n">
        <v>54</v>
      </c>
      <c r="D263" s="0" t="n">
        <v>1</v>
      </c>
      <c r="E263" s="0" t="n">
        <v>21</v>
      </c>
      <c r="F263" s="0" t="n">
        <f aca="false">COUNTIF($A$2:A263,A263)</f>
        <v>47</v>
      </c>
      <c r="G263" s="0" t="n">
        <f aca="false">ROUNDUP(C263*1.236/75,0)</f>
        <v>1</v>
      </c>
      <c r="H263" s="0" t="n">
        <f aca="false">IF(MOD(F263-1,2)=0,SUMPRODUCT(($A$2:$A$644=A263)*(ROW($A$2:$A$644)&gt;=ROW())*(ROW($A$2:$A$644)&lt;ROW()+2)*$C$2:$C$644),"")</f>
        <v>177</v>
      </c>
      <c r="I263" s="0" t="n">
        <f aca="false">IF(H263="","",ROUNDUP(H263/75,0))</f>
        <v>3</v>
      </c>
      <c r="J263" s="0" t="str">
        <f aca="false">IF(MOD(F263-1,3)=0,SUMPRODUCT(($A$2:$A$644=A263)*(ROW($A$2:$A$644)&gt;=ROW())*(ROW($A$2:$A$644)&lt;ROW()+3)*$C$2:$C$644),"")</f>
        <v/>
      </c>
      <c r="K263" s="0" t="str">
        <f aca="false">IF(J263="","",ROUNDUP(J263/75,0))</f>
        <v/>
      </c>
      <c r="L263" s="0" t="str">
        <f aca="false">IF(MOD(F263-1,5)=0,SUMPRODUCT(($A$2:$A$644=A263)*(ROW($A$2:$A$644)&gt;=ROW())*(ROW($A$2:$A$644)&lt;ROW()+5)*$C$2:$C$644),"")</f>
        <v/>
      </c>
      <c r="M263" s="0" t="str">
        <f aca="false">IF(L263="","",ROUNDUP(L263/75,0))</f>
        <v/>
      </c>
      <c r="N263" s="0" t="str">
        <f aca="false">IF(MOD(F263-1,7)=0,SUMPRODUCT(($A$2:$A$644=A263)*(ROW($A$2:$A$644)&gt;=ROW())*(ROW($A$2:$A$644)&lt;ROW()+7)*$C$2:$C$644),"")</f>
        <v/>
      </c>
      <c r="O263" s="0" t="str">
        <f aca="false">IF(N263="","",ROUNDUP(N263/75,0))</f>
        <v/>
      </c>
    </row>
    <row r="264" customFormat="false" ht="15" hidden="false" customHeight="false" outlineLevel="0" collapsed="false">
      <c r="A264" s="0" t="s">
        <v>249</v>
      </c>
      <c r="B264" s="0" t="s">
        <v>297</v>
      </c>
      <c r="C264" s="0" t="n">
        <v>123</v>
      </c>
      <c r="D264" s="0" t="n">
        <v>2</v>
      </c>
      <c r="E264" s="0" t="n">
        <v>27</v>
      </c>
      <c r="F264" s="0" t="n">
        <f aca="false">COUNTIF($A$2:A264,A264)</f>
        <v>48</v>
      </c>
      <c r="G264" s="0" t="n">
        <f aca="false">ROUNDUP(C264*1.236/75,0)</f>
        <v>3</v>
      </c>
      <c r="H264" s="0" t="str">
        <f aca="false">IF(MOD(F264-1,2)=0,SUMPRODUCT(($A$2:$A$644=A264)*(ROW($A$2:$A$644)&gt;=ROW())*(ROW($A$2:$A$644)&lt;ROW()+2)*$C$2:$C$644),"")</f>
        <v/>
      </c>
      <c r="I264" s="0" t="str">
        <f aca="false">IF(H264="","",ROUNDUP(H264/75,0))</f>
        <v/>
      </c>
      <c r="J264" s="0" t="str">
        <f aca="false">IF(MOD(F264-1,3)=0,SUMPRODUCT(($A$2:$A$644=A264)*(ROW($A$2:$A$644)&gt;=ROW())*(ROW($A$2:$A$644)&lt;ROW()+3)*$C$2:$C$644),"")</f>
        <v/>
      </c>
      <c r="K264" s="0" t="str">
        <f aca="false">IF(J264="","",ROUNDUP(J264/75,0))</f>
        <v/>
      </c>
      <c r="L264" s="0" t="str">
        <f aca="false">IF(MOD(F264-1,5)=0,SUMPRODUCT(($A$2:$A$644=A264)*(ROW($A$2:$A$644)&gt;=ROW())*(ROW($A$2:$A$644)&lt;ROW()+5)*$C$2:$C$644),"")</f>
        <v/>
      </c>
      <c r="M264" s="0" t="str">
        <f aca="false">IF(L264="","",ROUNDUP(L264/75,0))</f>
        <v/>
      </c>
      <c r="N264" s="0" t="str">
        <f aca="false">IF(MOD(F264-1,7)=0,SUMPRODUCT(($A$2:$A$644=A264)*(ROW($A$2:$A$644)&gt;=ROW())*(ROW($A$2:$A$644)&lt;ROW()+7)*$C$2:$C$644),"")</f>
        <v/>
      </c>
      <c r="O264" s="0" t="str">
        <f aca="false">IF(N264="","",ROUNDUP(N264/75,0))</f>
        <v/>
      </c>
    </row>
    <row r="265" customFormat="false" ht="15" hidden="false" customHeight="false" outlineLevel="0" collapsed="false">
      <c r="A265" s="0" t="s">
        <v>249</v>
      </c>
      <c r="B265" s="0" t="s">
        <v>298</v>
      </c>
      <c r="C265" s="0" t="n">
        <v>72</v>
      </c>
      <c r="D265" s="0" t="n">
        <v>1</v>
      </c>
      <c r="E265" s="0" t="n">
        <v>3</v>
      </c>
      <c r="F265" s="0" t="n">
        <f aca="false">COUNTIF($A$2:A265,A265)</f>
        <v>49</v>
      </c>
      <c r="G265" s="0" t="n">
        <f aca="false">ROUNDUP(C265*1.236/75,0)</f>
        <v>2</v>
      </c>
      <c r="H265" s="0" t="n">
        <f aca="false">IF(MOD(F265-1,2)=0,SUMPRODUCT(($A$2:$A$644=A265)*(ROW($A$2:$A$644)&gt;=ROW())*(ROW($A$2:$A$644)&lt;ROW()+2)*$C$2:$C$644),"")</f>
        <v>126</v>
      </c>
      <c r="I265" s="0" t="n">
        <f aca="false">IF(H265="","",ROUNDUP(H265/75,0))</f>
        <v>2</v>
      </c>
      <c r="J265" s="0" t="n">
        <f aca="false">IF(MOD(F265-1,3)=0,SUMPRODUCT(($A$2:$A$644=A265)*(ROW($A$2:$A$644)&gt;=ROW())*(ROW($A$2:$A$644)&lt;ROW()+3)*$C$2:$C$644),"")</f>
        <v>216</v>
      </c>
      <c r="K265" s="0" t="n">
        <f aca="false">IF(J265="","",ROUNDUP(J265/75,0))</f>
        <v>3</v>
      </c>
      <c r="L265" s="0" t="str">
        <f aca="false">IF(MOD(F265-1,5)=0,SUMPRODUCT(($A$2:$A$644=A265)*(ROW($A$2:$A$644)&gt;=ROW())*(ROW($A$2:$A$644)&lt;ROW()+5)*$C$2:$C$644),"")</f>
        <v/>
      </c>
      <c r="M265" s="0" t="str">
        <f aca="false">IF(L265="","",ROUNDUP(L265/75,0))</f>
        <v/>
      </c>
      <c r="N265" s="0" t="str">
        <f aca="false">IF(MOD(F265-1,7)=0,SUMPRODUCT(($A$2:$A$644=A265)*(ROW($A$2:$A$644)&gt;=ROW())*(ROW($A$2:$A$644)&lt;ROW()+7)*$C$2:$C$644),"")</f>
        <v/>
      </c>
      <c r="O265" s="0" t="str">
        <f aca="false">IF(N265="","",ROUNDUP(N265/75,0))</f>
        <v/>
      </c>
    </row>
    <row r="266" customFormat="false" ht="15" hidden="false" customHeight="false" outlineLevel="0" collapsed="false">
      <c r="A266" s="0" t="s">
        <v>249</v>
      </c>
      <c r="B266" s="0" t="s">
        <v>299</v>
      </c>
      <c r="C266" s="0" t="n">
        <v>54</v>
      </c>
      <c r="D266" s="0" t="n">
        <v>1</v>
      </c>
      <c r="E266" s="0" t="n">
        <v>21</v>
      </c>
      <c r="F266" s="0" t="n">
        <f aca="false">COUNTIF($A$2:A266,A266)</f>
        <v>50</v>
      </c>
      <c r="G266" s="0" t="n">
        <f aca="false">ROUNDUP(C266*1.236/75,0)</f>
        <v>1</v>
      </c>
      <c r="H266" s="0" t="str">
        <f aca="false">IF(MOD(F266-1,2)=0,SUMPRODUCT(($A$2:$A$644=A266)*(ROW($A$2:$A$644)&gt;=ROW())*(ROW($A$2:$A$644)&lt;ROW()+2)*$C$2:$C$644),"")</f>
        <v/>
      </c>
      <c r="I266" s="0" t="str">
        <f aca="false">IF(H266="","",ROUNDUP(H266/75,0))</f>
        <v/>
      </c>
      <c r="J266" s="0" t="str">
        <f aca="false">IF(MOD(F266-1,3)=0,SUMPRODUCT(($A$2:$A$644=A266)*(ROW($A$2:$A$644)&gt;=ROW())*(ROW($A$2:$A$644)&lt;ROW()+3)*$C$2:$C$644),"")</f>
        <v/>
      </c>
      <c r="K266" s="0" t="str">
        <f aca="false">IF(J266="","",ROUNDUP(J266/75,0))</f>
        <v/>
      </c>
      <c r="L266" s="0" t="str">
        <f aca="false">IF(MOD(F266-1,5)=0,SUMPRODUCT(($A$2:$A$644=A266)*(ROW($A$2:$A$644)&gt;=ROW())*(ROW($A$2:$A$644)&lt;ROW()+5)*$C$2:$C$644),"")</f>
        <v/>
      </c>
      <c r="M266" s="0" t="str">
        <f aca="false">IF(L266="","",ROUNDUP(L266/75,0))</f>
        <v/>
      </c>
      <c r="N266" s="0" t="n">
        <f aca="false">IF(MOD(F266-1,7)=0,SUMPRODUCT(($A$2:$A$644=A266)*(ROW($A$2:$A$644)&gt;=ROW())*(ROW($A$2:$A$644)&lt;ROW()+7)*$C$2:$C$644),"")</f>
        <v>354</v>
      </c>
      <c r="O266" s="0" t="n">
        <f aca="false">IF(N266="","",ROUNDUP(N266/75,0))</f>
        <v>5</v>
      </c>
    </row>
    <row r="267" customFormat="false" ht="15" hidden="false" customHeight="false" outlineLevel="0" collapsed="false">
      <c r="A267" s="0" t="s">
        <v>249</v>
      </c>
      <c r="B267" s="0" t="s">
        <v>300</v>
      </c>
      <c r="C267" s="0" t="n">
        <v>90</v>
      </c>
      <c r="D267" s="0" t="n">
        <v>2</v>
      </c>
      <c r="E267" s="0" t="n">
        <v>60</v>
      </c>
      <c r="F267" s="0" t="n">
        <f aca="false">COUNTIF($A$2:A267,A267)</f>
        <v>51</v>
      </c>
      <c r="G267" s="0" t="n">
        <f aca="false">ROUNDUP(C267*1.236/75,0)</f>
        <v>2</v>
      </c>
      <c r="H267" s="0" t="n">
        <f aca="false">IF(MOD(F267-1,2)=0,SUMPRODUCT(($A$2:$A$644=A267)*(ROW($A$2:$A$644)&gt;=ROW())*(ROW($A$2:$A$644)&lt;ROW()+2)*$C$2:$C$644),"")</f>
        <v>132</v>
      </c>
      <c r="I267" s="0" t="n">
        <f aca="false">IF(H267="","",ROUNDUP(H267/75,0))</f>
        <v>2</v>
      </c>
      <c r="J267" s="0" t="str">
        <f aca="false">IF(MOD(F267-1,3)=0,SUMPRODUCT(($A$2:$A$644=A267)*(ROW($A$2:$A$644)&gt;=ROW())*(ROW($A$2:$A$644)&lt;ROW()+3)*$C$2:$C$644),"")</f>
        <v/>
      </c>
      <c r="K267" s="0" t="str">
        <f aca="false">IF(J267="","",ROUNDUP(J267/75,0))</f>
        <v/>
      </c>
      <c r="L267" s="0" t="n">
        <f aca="false">IF(MOD(F267-1,5)=0,SUMPRODUCT(($A$2:$A$644=A267)*(ROW($A$2:$A$644)&gt;=ROW())*(ROW($A$2:$A$644)&lt;ROW()+5)*$C$2:$C$644),"")</f>
        <v>258</v>
      </c>
      <c r="M267" s="0" t="n">
        <f aca="false">IF(L267="","",ROUNDUP(L267/75,0))</f>
        <v>4</v>
      </c>
      <c r="N267" s="0" t="str">
        <f aca="false">IF(MOD(F267-1,7)=0,SUMPRODUCT(($A$2:$A$644=A267)*(ROW($A$2:$A$644)&gt;=ROW())*(ROW($A$2:$A$644)&lt;ROW()+7)*$C$2:$C$644),"")</f>
        <v/>
      </c>
      <c r="O267" s="0" t="str">
        <f aca="false">IF(N267="","",ROUNDUP(N267/75,0))</f>
        <v/>
      </c>
    </row>
    <row r="268" customFormat="false" ht="15" hidden="false" customHeight="false" outlineLevel="0" collapsed="false">
      <c r="A268" s="0" t="s">
        <v>249</v>
      </c>
      <c r="B268" s="0" t="s">
        <v>301</v>
      </c>
      <c r="C268" s="0" t="n">
        <v>42</v>
      </c>
      <c r="D268" s="0" t="n">
        <v>1</v>
      </c>
      <c r="E268" s="0" t="n">
        <v>33</v>
      </c>
      <c r="F268" s="0" t="n">
        <f aca="false">COUNTIF($A$2:A268,A268)</f>
        <v>52</v>
      </c>
      <c r="G268" s="0" t="n">
        <f aca="false">ROUNDUP(C268*1.236/75,0)</f>
        <v>1</v>
      </c>
      <c r="H268" s="0" t="str">
        <f aca="false">IF(MOD(F268-1,2)=0,SUMPRODUCT(($A$2:$A$644=A268)*(ROW($A$2:$A$644)&gt;=ROW())*(ROW($A$2:$A$644)&lt;ROW()+2)*$C$2:$C$644),"")</f>
        <v/>
      </c>
      <c r="I268" s="0" t="str">
        <f aca="false">IF(H268="","",ROUNDUP(H268/75,0))</f>
        <v/>
      </c>
      <c r="J268" s="0" t="n">
        <f aca="false">IF(MOD(F268-1,3)=0,SUMPRODUCT(($A$2:$A$644=A268)*(ROW($A$2:$A$644)&gt;=ROW())*(ROW($A$2:$A$644)&lt;ROW()+3)*$C$2:$C$644),"")</f>
        <v>126</v>
      </c>
      <c r="K268" s="0" t="n">
        <f aca="false">IF(J268="","",ROUNDUP(J268/75,0))</f>
        <v>2</v>
      </c>
      <c r="L268" s="0" t="str">
        <f aca="false">IF(MOD(F268-1,5)=0,SUMPRODUCT(($A$2:$A$644=A268)*(ROW($A$2:$A$644)&gt;=ROW())*(ROW($A$2:$A$644)&lt;ROW()+5)*$C$2:$C$644),"")</f>
        <v/>
      </c>
      <c r="M268" s="0" t="str">
        <f aca="false">IF(L268="","",ROUNDUP(L268/75,0))</f>
        <v/>
      </c>
      <c r="N268" s="0" t="str">
        <f aca="false">IF(MOD(F268-1,7)=0,SUMPRODUCT(($A$2:$A$644=A268)*(ROW($A$2:$A$644)&gt;=ROW())*(ROW($A$2:$A$644)&lt;ROW()+7)*$C$2:$C$644),"")</f>
        <v/>
      </c>
      <c r="O268" s="0" t="str">
        <f aca="false">IF(N268="","",ROUNDUP(N268/75,0))</f>
        <v/>
      </c>
    </row>
    <row r="269" customFormat="false" ht="15" hidden="false" customHeight="false" outlineLevel="0" collapsed="false">
      <c r="A269" s="0" t="s">
        <v>249</v>
      </c>
      <c r="B269" s="0" t="s">
        <v>302</v>
      </c>
      <c r="C269" s="0" t="n">
        <v>60</v>
      </c>
      <c r="D269" s="0" t="n">
        <v>1</v>
      </c>
      <c r="E269" s="0" t="n">
        <v>15</v>
      </c>
      <c r="F269" s="0" t="n">
        <f aca="false">COUNTIF($A$2:A269,A269)</f>
        <v>53</v>
      </c>
      <c r="G269" s="0" t="n">
        <f aca="false">ROUNDUP(C269*1.236/75,0)</f>
        <v>1</v>
      </c>
      <c r="H269" s="0" t="n">
        <f aca="false">IF(MOD(F269-1,2)=0,SUMPRODUCT(($A$2:$A$644=A269)*(ROW($A$2:$A$644)&gt;=ROW())*(ROW($A$2:$A$644)&lt;ROW()+2)*$C$2:$C$644),"")</f>
        <v>84</v>
      </c>
      <c r="I269" s="0" t="n">
        <f aca="false">IF(H269="","",ROUNDUP(H269/75,0))</f>
        <v>2</v>
      </c>
      <c r="J269" s="0" t="str">
        <f aca="false">IF(MOD(F269-1,3)=0,SUMPRODUCT(($A$2:$A$644=A269)*(ROW($A$2:$A$644)&gt;=ROW())*(ROW($A$2:$A$644)&lt;ROW()+3)*$C$2:$C$644),"")</f>
        <v/>
      </c>
      <c r="K269" s="0" t="str">
        <f aca="false">IF(J269="","",ROUNDUP(J269/75,0))</f>
        <v/>
      </c>
      <c r="L269" s="0" t="str">
        <f aca="false">IF(MOD(F269-1,5)=0,SUMPRODUCT(($A$2:$A$644=A269)*(ROW($A$2:$A$644)&gt;=ROW())*(ROW($A$2:$A$644)&lt;ROW()+5)*$C$2:$C$644),"")</f>
        <v/>
      </c>
      <c r="M269" s="0" t="str">
        <f aca="false">IF(L269="","",ROUNDUP(L269/75,0))</f>
        <v/>
      </c>
      <c r="N269" s="0" t="str">
        <f aca="false">IF(MOD(F269-1,7)=0,SUMPRODUCT(($A$2:$A$644=A269)*(ROW($A$2:$A$644)&gt;=ROW())*(ROW($A$2:$A$644)&lt;ROW()+7)*$C$2:$C$644),"")</f>
        <v/>
      </c>
      <c r="O269" s="0" t="str">
        <f aca="false">IF(N269="","",ROUNDUP(N269/75,0))</f>
        <v/>
      </c>
    </row>
    <row r="270" customFormat="false" ht="15" hidden="false" customHeight="false" outlineLevel="0" collapsed="false">
      <c r="A270" s="0" t="s">
        <v>249</v>
      </c>
      <c r="B270" s="0" t="s">
        <v>303</v>
      </c>
      <c r="C270" s="0" t="n">
        <v>24</v>
      </c>
      <c r="D270" s="0" t="n">
        <v>1</v>
      </c>
      <c r="E270" s="0" t="n">
        <v>51</v>
      </c>
      <c r="F270" s="0" t="n">
        <f aca="false">COUNTIF($A$2:A270,A270)</f>
        <v>54</v>
      </c>
      <c r="G270" s="0" t="n">
        <f aca="false">ROUNDUP(C270*1.236/75,0)</f>
        <v>1</v>
      </c>
      <c r="H270" s="0" t="str">
        <f aca="false">IF(MOD(F270-1,2)=0,SUMPRODUCT(($A$2:$A$644=A270)*(ROW($A$2:$A$644)&gt;=ROW())*(ROW($A$2:$A$644)&lt;ROW()+2)*$C$2:$C$644),"")</f>
        <v/>
      </c>
      <c r="I270" s="0" t="str">
        <f aca="false">IF(H270="","",ROUNDUP(H270/75,0))</f>
        <v/>
      </c>
      <c r="J270" s="0" t="str">
        <f aca="false">IF(MOD(F270-1,3)=0,SUMPRODUCT(($A$2:$A$644=A270)*(ROW($A$2:$A$644)&gt;=ROW())*(ROW($A$2:$A$644)&lt;ROW()+3)*$C$2:$C$644),"")</f>
        <v/>
      </c>
      <c r="K270" s="0" t="str">
        <f aca="false">IF(J270="","",ROUNDUP(J270/75,0))</f>
        <v/>
      </c>
      <c r="L270" s="0" t="str">
        <f aca="false">IF(MOD(F270-1,5)=0,SUMPRODUCT(($A$2:$A$644=A270)*(ROW($A$2:$A$644)&gt;=ROW())*(ROW($A$2:$A$644)&lt;ROW()+5)*$C$2:$C$644),"")</f>
        <v/>
      </c>
      <c r="M270" s="0" t="str">
        <f aca="false">IF(L270="","",ROUNDUP(L270/75,0))</f>
        <v/>
      </c>
      <c r="N270" s="0" t="str">
        <f aca="false">IF(MOD(F270-1,7)=0,SUMPRODUCT(($A$2:$A$644=A270)*(ROW($A$2:$A$644)&gt;=ROW())*(ROW($A$2:$A$644)&lt;ROW()+7)*$C$2:$C$644),"")</f>
        <v/>
      </c>
      <c r="O270" s="0" t="str">
        <f aca="false">IF(N270="","",ROUNDUP(N270/75,0))</f>
        <v/>
      </c>
    </row>
    <row r="271" customFormat="false" ht="15" hidden="false" customHeight="false" outlineLevel="0" collapsed="false">
      <c r="A271" s="0" t="s">
        <v>249</v>
      </c>
      <c r="B271" s="0" t="s">
        <v>304</v>
      </c>
      <c r="C271" s="0" t="n">
        <v>42</v>
      </c>
      <c r="D271" s="0" t="n">
        <v>1</v>
      </c>
      <c r="E271" s="0" t="n">
        <v>33</v>
      </c>
      <c r="F271" s="0" t="n">
        <f aca="false">COUNTIF($A$2:A271,A271)</f>
        <v>55</v>
      </c>
      <c r="G271" s="0" t="n">
        <f aca="false">ROUNDUP(C271*1.236/75,0)</f>
        <v>1</v>
      </c>
      <c r="H271" s="0" t="n">
        <f aca="false">IF(MOD(F271-1,2)=0,SUMPRODUCT(($A$2:$A$644=A271)*(ROW($A$2:$A$644)&gt;=ROW())*(ROW($A$2:$A$644)&lt;ROW()+2)*$C$2:$C$644),"")</f>
        <v>84</v>
      </c>
      <c r="I271" s="0" t="n">
        <f aca="false">IF(H271="","",ROUNDUP(H271/75,0))</f>
        <v>2</v>
      </c>
      <c r="J271" s="0" t="n">
        <f aca="false">IF(MOD(F271-1,3)=0,SUMPRODUCT(($A$2:$A$644=A271)*(ROW($A$2:$A$644)&gt;=ROW())*(ROW($A$2:$A$644)&lt;ROW()+3)*$C$2:$C$644),"")</f>
        <v>204</v>
      </c>
      <c r="K271" s="0" t="n">
        <f aca="false">IF(J271="","",ROUNDUP(J271/75,0))</f>
        <v>3</v>
      </c>
      <c r="L271" s="0" t="str">
        <f aca="false">IF(MOD(F271-1,5)=0,SUMPRODUCT(($A$2:$A$644=A271)*(ROW($A$2:$A$644)&gt;=ROW())*(ROW($A$2:$A$644)&lt;ROW()+5)*$C$2:$C$644),"")</f>
        <v/>
      </c>
      <c r="M271" s="0" t="str">
        <f aca="false">IF(L271="","",ROUNDUP(L271/75,0))</f>
        <v/>
      </c>
      <c r="N271" s="0" t="str">
        <f aca="false">IF(MOD(F271-1,7)=0,SUMPRODUCT(($A$2:$A$644=A271)*(ROW($A$2:$A$644)&gt;=ROW())*(ROW($A$2:$A$644)&lt;ROW()+7)*$C$2:$C$644),"")</f>
        <v/>
      </c>
      <c r="O271" s="0" t="str">
        <f aca="false">IF(N271="","",ROUNDUP(N271/75,0))</f>
        <v/>
      </c>
    </row>
    <row r="272" customFormat="false" ht="15" hidden="false" customHeight="false" outlineLevel="0" collapsed="false">
      <c r="A272" s="0" t="s">
        <v>249</v>
      </c>
      <c r="B272" s="0" t="s">
        <v>305</v>
      </c>
      <c r="C272" s="0" t="n">
        <v>42</v>
      </c>
      <c r="D272" s="0" t="n">
        <v>1</v>
      </c>
      <c r="E272" s="0" t="n">
        <v>33</v>
      </c>
      <c r="F272" s="0" t="n">
        <f aca="false">COUNTIF($A$2:A272,A272)</f>
        <v>56</v>
      </c>
      <c r="G272" s="0" t="n">
        <f aca="false">ROUNDUP(C272*1.236/75,0)</f>
        <v>1</v>
      </c>
      <c r="H272" s="0" t="str">
        <f aca="false">IF(MOD(F272-1,2)=0,SUMPRODUCT(($A$2:$A$644=A272)*(ROW($A$2:$A$644)&gt;=ROW())*(ROW($A$2:$A$644)&lt;ROW()+2)*$C$2:$C$644),"")</f>
        <v/>
      </c>
      <c r="I272" s="0" t="str">
        <f aca="false">IF(H272="","",ROUNDUP(H272/75,0))</f>
        <v/>
      </c>
      <c r="J272" s="0" t="str">
        <f aca="false">IF(MOD(F272-1,3)=0,SUMPRODUCT(($A$2:$A$644=A272)*(ROW($A$2:$A$644)&gt;=ROW())*(ROW($A$2:$A$644)&lt;ROW()+3)*$C$2:$C$644),"")</f>
        <v/>
      </c>
      <c r="K272" s="0" t="str">
        <f aca="false">IF(J272="","",ROUNDUP(J272/75,0))</f>
        <v/>
      </c>
      <c r="L272" s="0" t="n">
        <f aca="false">IF(MOD(F272-1,5)=0,SUMPRODUCT(($A$2:$A$644=A272)*(ROW($A$2:$A$644)&gt;=ROW())*(ROW($A$2:$A$644)&lt;ROW()+5)*$C$2:$C$644),"")</f>
        <v>486</v>
      </c>
      <c r="M272" s="0" t="n">
        <f aca="false">IF(L272="","",ROUNDUP(L272/75,0))</f>
        <v>7</v>
      </c>
      <c r="N272" s="0" t="str">
        <f aca="false">IF(MOD(F272-1,7)=0,SUMPRODUCT(($A$2:$A$644=A272)*(ROW($A$2:$A$644)&gt;=ROW())*(ROW($A$2:$A$644)&lt;ROW()+7)*$C$2:$C$644),"")</f>
        <v/>
      </c>
      <c r="O272" s="0" t="str">
        <f aca="false">IF(N272="","",ROUNDUP(N272/75,0))</f>
        <v/>
      </c>
    </row>
    <row r="273" customFormat="false" ht="15" hidden="false" customHeight="false" outlineLevel="0" collapsed="false">
      <c r="A273" s="0" t="s">
        <v>249</v>
      </c>
      <c r="B273" s="0" t="s">
        <v>306</v>
      </c>
      <c r="C273" s="0" t="n">
        <v>120</v>
      </c>
      <c r="D273" s="0" t="n">
        <v>2</v>
      </c>
      <c r="E273" s="0" t="n">
        <v>30</v>
      </c>
      <c r="F273" s="0" t="n">
        <f aca="false">COUNTIF($A$2:A273,A273)</f>
        <v>57</v>
      </c>
      <c r="G273" s="0" t="n">
        <f aca="false">ROUNDUP(C273*1.236/75,0)</f>
        <v>2</v>
      </c>
      <c r="H273" s="0" t="n">
        <f aca="false">IF(MOD(F273-1,2)=0,SUMPRODUCT(($A$2:$A$644=A273)*(ROW($A$2:$A$644)&gt;=ROW())*(ROW($A$2:$A$644)&lt;ROW()+2)*$C$2:$C$644),"")</f>
        <v>204</v>
      </c>
      <c r="I273" s="0" t="n">
        <f aca="false">IF(H273="","",ROUNDUP(H273/75,0))</f>
        <v>3</v>
      </c>
      <c r="J273" s="0" t="str">
        <f aca="false">IF(MOD(F273-1,3)=0,SUMPRODUCT(($A$2:$A$644=A273)*(ROW($A$2:$A$644)&gt;=ROW())*(ROW($A$2:$A$644)&lt;ROW()+3)*$C$2:$C$644),"")</f>
        <v/>
      </c>
      <c r="K273" s="0" t="str">
        <f aca="false">IF(J273="","",ROUNDUP(J273/75,0))</f>
        <v/>
      </c>
      <c r="L273" s="0" t="str">
        <f aca="false">IF(MOD(F273-1,5)=0,SUMPRODUCT(($A$2:$A$644=A273)*(ROW($A$2:$A$644)&gt;=ROW())*(ROW($A$2:$A$644)&lt;ROW()+5)*$C$2:$C$644),"")</f>
        <v/>
      </c>
      <c r="M273" s="0" t="str">
        <f aca="false">IF(L273="","",ROUNDUP(L273/75,0))</f>
        <v/>
      </c>
      <c r="N273" s="0" t="n">
        <f aca="false">IF(MOD(F273-1,7)=0,SUMPRODUCT(($A$2:$A$644=A273)*(ROW($A$2:$A$644)&gt;=ROW())*(ROW($A$2:$A$644)&lt;ROW()+7)*$C$2:$C$644),"")</f>
        <v>618</v>
      </c>
      <c r="O273" s="0" t="n">
        <f aca="false">IF(N273="","",ROUNDUP(N273/75,0))</f>
        <v>9</v>
      </c>
    </row>
    <row r="274" customFormat="false" ht="15" hidden="false" customHeight="false" outlineLevel="0" collapsed="false">
      <c r="A274" s="0" t="s">
        <v>249</v>
      </c>
      <c r="B274" s="0" t="s">
        <v>307</v>
      </c>
      <c r="C274" s="0" t="n">
        <v>84</v>
      </c>
      <c r="D274" s="0" t="n">
        <v>2</v>
      </c>
      <c r="E274" s="0" t="n">
        <v>66</v>
      </c>
      <c r="F274" s="0" t="n">
        <f aca="false">COUNTIF($A$2:A274,A274)</f>
        <v>58</v>
      </c>
      <c r="G274" s="0" t="n">
        <f aca="false">ROUNDUP(C274*1.236/75,0)</f>
        <v>2</v>
      </c>
      <c r="H274" s="0" t="str">
        <f aca="false">IF(MOD(F274-1,2)=0,SUMPRODUCT(($A$2:$A$644=A274)*(ROW($A$2:$A$644)&gt;=ROW())*(ROW($A$2:$A$644)&lt;ROW()+2)*$C$2:$C$644),"")</f>
        <v/>
      </c>
      <c r="I274" s="0" t="str">
        <f aca="false">IF(H274="","",ROUNDUP(H274/75,0))</f>
        <v/>
      </c>
      <c r="J274" s="0" t="n">
        <f aca="false">IF(MOD(F274-1,3)=0,SUMPRODUCT(($A$2:$A$644=A274)*(ROW($A$2:$A$644)&gt;=ROW())*(ROW($A$2:$A$644)&lt;ROW()+3)*$C$2:$C$644),"")</f>
        <v>324</v>
      </c>
      <c r="K274" s="0" t="n">
        <f aca="false">IF(J274="","",ROUNDUP(J274/75,0))</f>
        <v>5</v>
      </c>
      <c r="L274" s="0" t="str">
        <f aca="false">IF(MOD(F274-1,5)=0,SUMPRODUCT(($A$2:$A$644=A274)*(ROW($A$2:$A$644)&gt;=ROW())*(ROW($A$2:$A$644)&lt;ROW()+5)*$C$2:$C$644),"")</f>
        <v/>
      </c>
      <c r="M274" s="0" t="str">
        <f aca="false">IF(L274="","",ROUNDUP(L274/75,0))</f>
        <v/>
      </c>
      <c r="N274" s="0" t="str">
        <f aca="false">IF(MOD(F274-1,7)=0,SUMPRODUCT(($A$2:$A$644=A274)*(ROW($A$2:$A$644)&gt;=ROW())*(ROW($A$2:$A$644)&lt;ROW()+7)*$C$2:$C$644),"")</f>
        <v/>
      </c>
      <c r="O274" s="0" t="str">
        <f aca="false">IF(N274="","",ROUNDUP(N274/75,0))</f>
        <v/>
      </c>
    </row>
    <row r="275" customFormat="false" ht="15" hidden="false" customHeight="false" outlineLevel="0" collapsed="false">
      <c r="A275" s="0" t="s">
        <v>249</v>
      </c>
      <c r="B275" s="0" t="s">
        <v>308</v>
      </c>
      <c r="C275" s="0" t="n">
        <v>66</v>
      </c>
      <c r="D275" s="0" t="n">
        <v>1</v>
      </c>
      <c r="E275" s="0" t="n">
        <v>9</v>
      </c>
      <c r="F275" s="0" t="n">
        <f aca="false">COUNTIF($A$2:A275,A275)</f>
        <v>59</v>
      </c>
      <c r="G275" s="0" t="n">
        <f aca="false">ROUNDUP(C275*1.236/75,0)</f>
        <v>2</v>
      </c>
      <c r="H275" s="0" t="n">
        <f aca="false">IF(MOD(F275-1,2)=0,SUMPRODUCT(($A$2:$A$644=A275)*(ROW($A$2:$A$644)&gt;=ROW())*(ROW($A$2:$A$644)&lt;ROW()+2)*$C$2:$C$644),"")</f>
        <v>240</v>
      </c>
      <c r="I275" s="0" t="n">
        <f aca="false">IF(H275="","",ROUNDUP(H275/75,0))</f>
        <v>4</v>
      </c>
      <c r="J275" s="0" t="str">
        <f aca="false">IF(MOD(F275-1,3)=0,SUMPRODUCT(($A$2:$A$644=A275)*(ROW($A$2:$A$644)&gt;=ROW())*(ROW($A$2:$A$644)&lt;ROW()+3)*$C$2:$C$644),"")</f>
        <v/>
      </c>
      <c r="K275" s="0" t="str">
        <f aca="false">IF(J275="","",ROUNDUP(J275/75,0))</f>
        <v/>
      </c>
      <c r="L275" s="0" t="str">
        <f aca="false">IF(MOD(F275-1,5)=0,SUMPRODUCT(($A$2:$A$644=A275)*(ROW($A$2:$A$644)&gt;=ROW())*(ROW($A$2:$A$644)&lt;ROW()+5)*$C$2:$C$644),"")</f>
        <v/>
      </c>
      <c r="M275" s="0" t="str">
        <f aca="false">IF(L275="","",ROUNDUP(L275/75,0))</f>
        <v/>
      </c>
      <c r="N275" s="0" t="str">
        <f aca="false">IF(MOD(F275-1,7)=0,SUMPRODUCT(($A$2:$A$644=A275)*(ROW($A$2:$A$644)&gt;=ROW())*(ROW($A$2:$A$644)&lt;ROW()+7)*$C$2:$C$644),"")</f>
        <v/>
      </c>
      <c r="O275" s="0" t="str">
        <f aca="false">IF(N275="","",ROUNDUP(N275/75,0))</f>
        <v/>
      </c>
    </row>
    <row r="276" customFormat="false" ht="15" hidden="false" customHeight="false" outlineLevel="0" collapsed="false">
      <c r="A276" s="0" t="s">
        <v>249</v>
      </c>
      <c r="B276" s="0" t="s">
        <v>309</v>
      </c>
      <c r="C276" s="0" t="n">
        <v>174</v>
      </c>
      <c r="D276" s="0" t="n">
        <v>3</v>
      </c>
      <c r="E276" s="0" t="n">
        <v>51</v>
      </c>
      <c r="F276" s="0" t="n">
        <f aca="false">COUNTIF($A$2:A276,A276)</f>
        <v>60</v>
      </c>
      <c r="G276" s="0" t="n">
        <f aca="false">ROUNDUP(C276*1.236/75,0)</f>
        <v>3</v>
      </c>
      <c r="H276" s="0" t="str">
        <f aca="false">IF(MOD(F276-1,2)=0,SUMPRODUCT(($A$2:$A$644=A276)*(ROW($A$2:$A$644)&gt;=ROW())*(ROW($A$2:$A$644)&lt;ROW()+2)*$C$2:$C$644),"")</f>
        <v/>
      </c>
      <c r="I276" s="0" t="str">
        <f aca="false">IF(H276="","",ROUNDUP(H276/75,0))</f>
        <v/>
      </c>
      <c r="J276" s="0" t="str">
        <f aca="false">IF(MOD(F276-1,3)=0,SUMPRODUCT(($A$2:$A$644=A276)*(ROW($A$2:$A$644)&gt;=ROW())*(ROW($A$2:$A$644)&lt;ROW()+3)*$C$2:$C$644),"")</f>
        <v/>
      </c>
      <c r="K276" s="0" t="str">
        <f aca="false">IF(J276="","",ROUNDUP(J276/75,0))</f>
        <v/>
      </c>
      <c r="L276" s="0" t="str">
        <f aca="false">IF(MOD(F276-1,5)=0,SUMPRODUCT(($A$2:$A$644=A276)*(ROW($A$2:$A$644)&gt;=ROW())*(ROW($A$2:$A$644)&lt;ROW()+5)*$C$2:$C$644),"")</f>
        <v/>
      </c>
      <c r="M276" s="0" t="str">
        <f aca="false">IF(L276="","",ROUNDUP(L276/75,0))</f>
        <v/>
      </c>
      <c r="N276" s="0" t="str">
        <f aca="false">IF(MOD(F276-1,7)=0,SUMPRODUCT(($A$2:$A$644=A276)*(ROW($A$2:$A$644)&gt;=ROW())*(ROW($A$2:$A$644)&lt;ROW()+7)*$C$2:$C$644),"")</f>
        <v/>
      </c>
      <c r="O276" s="0" t="str">
        <f aca="false">IF(N276="","",ROUNDUP(N276/75,0))</f>
        <v/>
      </c>
    </row>
    <row r="277" customFormat="false" ht="15" hidden="false" customHeight="false" outlineLevel="0" collapsed="false">
      <c r="A277" s="0" t="s">
        <v>249</v>
      </c>
      <c r="B277" s="0" t="s">
        <v>310</v>
      </c>
      <c r="C277" s="0" t="n">
        <v>48</v>
      </c>
      <c r="D277" s="0" t="n">
        <v>1</v>
      </c>
      <c r="E277" s="0" t="n">
        <v>27</v>
      </c>
      <c r="F277" s="0" t="n">
        <f aca="false">COUNTIF($A$2:A277,A277)</f>
        <v>61</v>
      </c>
      <c r="G277" s="0" t="n">
        <f aca="false">ROUNDUP(C277*1.236/75,0)</f>
        <v>1</v>
      </c>
      <c r="H277" s="0" t="n">
        <f aca="false">IF(MOD(F277-1,2)=0,SUMPRODUCT(($A$2:$A$644=A277)*(ROW($A$2:$A$644)&gt;=ROW())*(ROW($A$2:$A$644)&lt;ROW()+2)*$C$2:$C$644),"")</f>
        <v>78</v>
      </c>
      <c r="I277" s="0" t="n">
        <f aca="false">IF(H277="","",ROUNDUP(H277/75,0))</f>
        <v>2</v>
      </c>
      <c r="J277" s="0" t="n">
        <f aca="false">IF(MOD(F277-1,3)=0,SUMPRODUCT(($A$2:$A$644=A277)*(ROW($A$2:$A$644)&gt;=ROW())*(ROW($A$2:$A$644)&lt;ROW()+3)*$C$2:$C$644),"")</f>
        <v>174</v>
      </c>
      <c r="K277" s="0" t="n">
        <f aca="false">IF(J277="","",ROUNDUP(J277/75,0))</f>
        <v>3</v>
      </c>
      <c r="L277" s="0" t="n">
        <f aca="false">IF(MOD(F277-1,5)=0,SUMPRODUCT(($A$2:$A$644=A277)*(ROW($A$2:$A$644)&gt;=ROW())*(ROW($A$2:$A$644)&lt;ROW()+5)*$C$2:$C$644),"")</f>
        <v>336</v>
      </c>
      <c r="M277" s="0" t="n">
        <f aca="false">IF(L277="","",ROUNDUP(L277/75,0))</f>
        <v>5</v>
      </c>
      <c r="N277" s="0" t="str">
        <f aca="false">IF(MOD(F277-1,7)=0,SUMPRODUCT(($A$2:$A$644=A277)*(ROW($A$2:$A$644)&gt;=ROW())*(ROW($A$2:$A$644)&lt;ROW()+7)*$C$2:$C$644),"")</f>
        <v/>
      </c>
      <c r="O277" s="0" t="str">
        <f aca="false">IF(N277="","",ROUNDUP(N277/75,0))</f>
        <v/>
      </c>
    </row>
    <row r="278" customFormat="false" ht="15" hidden="false" customHeight="false" outlineLevel="0" collapsed="false">
      <c r="A278" s="0" t="s">
        <v>249</v>
      </c>
      <c r="B278" s="0" t="s">
        <v>311</v>
      </c>
      <c r="C278" s="0" t="n">
        <v>30</v>
      </c>
      <c r="D278" s="0" t="n">
        <v>1</v>
      </c>
      <c r="E278" s="0" t="n">
        <v>45</v>
      </c>
      <c r="F278" s="0" t="n">
        <f aca="false">COUNTIF($A$2:A278,A278)</f>
        <v>62</v>
      </c>
      <c r="G278" s="0" t="n">
        <f aca="false">ROUNDUP(C278*1.236/75,0)</f>
        <v>1</v>
      </c>
      <c r="H278" s="0" t="str">
        <f aca="false">IF(MOD(F278-1,2)=0,SUMPRODUCT(($A$2:$A$644=A278)*(ROW($A$2:$A$644)&gt;=ROW())*(ROW($A$2:$A$644)&lt;ROW()+2)*$C$2:$C$644),"")</f>
        <v/>
      </c>
      <c r="I278" s="0" t="str">
        <f aca="false">IF(H278="","",ROUNDUP(H278/75,0))</f>
        <v/>
      </c>
      <c r="J278" s="0" t="str">
        <f aca="false">IF(MOD(F278-1,3)=0,SUMPRODUCT(($A$2:$A$644=A278)*(ROW($A$2:$A$644)&gt;=ROW())*(ROW($A$2:$A$644)&lt;ROW()+3)*$C$2:$C$644),"")</f>
        <v/>
      </c>
      <c r="K278" s="0" t="str">
        <f aca="false">IF(J278="","",ROUNDUP(J278/75,0))</f>
        <v/>
      </c>
      <c r="L278" s="0" t="str">
        <f aca="false">IF(MOD(F278-1,5)=0,SUMPRODUCT(($A$2:$A$644=A278)*(ROW($A$2:$A$644)&gt;=ROW())*(ROW($A$2:$A$644)&lt;ROW()+5)*$C$2:$C$644),"")</f>
        <v/>
      </c>
      <c r="M278" s="0" t="str">
        <f aca="false">IF(L278="","",ROUNDUP(L278/75,0))</f>
        <v/>
      </c>
      <c r="N278" s="0" t="str">
        <f aca="false">IF(MOD(F278-1,7)=0,SUMPRODUCT(($A$2:$A$644=A278)*(ROW($A$2:$A$644)&gt;=ROW())*(ROW($A$2:$A$644)&lt;ROW()+7)*$C$2:$C$644),"")</f>
        <v/>
      </c>
      <c r="O278" s="0" t="str">
        <f aca="false">IF(N278="","",ROUNDUP(N278/75,0))</f>
        <v/>
      </c>
    </row>
    <row r="279" customFormat="false" ht="15" hidden="false" customHeight="false" outlineLevel="0" collapsed="false">
      <c r="A279" s="0" t="s">
        <v>249</v>
      </c>
      <c r="B279" s="0" t="s">
        <v>312</v>
      </c>
      <c r="C279" s="0" t="n">
        <v>96</v>
      </c>
      <c r="D279" s="0" t="n">
        <v>2</v>
      </c>
      <c r="E279" s="0" t="n">
        <v>54</v>
      </c>
      <c r="F279" s="0" t="n">
        <f aca="false">COUNTIF($A$2:A279,A279)</f>
        <v>63</v>
      </c>
      <c r="G279" s="0" t="n">
        <f aca="false">ROUNDUP(C279*1.236/75,0)</f>
        <v>2</v>
      </c>
      <c r="H279" s="0" t="n">
        <f aca="false">IF(MOD(F279-1,2)=0,SUMPRODUCT(($A$2:$A$644=A279)*(ROW($A$2:$A$644)&gt;=ROW())*(ROW($A$2:$A$644)&lt;ROW()+2)*$C$2:$C$644),"")</f>
        <v>168</v>
      </c>
      <c r="I279" s="0" t="n">
        <f aca="false">IF(H279="","",ROUNDUP(H279/75,0))</f>
        <v>3</v>
      </c>
      <c r="J279" s="0" t="str">
        <f aca="false">IF(MOD(F279-1,3)=0,SUMPRODUCT(($A$2:$A$644=A279)*(ROW($A$2:$A$644)&gt;=ROW())*(ROW($A$2:$A$644)&lt;ROW()+3)*$C$2:$C$644),"")</f>
        <v/>
      </c>
      <c r="K279" s="0" t="str">
        <f aca="false">IF(J279="","",ROUNDUP(J279/75,0))</f>
        <v/>
      </c>
      <c r="L279" s="0" t="str">
        <f aca="false">IF(MOD(F279-1,5)=0,SUMPRODUCT(($A$2:$A$644=A279)*(ROW($A$2:$A$644)&gt;=ROW())*(ROW($A$2:$A$644)&lt;ROW()+5)*$C$2:$C$644),"")</f>
        <v/>
      </c>
      <c r="M279" s="0" t="str">
        <f aca="false">IF(L279="","",ROUNDUP(L279/75,0))</f>
        <v/>
      </c>
      <c r="N279" s="0" t="str">
        <f aca="false">IF(MOD(F279-1,7)=0,SUMPRODUCT(($A$2:$A$644=A279)*(ROW($A$2:$A$644)&gt;=ROW())*(ROW($A$2:$A$644)&lt;ROW()+7)*$C$2:$C$644),"")</f>
        <v/>
      </c>
      <c r="O279" s="0" t="str">
        <f aca="false">IF(N279="","",ROUNDUP(N279/75,0))</f>
        <v/>
      </c>
    </row>
    <row r="280" customFormat="false" ht="15" hidden="false" customHeight="false" outlineLevel="0" collapsed="false">
      <c r="A280" s="0" t="s">
        <v>249</v>
      </c>
      <c r="B280" s="0" t="s">
        <v>313</v>
      </c>
      <c r="C280" s="0" t="n">
        <v>72</v>
      </c>
      <c r="D280" s="0" t="n">
        <v>1</v>
      </c>
      <c r="E280" s="0" t="n">
        <v>3</v>
      </c>
      <c r="F280" s="0" t="n">
        <f aca="false">COUNTIF($A$2:A280,A280)</f>
        <v>64</v>
      </c>
      <c r="G280" s="0" t="n">
        <f aca="false">ROUNDUP(C280*1.236/75,0)</f>
        <v>2</v>
      </c>
      <c r="H280" s="0" t="str">
        <f aca="false">IF(MOD(F280-1,2)=0,SUMPRODUCT(($A$2:$A$644=A280)*(ROW($A$2:$A$644)&gt;=ROW())*(ROW($A$2:$A$644)&lt;ROW()+2)*$C$2:$C$644),"")</f>
        <v/>
      </c>
      <c r="I280" s="0" t="str">
        <f aca="false">IF(H280="","",ROUNDUP(H280/75,0))</f>
        <v/>
      </c>
      <c r="J280" s="0" t="n">
        <f aca="false">IF(MOD(F280-1,3)=0,SUMPRODUCT(($A$2:$A$644=A280)*(ROW($A$2:$A$644)&gt;=ROW())*(ROW($A$2:$A$644)&lt;ROW()+3)*$C$2:$C$644),"")</f>
        <v>228</v>
      </c>
      <c r="K280" s="0" t="n">
        <f aca="false">IF(J280="","",ROUNDUP(J280/75,0))</f>
        <v>4</v>
      </c>
      <c r="L280" s="0" t="str">
        <f aca="false">IF(MOD(F280-1,5)=0,SUMPRODUCT(($A$2:$A$644=A280)*(ROW($A$2:$A$644)&gt;=ROW())*(ROW($A$2:$A$644)&lt;ROW()+5)*$C$2:$C$644),"")</f>
        <v/>
      </c>
      <c r="M280" s="0" t="str">
        <f aca="false">IF(L280="","",ROUNDUP(L280/75,0))</f>
        <v/>
      </c>
      <c r="N280" s="0" t="n">
        <f aca="false">IF(MOD(F280-1,7)=0,SUMPRODUCT(($A$2:$A$644=A280)*(ROW($A$2:$A$644)&gt;=ROW())*(ROW($A$2:$A$644)&lt;ROW()+7)*$C$2:$C$644),"")</f>
        <v>594</v>
      </c>
      <c r="O280" s="0" t="n">
        <f aca="false">IF(N280="","",ROUNDUP(N280/75,0))</f>
        <v>8</v>
      </c>
    </row>
    <row r="281" customFormat="false" ht="15" hidden="false" customHeight="false" outlineLevel="0" collapsed="false">
      <c r="A281" s="0" t="s">
        <v>249</v>
      </c>
      <c r="B281" s="0" t="s">
        <v>314</v>
      </c>
      <c r="C281" s="0" t="n">
        <v>90</v>
      </c>
      <c r="D281" s="0" t="n">
        <v>2</v>
      </c>
      <c r="E281" s="0" t="n">
        <v>60</v>
      </c>
      <c r="F281" s="0" t="n">
        <f aca="false">COUNTIF($A$2:A281,A281)</f>
        <v>65</v>
      </c>
      <c r="G281" s="0" t="n">
        <f aca="false">ROUNDUP(C281*1.236/75,0)</f>
        <v>2</v>
      </c>
      <c r="H281" s="0" t="n">
        <f aca="false">IF(MOD(F281-1,2)=0,SUMPRODUCT(($A$2:$A$644=A281)*(ROW($A$2:$A$644)&gt;=ROW())*(ROW($A$2:$A$644)&lt;ROW()+2)*$C$2:$C$644),"")</f>
        <v>156</v>
      </c>
      <c r="I281" s="0" t="n">
        <f aca="false">IF(H281="","",ROUNDUP(H281/75,0))</f>
        <v>3</v>
      </c>
      <c r="J281" s="0" t="str">
        <f aca="false">IF(MOD(F281-1,3)=0,SUMPRODUCT(($A$2:$A$644=A281)*(ROW($A$2:$A$644)&gt;=ROW())*(ROW($A$2:$A$644)&lt;ROW()+3)*$C$2:$C$644),"")</f>
        <v/>
      </c>
      <c r="K281" s="0" t="str">
        <f aca="false">IF(J281="","",ROUNDUP(J281/75,0))</f>
        <v/>
      </c>
      <c r="L281" s="0" t="str">
        <f aca="false">IF(MOD(F281-1,5)=0,SUMPRODUCT(($A$2:$A$644=A281)*(ROW($A$2:$A$644)&gt;=ROW())*(ROW($A$2:$A$644)&lt;ROW()+5)*$C$2:$C$644),"")</f>
        <v/>
      </c>
      <c r="M281" s="0" t="str">
        <f aca="false">IF(L281="","",ROUNDUP(L281/75,0))</f>
        <v/>
      </c>
      <c r="N281" s="0" t="str">
        <f aca="false">IF(MOD(F281-1,7)=0,SUMPRODUCT(($A$2:$A$644=A281)*(ROW($A$2:$A$644)&gt;=ROW())*(ROW($A$2:$A$644)&lt;ROW()+7)*$C$2:$C$644),"")</f>
        <v/>
      </c>
      <c r="O281" s="0" t="str">
        <f aca="false">IF(N281="","",ROUNDUP(N281/75,0))</f>
        <v/>
      </c>
    </row>
    <row r="282" customFormat="false" ht="15" hidden="false" customHeight="false" outlineLevel="0" collapsed="false">
      <c r="A282" s="0" t="s">
        <v>249</v>
      </c>
      <c r="B282" s="0" t="s">
        <v>315</v>
      </c>
      <c r="C282" s="0" t="n">
        <v>66</v>
      </c>
      <c r="D282" s="0" t="n">
        <v>1</v>
      </c>
      <c r="E282" s="0" t="n">
        <v>9</v>
      </c>
      <c r="F282" s="0" t="n">
        <f aca="false">COUNTIF($A$2:A282,A282)</f>
        <v>66</v>
      </c>
      <c r="G282" s="0" t="n">
        <f aca="false">ROUNDUP(C282*1.236/75,0)</f>
        <v>2</v>
      </c>
      <c r="H282" s="0" t="str">
        <f aca="false">IF(MOD(F282-1,2)=0,SUMPRODUCT(($A$2:$A$644=A282)*(ROW($A$2:$A$644)&gt;=ROW())*(ROW($A$2:$A$644)&lt;ROW()+2)*$C$2:$C$644),"")</f>
        <v/>
      </c>
      <c r="I282" s="0" t="str">
        <f aca="false">IF(H282="","",ROUNDUP(H282/75,0))</f>
        <v/>
      </c>
      <c r="J282" s="0" t="str">
        <f aca="false">IF(MOD(F282-1,3)=0,SUMPRODUCT(($A$2:$A$644=A282)*(ROW($A$2:$A$644)&gt;=ROW())*(ROW($A$2:$A$644)&lt;ROW()+3)*$C$2:$C$644),"")</f>
        <v/>
      </c>
      <c r="K282" s="0" t="str">
        <f aca="false">IF(J282="","",ROUNDUP(J282/75,0))</f>
        <v/>
      </c>
      <c r="L282" s="0" t="n">
        <f aca="false">IF(MOD(F282-1,5)=0,SUMPRODUCT(($A$2:$A$644=A282)*(ROW($A$2:$A$644)&gt;=ROW())*(ROW($A$2:$A$644)&lt;ROW()+5)*$C$2:$C$644),"")</f>
        <v>432</v>
      </c>
      <c r="M282" s="0" t="n">
        <f aca="false">IF(L282="","",ROUNDUP(L282/75,0))</f>
        <v>6</v>
      </c>
      <c r="N282" s="0" t="str">
        <f aca="false">IF(MOD(F282-1,7)=0,SUMPRODUCT(($A$2:$A$644=A282)*(ROW($A$2:$A$644)&gt;=ROW())*(ROW($A$2:$A$644)&lt;ROW()+7)*$C$2:$C$644),"")</f>
        <v/>
      </c>
      <c r="O282" s="0" t="str">
        <f aca="false">IF(N282="","",ROUNDUP(N282/75,0))</f>
        <v/>
      </c>
    </row>
    <row r="283" customFormat="false" ht="15" hidden="false" customHeight="false" outlineLevel="0" collapsed="false">
      <c r="A283" s="0" t="s">
        <v>249</v>
      </c>
      <c r="B283" s="0" t="s">
        <v>316</v>
      </c>
      <c r="C283" s="0" t="n">
        <v>114</v>
      </c>
      <c r="D283" s="0" t="n">
        <v>2</v>
      </c>
      <c r="E283" s="0" t="n">
        <v>36</v>
      </c>
      <c r="F283" s="0" t="n">
        <f aca="false">COUNTIF($A$2:A283,A283)</f>
        <v>67</v>
      </c>
      <c r="G283" s="0" t="n">
        <f aca="false">ROUNDUP(C283*1.236/75,0)</f>
        <v>2</v>
      </c>
      <c r="H283" s="0" t="n">
        <f aca="false">IF(MOD(F283-1,2)=0,SUMPRODUCT(($A$2:$A$644=A283)*(ROW($A$2:$A$644)&gt;=ROW())*(ROW($A$2:$A$644)&lt;ROW()+2)*$C$2:$C$644),"")</f>
        <v>168</v>
      </c>
      <c r="I283" s="0" t="n">
        <f aca="false">IF(H283="","",ROUNDUP(H283/75,0))</f>
        <v>3</v>
      </c>
      <c r="J283" s="0" t="n">
        <f aca="false">IF(MOD(F283-1,3)=0,SUMPRODUCT(($A$2:$A$644=A283)*(ROW($A$2:$A$644)&gt;=ROW())*(ROW($A$2:$A$644)&lt;ROW()+3)*$C$2:$C$644),"")</f>
        <v>276</v>
      </c>
      <c r="K283" s="0" t="n">
        <f aca="false">IF(J283="","",ROUNDUP(J283/75,0))</f>
        <v>4</v>
      </c>
      <c r="L283" s="0" t="str">
        <f aca="false">IF(MOD(F283-1,5)=0,SUMPRODUCT(($A$2:$A$644=A283)*(ROW($A$2:$A$644)&gt;=ROW())*(ROW($A$2:$A$644)&lt;ROW()+5)*$C$2:$C$644),"")</f>
        <v/>
      </c>
      <c r="M283" s="0" t="str">
        <f aca="false">IF(L283="","",ROUNDUP(L283/75,0))</f>
        <v/>
      </c>
      <c r="N283" s="0" t="str">
        <f aca="false">IF(MOD(F283-1,7)=0,SUMPRODUCT(($A$2:$A$644=A283)*(ROW($A$2:$A$644)&gt;=ROW())*(ROW($A$2:$A$644)&lt;ROW()+7)*$C$2:$C$644),"")</f>
        <v/>
      </c>
      <c r="O283" s="0" t="str">
        <f aca="false">IF(N283="","",ROUNDUP(N283/75,0))</f>
        <v/>
      </c>
    </row>
    <row r="284" customFormat="false" ht="15" hidden="false" customHeight="false" outlineLevel="0" collapsed="false">
      <c r="A284" s="0" t="s">
        <v>249</v>
      </c>
      <c r="B284" s="0" t="s">
        <v>317</v>
      </c>
      <c r="C284" s="0" t="n">
        <v>54</v>
      </c>
      <c r="D284" s="0" t="n">
        <v>1</v>
      </c>
      <c r="E284" s="0" t="n">
        <v>21</v>
      </c>
      <c r="F284" s="0" t="n">
        <f aca="false">COUNTIF($A$2:A284,A284)</f>
        <v>68</v>
      </c>
      <c r="G284" s="0" t="n">
        <f aca="false">ROUNDUP(C284*1.236/75,0)</f>
        <v>1</v>
      </c>
      <c r="H284" s="0" t="str">
        <f aca="false">IF(MOD(F284-1,2)=0,SUMPRODUCT(($A$2:$A$644=A284)*(ROW($A$2:$A$644)&gt;=ROW())*(ROW($A$2:$A$644)&lt;ROW()+2)*$C$2:$C$644),"")</f>
        <v/>
      </c>
      <c r="I284" s="0" t="str">
        <f aca="false">IF(H284="","",ROUNDUP(H284/75,0))</f>
        <v/>
      </c>
      <c r="J284" s="0" t="str">
        <f aca="false">IF(MOD(F284-1,3)=0,SUMPRODUCT(($A$2:$A$644=A284)*(ROW($A$2:$A$644)&gt;=ROW())*(ROW($A$2:$A$644)&lt;ROW()+3)*$C$2:$C$644),"")</f>
        <v/>
      </c>
      <c r="K284" s="0" t="str">
        <f aca="false">IF(J284="","",ROUNDUP(J284/75,0))</f>
        <v/>
      </c>
      <c r="L284" s="0" t="str">
        <f aca="false">IF(MOD(F284-1,5)=0,SUMPRODUCT(($A$2:$A$644=A284)*(ROW($A$2:$A$644)&gt;=ROW())*(ROW($A$2:$A$644)&lt;ROW()+5)*$C$2:$C$644),"")</f>
        <v/>
      </c>
      <c r="M284" s="0" t="str">
        <f aca="false">IF(L284="","",ROUNDUP(L284/75,0))</f>
        <v/>
      </c>
      <c r="N284" s="0" t="str">
        <f aca="false">IF(MOD(F284-1,7)=0,SUMPRODUCT(($A$2:$A$644=A284)*(ROW($A$2:$A$644)&gt;=ROW())*(ROW($A$2:$A$644)&lt;ROW()+7)*$C$2:$C$644),"")</f>
        <v/>
      </c>
      <c r="O284" s="0" t="str">
        <f aca="false">IF(N284="","",ROUNDUP(N284/75,0))</f>
        <v/>
      </c>
    </row>
    <row r="285" customFormat="false" ht="15" hidden="false" customHeight="false" outlineLevel="0" collapsed="false">
      <c r="A285" s="0" t="s">
        <v>249</v>
      </c>
      <c r="B285" s="0" t="s">
        <v>318</v>
      </c>
      <c r="C285" s="0" t="n">
        <v>108</v>
      </c>
      <c r="D285" s="0" t="n">
        <v>2</v>
      </c>
      <c r="E285" s="0" t="n">
        <v>42</v>
      </c>
      <c r="F285" s="0" t="n">
        <f aca="false">COUNTIF($A$2:A285,A285)</f>
        <v>69</v>
      </c>
      <c r="G285" s="0" t="n">
        <f aca="false">ROUNDUP(C285*1.236/75,0)</f>
        <v>2</v>
      </c>
      <c r="H285" s="0" t="n">
        <f aca="false">IF(MOD(F285-1,2)=0,SUMPRODUCT(($A$2:$A$644=A285)*(ROW($A$2:$A$644)&gt;=ROW())*(ROW($A$2:$A$644)&lt;ROW()+2)*$C$2:$C$644),"")</f>
        <v>198</v>
      </c>
      <c r="I285" s="0" t="n">
        <f aca="false">IF(H285="","",ROUNDUP(H285/75,0))</f>
        <v>3</v>
      </c>
      <c r="J285" s="0" t="str">
        <f aca="false">IF(MOD(F285-1,3)=0,SUMPRODUCT(($A$2:$A$644=A285)*(ROW($A$2:$A$644)&gt;=ROW())*(ROW($A$2:$A$644)&lt;ROW()+3)*$C$2:$C$644),"")</f>
        <v/>
      </c>
      <c r="K285" s="0" t="str">
        <f aca="false">IF(J285="","",ROUNDUP(J285/75,0))</f>
        <v/>
      </c>
      <c r="L285" s="0" t="str">
        <f aca="false">IF(MOD(F285-1,5)=0,SUMPRODUCT(($A$2:$A$644=A285)*(ROW($A$2:$A$644)&gt;=ROW())*(ROW($A$2:$A$644)&lt;ROW()+5)*$C$2:$C$644),"")</f>
        <v/>
      </c>
      <c r="M285" s="0" t="str">
        <f aca="false">IF(L285="","",ROUNDUP(L285/75,0))</f>
        <v/>
      </c>
      <c r="N285" s="0" t="str">
        <f aca="false">IF(MOD(F285-1,7)=0,SUMPRODUCT(($A$2:$A$644=A285)*(ROW($A$2:$A$644)&gt;=ROW())*(ROW($A$2:$A$644)&lt;ROW()+7)*$C$2:$C$644),"")</f>
        <v/>
      </c>
      <c r="O285" s="0" t="str">
        <f aca="false">IF(N285="","",ROUNDUP(N285/75,0))</f>
        <v/>
      </c>
    </row>
    <row r="286" customFormat="false" ht="15" hidden="false" customHeight="false" outlineLevel="0" collapsed="false">
      <c r="A286" s="0" t="s">
        <v>249</v>
      </c>
      <c r="B286" s="0" t="s">
        <v>319</v>
      </c>
      <c r="C286" s="0" t="n">
        <v>90</v>
      </c>
      <c r="D286" s="0" t="n">
        <v>2</v>
      </c>
      <c r="E286" s="0" t="n">
        <v>60</v>
      </c>
      <c r="F286" s="0" t="n">
        <f aca="false">COUNTIF($A$2:A286,A286)</f>
        <v>70</v>
      </c>
      <c r="G286" s="0" t="n">
        <f aca="false">ROUNDUP(C286*1.236/75,0)</f>
        <v>2</v>
      </c>
      <c r="H286" s="0" t="str">
        <f aca="false">IF(MOD(F286-1,2)=0,SUMPRODUCT(($A$2:$A$644=A286)*(ROW($A$2:$A$644)&gt;=ROW())*(ROW($A$2:$A$644)&lt;ROW()+2)*$C$2:$C$644),"")</f>
        <v/>
      </c>
      <c r="I286" s="0" t="str">
        <f aca="false">IF(H286="","",ROUNDUP(H286/75,0))</f>
        <v/>
      </c>
      <c r="J286" s="0" t="n">
        <f aca="false">IF(MOD(F286-1,3)=0,SUMPRODUCT(($A$2:$A$644=A286)*(ROW($A$2:$A$644)&gt;=ROW())*(ROW($A$2:$A$644)&lt;ROW()+3)*$C$2:$C$644),"")</f>
        <v>222</v>
      </c>
      <c r="K286" s="0" t="n">
        <f aca="false">IF(J286="","",ROUNDUP(J286/75,0))</f>
        <v>3</v>
      </c>
      <c r="L286" s="0" t="str">
        <f aca="false">IF(MOD(F286-1,5)=0,SUMPRODUCT(($A$2:$A$644=A286)*(ROW($A$2:$A$644)&gt;=ROW())*(ROW($A$2:$A$644)&lt;ROW()+5)*$C$2:$C$644),"")</f>
        <v/>
      </c>
      <c r="M286" s="0" t="str">
        <f aca="false">IF(L286="","",ROUNDUP(L286/75,0))</f>
        <v/>
      </c>
      <c r="N286" s="0" t="str">
        <f aca="false">IF(MOD(F286-1,7)=0,SUMPRODUCT(($A$2:$A$644=A286)*(ROW($A$2:$A$644)&gt;=ROW())*(ROW($A$2:$A$644)&lt;ROW()+7)*$C$2:$C$644),"")</f>
        <v/>
      </c>
      <c r="O286" s="0" t="str">
        <f aca="false">IF(N286="","",ROUNDUP(N286/75,0))</f>
        <v/>
      </c>
    </row>
    <row r="287" customFormat="false" ht="15" hidden="false" customHeight="false" outlineLevel="0" collapsed="false">
      <c r="A287" s="0" t="s">
        <v>249</v>
      </c>
      <c r="B287" s="0" t="s">
        <v>320</v>
      </c>
      <c r="C287" s="0" t="n">
        <v>60</v>
      </c>
      <c r="D287" s="0" t="n">
        <v>1</v>
      </c>
      <c r="E287" s="0" t="n">
        <v>15</v>
      </c>
      <c r="F287" s="0" t="n">
        <f aca="false">COUNTIF($A$2:A287,A287)</f>
        <v>71</v>
      </c>
      <c r="G287" s="0" t="n">
        <f aca="false">ROUNDUP(C287*1.236/75,0)</f>
        <v>1</v>
      </c>
      <c r="H287" s="0" t="n">
        <f aca="false">IF(MOD(F287-1,2)=0,SUMPRODUCT(($A$2:$A$644=A287)*(ROW($A$2:$A$644)&gt;=ROW())*(ROW($A$2:$A$644)&lt;ROW()+2)*$C$2:$C$644),"")</f>
        <v>132</v>
      </c>
      <c r="I287" s="0" t="n">
        <f aca="false">IF(H287="","",ROUNDUP(H287/75,0))</f>
        <v>2</v>
      </c>
      <c r="J287" s="0" t="str">
        <f aca="false">IF(MOD(F287-1,3)=0,SUMPRODUCT(($A$2:$A$644=A287)*(ROW($A$2:$A$644)&gt;=ROW())*(ROW($A$2:$A$644)&lt;ROW()+3)*$C$2:$C$644),"")</f>
        <v/>
      </c>
      <c r="K287" s="0" t="str">
        <f aca="false">IF(J287="","",ROUNDUP(J287/75,0))</f>
        <v/>
      </c>
      <c r="L287" s="0" t="n">
        <f aca="false">IF(MOD(F287-1,5)=0,SUMPRODUCT(($A$2:$A$644=A287)*(ROW($A$2:$A$644)&gt;=ROW())*(ROW($A$2:$A$644)&lt;ROW()+5)*$C$2:$C$644),"")</f>
        <v>528</v>
      </c>
      <c r="M287" s="0" t="n">
        <f aca="false">IF(L287="","",ROUNDUP(L287/75,0))</f>
        <v>8</v>
      </c>
      <c r="N287" s="0" t="n">
        <f aca="false">IF(MOD(F287-1,7)=0,SUMPRODUCT(($A$2:$A$644=A287)*(ROW($A$2:$A$644)&gt;=ROW())*(ROW($A$2:$A$644)&lt;ROW()+7)*$C$2:$C$644),"")</f>
        <v>798</v>
      </c>
      <c r="O287" s="0" t="n">
        <f aca="false">IF(N287="","",ROUNDUP(N287/75,0))</f>
        <v>11</v>
      </c>
    </row>
    <row r="288" customFormat="false" ht="15" hidden="false" customHeight="false" outlineLevel="0" collapsed="false">
      <c r="A288" s="0" t="s">
        <v>249</v>
      </c>
      <c r="B288" s="0" t="s">
        <v>321</v>
      </c>
      <c r="C288" s="0" t="n">
        <v>72</v>
      </c>
      <c r="D288" s="0" t="n">
        <v>1</v>
      </c>
      <c r="E288" s="0" t="n">
        <v>3</v>
      </c>
      <c r="F288" s="0" t="n">
        <f aca="false">COUNTIF($A$2:A288,A288)</f>
        <v>72</v>
      </c>
      <c r="G288" s="0" t="n">
        <f aca="false">ROUNDUP(C288*1.236/75,0)</f>
        <v>2</v>
      </c>
      <c r="H288" s="0" t="str">
        <f aca="false">IF(MOD(F288-1,2)=0,SUMPRODUCT(($A$2:$A$644=A288)*(ROW($A$2:$A$644)&gt;=ROW())*(ROW($A$2:$A$644)&lt;ROW()+2)*$C$2:$C$644),"")</f>
        <v/>
      </c>
      <c r="I288" s="0" t="str">
        <f aca="false">IF(H288="","",ROUNDUP(H288/75,0))</f>
        <v/>
      </c>
      <c r="J288" s="0" t="str">
        <f aca="false">IF(MOD(F288-1,3)=0,SUMPRODUCT(($A$2:$A$644=A288)*(ROW($A$2:$A$644)&gt;=ROW())*(ROW($A$2:$A$644)&lt;ROW()+3)*$C$2:$C$644),"")</f>
        <v/>
      </c>
      <c r="K288" s="0" t="str">
        <f aca="false">IF(J288="","",ROUNDUP(J288/75,0))</f>
        <v/>
      </c>
      <c r="L288" s="0" t="str">
        <f aca="false">IF(MOD(F288-1,5)=0,SUMPRODUCT(($A$2:$A$644=A288)*(ROW($A$2:$A$644)&gt;=ROW())*(ROW($A$2:$A$644)&lt;ROW()+5)*$C$2:$C$644),"")</f>
        <v/>
      </c>
      <c r="M288" s="0" t="str">
        <f aca="false">IF(L288="","",ROUNDUP(L288/75,0))</f>
        <v/>
      </c>
      <c r="N288" s="0" t="str">
        <f aca="false">IF(MOD(F288-1,7)=0,SUMPRODUCT(($A$2:$A$644=A288)*(ROW($A$2:$A$644)&gt;=ROW())*(ROW($A$2:$A$644)&lt;ROW()+7)*$C$2:$C$644),"")</f>
        <v/>
      </c>
      <c r="O288" s="0" t="str">
        <f aca="false">IF(N288="","",ROUNDUP(N288/75,0))</f>
        <v/>
      </c>
    </row>
    <row r="289" customFormat="false" ht="15" hidden="false" customHeight="false" outlineLevel="0" collapsed="false">
      <c r="A289" s="0" t="s">
        <v>249</v>
      </c>
      <c r="B289" s="0" t="s">
        <v>322</v>
      </c>
      <c r="C289" s="0" t="n">
        <v>108</v>
      </c>
      <c r="D289" s="0" t="n">
        <v>2</v>
      </c>
      <c r="E289" s="0" t="n">
        <v>42</v>
      </c>
      <c r="F289" s="0" t="n">
        <f aca="false">COUNTIF($A$2:A289,A289)</f>
        <v>73</v>
      </c>
      <c r="G289" s="0" t="n">
        <f aca="false">ROUNDUP(C289*1.236/75,0)</f>
        <v>2</v>
      </c>
      <c r="H289" s="0" t="n">
        <f aca="false">IF(MOD(F289-1,2)=0,SUMPRODUCT(($A$2:$A$644=A289)*(ROW($A$2:$A$644)&gt;=ROW())*(ROW($A$2:$A$644)&lt;ROW()+2)*$C$2:$C$644),"")</f>
        <v>258</v>
      </c>
      <c r="I289" s="0" t="n">
        <f aca="false">IF(H289="","",ROUNDUP(H289/75,0))</f>
        <v>4</v>
      </c>
      <c r="J289" s="0" t="n">
        <f aca="false">IF(MOD(F289-1,3)=0,SUMPRODUCT(($A$2:$A$644=A289)*(ROW($A$2:$A$644)&gt;=ROW())*(ROW($A$2:$A$644)&lt;ROW()+3)*$C$2:$C$644),"")</f>
        <v>396</v>
      </c>
      <c r="K289" s="0" t="n">
        <f aca="false">IF(J289="","",ROUNDUP(J289/75,0))</f>
        <v>6</v>
      </c>
      <c r="L289" s="0" t="str">
        <f aca="false">IF(MOD(F289-1,5)=0,SUMPRODUCT(($A$2:$A$644=A289)*(ROW($A$2:$A$644)&gt;=ROW())*(ROW($A$2:$A$644)&lt;ROW()+5)*$C$2:$C$644),"")</f>
        <v/>
      </c>
      <c r="M289" s="0" t="str">
        <f aca="false">IF(L289="","",ROUNDUP(L289/75,0))</f>
        <v/>
      </c>
      <c r="N289" s="0" t="str">
        <f aca="false">IF(MOD(F289-1,7)=0,SUMPRODUCT(($A$2:$A$644=A289)*(ROW($A$2:$A$644)&gt;=ROW())*(ROW($A$2:$A$644)&lt;ROW()+7)*$C$2:$C$644),"")</f>
        <v/>
      </c>
      <c r="O289" s="0" t="str">
        <f aca="false">IF(N289="","",ROUNDUP(N289/75,0))</f>
        <v/>
      </c>
    </row>
    <row r="290" customFormat="false" ht="15" hidden="false" customHeight="false" outlineLevel="0" collapsed="false">
      <c r="A290" s="0" t="s">
        <v>249</v>
      </c>
      <c r="B290" s="0" t="s">
        <v>323</v>
      </c>
      <c r="C290" s="0" t="n">
        <v>150</v>
      </c>
      <c r="D290" s="0" t="n">
        <v>2</v>
      </c>
      <c r="E290" s="0" t="n">
        <v>0</v>
      </c>
      <c r="F290" s="0" t="n">
        <f aca="false">COUNTIF($A$2:A290,A290)</f>
        <v>74</v>
      </c>
      <c r="G290" s="0" t="n">
        <f aca="false">ROUNDUP(C290*1.236/75,0)</f>
        <v>3</v>
      </c>
      <c r="H290" s="0" t="str">
        <f aca="false">IF(MOD(F290-1,2)=0,SUMPRODUCT(($A$2:$A$644=A290)*(ROW($A$2:$A$644)&gt;=ROW())*(ROW($A$2:$A$644)&lt;ROW()+2)*$C$2:$C$644),"")</f>
        <v/>
      </c>
      <c r="I290" s="0" t="str">
        <f aca="false">IF(H290="","",ROUNDUP(H290/75,0))</f>
        <v/>
      </c>
      <c r="J290" s="0" t="str">
        <f aca="false">IF(MOD(F290-1,3)=0,SUMPRODUCT(($A$2:$A$644=A290)*(ROW($A$2:$A$644)&gt;=ROW())*(ROW($A$2:$A$644)&lt;ROW()+3)*$C$2:$C$644),"")</f>
        <v/>
      </c>
      <c r="K290" s="0" t="str">
        <f aca="false">IF(J290="","",ROUNDUP(J290/75,0))</f>
        <v/>
      </c>
      <c r="L290" s="0" t="str">
        <f aca="false">IF(MOD(F290-1,5)=0,SUMPRODUCT(($A$2:$A$644=A290)*(ROW($A$2:$A$644)&gt;=ROW())*(ROW($A$2:$A$644)&lt;ROW()+5)*$C$2:$C$644),"")</f>
        <v/>
      </c>
      <c r="M290" s="0" t="str">
        <f aca="false">IF(L290="","",ROUNDUP(L290/75,0))</f>
        <v/>
      </c>
      <c r="N290" s="0" t="str">
        <f aca="false">IF(MOD(F290-1,7)=0,SUMPRODUCT(($A$2:$A$644=A290)*(ROW($A$2:$A$644)&gt;=ROW())*(ROW($A$2:$A$644)&lt;ROW()+7)*$C$2:$C$644),"")</f>
        <v/>
      </c>
      <c r="O290" s="0" t="str">
        <f aca="false">IF(N290="","",ROUNDUP(N290/75,0))</f>
        <v/>
      </c>
    </row>
    <row r="291" customFormat="false" ht="15" hidden="false" customHeight="false" outlineLevel="0" collapsed="false">
      <c r="A291" s="0" t="s">
        <v>249</v>
      </c>
      <c r="B291" s="0" t="s">
        <v>324</v>
      </c>
      <c r="C291" s="0" t="n">
        <v>138</v>
      </c>
      <c r="D291" s="0" t="n">
        <v>2</v>
      </c>
      <c r="E291" s="0" t="n">
        <v>12</v>
      </c>
      <c r="F291" s="0" t="n">
        <f aca="false">COUNTIF($A$2:A291,A291)</f>
        <v>75</v>
      </c>
      <c r="G291" s="0" t="n">
        <f aca="false">ROUNDUP(C291*1.236/75,0)</f>
        <v>3</v>
      </c>
      <c r="H291" s="0" t="n">
        <f aca="false">IF(MOD(F291-1,2)=0,SUMPRODUCT(($A$2:$A$644=A291)*(ROW($A$2:$A$644)&gt;=ROW())*(ROW($A$2:$A$644)&lt;ROW()+2)*$C$2:$C$644),"")</f>
        <v>288</v>
      </c>
      <c r="I291" s="0" t="n">
        <f aca="false">IF(H291="","",ROUNDUP(H291/75,0))</f>
        <v>4</v>
      </c>
      <c r="J291" s="0" t="str">
        <f aca="false">IF(MOD(F291-1,3)=0,SUMPRODUCT(($A$2:$A$644=A291)*(ROW($A$2:$A$644)&gt;=ROW())*(ROW($A$2:$A$644)&lt;ROW()+3)*$C$2:$C$644),"")</f>
        <v/>
      </c>
      <c r="K291" s="0" t="str">
        <f aca="false">IF(J291="","",ROUNDUP(J291/75,0))</f>
        <v/>
      </c>
      <c r="L291" s="0" t="str">
        <f aca="false">IF(MOD(F291-1,5)=0,SUMPRODUCT(($A$2:$A$644=A291)*(ROW($A$2:$A$644)&gt;=ROW())*(ROW($A$2:$A$644)&lt;ROW()+5)*$C$2:$C$644),"")</f>
        <v/>
      </c>
      <c r="M291" s="0" t="str">
        <f aca="false">IF(L291="","",ROUNDUP(L291/75,0))</f>
        <v/>
      </c>
      <c r="N291" s="0" t="str">
        <f aca="false">IF(MOD(F291-1,7)=0,SUMPRODUCT(($A$2:$A$644=A291)*(ROW($A$2:$A$644)&gt;=ROW())*(ROW($A$2:$A$644)&lt;ROW()+7)*$C$2:$C$644),"")</f>
        <v/>
      </c>
      <c r="O291" s="0" t="str">
        <f aca="false">IF(N291="","",ROUNDUP(N291/75,0))</f>
        <v/>
      </c>
    </row>
    <row r="292" customFormat="false" ht="15" hidden="false" customHeight="false" outlineLevel="0" collapsed="false">
      <c r="A292" s="0" t="s">
        <v>249</v>
      </c>
      <c r="B292" s="0" t="s">
        <v>325</v>
      </c>
      <c r="C292" s="0" t="n">
        <v>150</v>
      </c>
      <c r="D292" s="0" t="n">
        <v>2</v>
      </c>
      <c r="E292" s="0" t="n">
        <v>0</v>
      </c>
      <c r="F292" s="0" t="n">
        <f aca="false">COUNTIF($A$2:A292,A292)</f>
        <v>76</v>
      </c>
      <c r="G292" s="0" t="n">
        <f aca="false">ROUNDUP(C292*1.236/75,0)</f>
        <v>3</v>
      </c>
      <c r="H292" s="0" t="str">
        <f aca="false">IF(MOD(F292-1,2)=0,SUMPRODUCT(($A$2:$A$644=A292)*(ROW($A$2:$A$644)&gt;=ROW())*(ROW($A$2:$A$644)&lt;ROW()+2)*$C$2:$C$644),"")</f>
        <v/>
      </c>
      <c r="I292" s="0" t="str">
        <f aca="false">IF(H292="","",ROUNDUP(H292/75,0))</f>
        <v/>
      </c>
      <c r="J292" s="0" t="n">
        <f aca="false">IF(MOD(F292-1,3)=0,SUMPRODUCT(($A$2:$A$644=A292)*(ROW($A$2:$A$644)&gt;=ROW())*(ROW($A$2:$A$644)&lt;ROW()+3)*$C$2:$C$644),"")</f>
        <v>438</v>
      </c>
      <c r="K292" s="0" t="n">
        <f aca="false">IF(J292="","",ROUNDUP(J292/75,0))</f>
        <v>6</v>
      </c>
      <c r="L292" s="0" t="n">
        <f aca="false">IF(MOD(F292-1,5)=0,SUMPRODUCT(($A$2:$A$644=A292)*(ROW($A$2:$A$644)&gt;=ROW())*(ROW($A$2:$A$644)&lt;ROW()+5)*$C$2:$C$644),"")</f>
        <v>540</v>
      </c>
      <c r="M292" s="0" t="n">
        <f aca="false">IF(L292="","",ROUNDUP(L292/75,0))</f>
        <v>8</v>
      </c>
      <c r="N292" s="0" t="str">
        <f aca="false">IF(MOD(F292-1,7)=0,SUMPRODUCT(($A$2:$A$644=A292)*(ROW($A$2:$A$644)&gt;=ROW())*(ROW($A$2:$A$644)&lt;ROW()+7)*$C$2:$C$644),"")</f>
        <v/>
      </c>
      <c r="O292" s="0" t="str">
        <f aca="false">IF(N292="","",ROUNDUP(N292/75,0))</f>
        <v/>
      </c>
    </row>
    <row r="293" customFormat="false" ht="15" hidden="false" customHeight="false" outlineLevel="0" collapsed="false">
      <c r="A293" s="0" t="s">
        <v>249</v>
      </c>
      <c r="B293" s="0" t="s">
        <v>326</v>
      </c>
      <c r="C293" s="0" t="n">
        <v>120</v>
      </c>
      <c r="D293" s="0" t="n">
        <v>2</v>
      </c>
      <c r="E293" s="0" t="n">
        <v>30</v>
      </c>
      <c r="F293" s="0" t="n">
        <f aca="false">COUNTIF($A$2:A293,A293)</f>
        <v>77</v>
      </c>
      <c r="G293" s="0" t="n">
        <f aca="false">ROUNDUP(C293*1.236/75,0)</f>
        <v>2</v>
      </c>
      <c r="H293" s="0" t="n">
        <f aca="false">IF(MOD(F293-1,2)=0,SUMPRODUCT(($A$2:$A$644=A293)*(ROW($A$2:$A$644)&gt;=ROW())*(ROW($A$2:$A$644)&lt;ROW()+2)*$C$2:$C$644),"")</f>
        <v>288</v>
      </c>
      <c r="I293" s="0" t="n">
        <f aca="false">IF(H293="","",ROUNDUP(H293/75,0))</f>
        <v>4</v>
      </c>
      <c r="J293" s="0" t="str">
        <f aca="false">IF(MOD(F293-1,3)=0,SUMPRODUCT(($A$2:$A$644=A293)*(ROW($A$2:$A$644)&gt;=ROW())*(ROW($A$2:$A$644)&lt;ROW()+3)*$C$2:$C$644),"")</f>
        <v/>
      </c>
      <c r="K293" s="0" t="str">
        <f aca="false">IF(J293="","",ROUNDUP(J293/75,0))</f>
        <v/>
      </c>
      <c r="L293" s="0" t="str">
        <f aca="false">IF(MOD(F293-1,5)=0,SUMPRODUCT(($A$2:$A$644=A293)*(ROW($A$2:$A$644)&gt;=ROW())*(ROW($A$2:$A$644)&lt;ROW()+5)*$C$2:$C$644),"")</f>
        <v/>
      </c>
      <c r="M293" s="0" t="str">
        <f aca="false">IF(L293="","",ROUNDUP(L293/75,0))</f>
        <v/>
      </c>
      <c r="N293" s="0" t="str">
        <f aca="false">IF(MOD(F293-1,7)=0,SUMPRODUCT(($A$2:$A$644=A293)*(ROW($A$2:$A$644)&gt;=ROW())*(ROW($A$2:$A$644)&lt;ROW()+7)*$C$2:$C$644),"")</f>
        <v/>
      </c>
      <c r="O293" s="0" t="str">
        <f aca="false">IF(N293="","",ROUNDUP(N293/75,0))</f>
        <v/>
      </c>
    </row>
    <row r="294" customFormat="false" ht="15" hidden="false" customHeight="false" outlineLevel="0" collapsed="false">
      <c r="A294" s="0" t="s">
        <v>249</v>
      </c>
      <c r="B294" s="0" t="s">
        <v>327</v>
      </c>
      <c r="C294" s="0" t="n">
        <v>168</v>
      </c>
      <c r="D294" s="0" t="n">
        <v>3</v>
      </c>
      <c r="E294" s="0" t="n">
        <v>57</v>
      </c>
      <c r="F294" s="0" t="n">
        <f aca="false">COUNTIF($A$2:A294,A294)</f>
        <v>78</v>
      </c>
      <c r="G294" s="0" t="n">
        <f aca="false">ROUNDUP(C294*1.236/75,0)</f>
        <v>3</v>
      </c>
      <c r="H294" s="0" t="str">
        <f aca="false">IF(MOD(F294-1,2)=0,SUMPRODUCT(($A$2:$A$644=A294)*(ROW($A$2:$A$644)&gt;=ROW())*(ROW($A$2:$A$644)&lt;ROW()+2)*$C$2:$C$644),"")</f>
        <v/>
      </c>
      <c r="I294" s="0" t="str">
        <f aca="false">IF(H294="","",ROUNDUP(H294/75,0))</f>
        <v/>
      </c>
      <c r="J294" s="0" t="str">
        <f aca="false">IF(MOD(F294-1,3)=0,SUMPRODUCT(($A$2:$A$644=A294)*(ROW($A$2:$A$644)&gt;=ROW())*(ROW($A$2:$A$644)&lt;ROW()+3)*$C$2:$C$644),"")</f>
        <v/>
      </c>
      <c r="K294" s="0" t="str">
        <f aca="false">IF(J294="","",ROUNDUP(J294/75,0))</f>
        <v/>
      </c>
      <c r="L294" s="0" t="str">
        <f aca="false">IF(MOD(F294-1,5)=0,SUMPRODUCT(($A$2:$A$644=A294)*(ROW($A$2:$A$644)&gt;=ROW())*(ROW($A$2:$A$644)&lt;ROW()+5)*$C$2:$C$644),"")</f>
        <v/>
      </c>
      <c r="M294" s="0" t="str">
        <f aca="false">IF(L294="","",ROUNDUP(L294/75,0))</f>
        <v/>
      </c>
      <c r="N294" s="0" t="n">
        <f aca="false">IF(MOD(F294-1,7)=0,SUMPRODUCT(($A$2:$A$644=A294)*(ROW($A$2:$A$644)&gt;=ROW())*(ROW($A$2:$A$644)&lt;ROW()+7)*$C$2:$C$644),"")</f>
        <v>618</v>
      </c>
      <c r="O294" s="0" t="n">
        <f aca="false">IF(N294="","",ROUNDUP(N294/75,0))</f>
        <v>9</v>
      </c>
    </row>
    <row r="295" customFormat="false" ht="15" hidden="false" customHeight="false" outlineLevel="0" collapsed="false">
      <c r="A295" s="0" t="s">
        <v>249</v>
      </c>
      <c r="B295" s="0" t="s">
        <v>328</v>
      </c>
      <c r="C295" s="0" t="n">
        <v>78</v>
      </c>
      <c r="D295" s="0" t="n">
        <v>2</v>
      </c>
      <c r="E295" s="0" t="n">
        <v>72</v>
      </c>
      <c r="F295" s="0" t="n">
        <f aca="false">COUNTIF($A$2:A295,A295)</f>
        <v>79</v>
      </c>
      <c r="G295" s="0" t="n">
        <f aca="false">ROUNDUP(C295*1.236/75,0)</f>
        <v>2</v>
      </c>
      <c r="H295" s="0" t="n">
        <f aca="false">IF(MOD(F295-1,2)=0,SUMPRODUCT(($A$2:$A$644=A295)*(ROW($A$2:$A$644)&gt;=ROW())*(ROW($A$2:$A$644)&lt;ROW()+2)*$C$2:$C$644),"")</f>
        <v>102</v>
      </c>
      <c r="I295" s="0" t="n">
        <f aca="false">IF(H295="","",ROUNDUP(H295/75,0))</f>
        <v>2</v>
      </c>
      <c r="J295" s="0" t="n">
        <f aca="false">IF(MOD(F295-1,3)=0,SUMPRODUCT(($A$2:$A$644=A295)*(ROW($A$2:$A$644)&gt;=ROW())*(ROW($A$2:$A$644)&lt;ROW()+3)*$C$2:$C$644),"")</f>
        <v>192</v>
      </c>
      <c r="K295" s="0" t="n">
        <f aca="false">IF(J295="","",ROUNDUP(J295/75,0))</f>
        <v>3</v>
      </c>
      <c r="L295" s="0" t="str">
        <f aca="false">IF(MOD(F295-1,5)=0,SUMPRODUCT(($A$2:$A$644=A295)*(ROW($A$2:$A$644)&gt;=ROW())*(ROW($A$2:$A$644)&lt;ROW()+5)*$C$2:$C$644),"")</f>
        <v/>
      </c>
      <c r="M295" s="0" t="str">
        <f aca="false">IF(L295="","",ROUNDUP(L295/75,0))</f>
        <v/>
      </c>
      <c r="N295" s="0" t="str">
        <f aca="false">IF(MOD(F295-1,7)=0,SUMPRODUCT(($A$2:$A$644=A295)*(ROW($A$2:$A$644)&gt;=ROW())*(ROW($A$2:$A$644)&lt;ROW()+7)*$C$2:$C$644),"")</f>
        <v/>
      </c>
      <c r="O295" s="0" t="str">
        <f aca="false">IF(N295="","",ROUNDUP(N295/75,0))</f>
        <v/>
      </c>
    </row>
    <row r="296" customFormat="false" ht="15" hidden="false" customHeight="false" outlineLevel="0" collapsed="false">
      <c r="A296" s="0" t="s">
        <v>249</v>
      </c>
      <c r="B296" s="0" t="s">
        <v>329</v>
      </c>
      <c r="C296" s="0" t="n">
        <v>24</v>
      </c>
      <c r="D296" s="0" t="n">
        <v>1</v>
      </c>
      <c r="E296" s="0" t="n">
        <v>51</v>
      </c>
      <c r="F296" s="0" t="n">
        <f aca="false">COUNTIF($A$2:A296,A296)</f>
        <v>80</v>
      </c>
      <c r="G296" s="0" t="n">
        <f aca="false">ROUNDUP(C296*1.236/75,0)</f>
        <v>1</v>
      </c>
      <c r="H296" s="0" t="str">
        <f aca="false">IF(MOD(F296-1,2)=0,SUMPRODUCT(($A$2:$A$644=A296)*(ROW($A$2:$A$644)&gt;=ROW())*(ROW($A$2:$A$644)&lt;ROW()+2)*$C$2:$C$644),"")</f>
        <v/>
      </c>
      <c r="I296" s="0" t="str">
        <f aca="false">IF(H296="","",ROUNDUP(H296/75,0))</f>
        <v/>
      </c>
      <c r="J296" s="0" t="str">
        <f aca="false">IF(MOD(F296-1,3)=0,SUMPRODUCT(($A$2:$A$644=A296)*(ROW($A$2:$A$644)&gt;=ROW())*(ROW($A$2:$A$644)&lt;ROW()+3)*$C$2:$C$644),"")</f>
        <v/>
      </c>
      <c r="K296" s="0" t="str">
        <f aca="false">IF(J296="","",ROUNDUP(J296/75,0))</f>
        <v/>
      </c>
      <c r="L296" s="0" t="str">
        <f aca="false">IF(MOD(F296-1,5)=0,SUMPRODUCT(($A$2:$A$644=A296)*(ROW($A$2:$A$644)&gt;=ROW())*(ROW($A$2:$A$644)&lt;ROW()+5)*$C$2:$C$644),"")</f>
        <v/>
      </c>
      <c r="M296" s="0" t="str">
        <f aca="false">IF(L296="","",ROUNDUP(L296/75,0))</f>
        <v/>
      </c>
      <c r="N296" s="0" t="str">
        <f aca="false">IF(MOD(F296-1,7)=0,SUMPRODUCT(($A$2:$A$644=A296)*(ROW($A$2:$A$644)&gt;=ROW())*(ROW($A$2:$A$644)&lt;ROW()+7)*$C$2:$C$644),"")</f>
        <v/>
      </c>
      <c r="O296" s="0" t="str">
        <f aca="false">IF(N296="","",ROUNDUP(N296/75,0))</f>
        <v/>
      </c>
    </row>
    <row r="297" customFormat="false" ht="15" hidden="false" customHeight="false" outlineLevel="0" collapsed="false">
      <c r="A297" s="0" t="s">
        <v>249</v>
      </c>
      <c r="B297" s="0" t="s">
        <v>330</v>
      </c>
      <c r="C297" s="0" t="n">
        <v>90</v>
      </c>
      <c r="D297" s="0" t="n">
        <v>2</v>
      </c>
      <c r="E297" s="0" t="n">
        <v>60</v>
      </c>
      <c r="F297" s="0" t="n">
        <f aca="false">COUNTIF($A$2:A297,A297)</f>
        <v>81</v>
      </c>
      <c r="G297" s="0" t="n">
        <f aca="false">ROUNDUP(C297*1.236/75,0)</f>
        <v>2</v>
      </c>
      <c r="H297" s="0" t="n">
        <f aca="false">IF(MOD(F297-1,2)=0,SUMPRODUCT(($A$2:$A$644=A297)*(ROW($A$2:$A$644)&gt;=ROW())*(ROW($A$2:$A$644)&lt;ROW()+2)*$C$2:$C$644),"")</f>
        <v>192</v>
      </c>
      <c r="I297" s="0" t="n">
        <f aca="false">IF(H297="","",ROUNDUP(H297/75,0))</f>
        <v>3</v>
      </c>
      <c r="J297" s="0" t="str">
        <f aca="false">IF(MOD(F297-1,3)=0,SUMPRODUCT(($A$2:$A$644=A297)*(ROW($A$2:$A$644)&gt;=ROW())*(ROW($A$2:$A$644)&lt;ROW()+3)*$C$2:$C$644),"")</f>
        <v/>
      </c>
      <c r="K297" s="0" t="str">
        <f aca="false">IF(J297="","",ROUNDUP(J297/75,0))</f>
        <v/>
      </c>
      <c r="L297" s="0" t="n">
        <f aca="false">IF(MOD(F297-1,5)=0,SUMPRODUCT(($A$2:$A$644=A297)*(ROW($A$2:$A$644)&gt;=ROW())*(ROW($A$2:$A$644)&lt;ROW()+5)*$C$2:$C$644),"")</f>
        <v>456</v>
      </c>
      <c r="M297" s="0" t="n">
        <f aca="false">IF(L297="","",ROUNDUP(L297/75,0))</f>
        <v>7</v>
      </c>
      <c r="N297" s="0" t="str">
        <f aca="false">IF(MOD(F297-1,7)=0,SUMPRODUCT(($A$2:$A$644=A297)*(ROW($A$2:$A$644)&gt;=ROW())*(ROW($A$2:$A$644)&lt;ROW()+7)*$C$2:$C$644),"")</f>
        <v/>
      </c>
      <c r="O297" s="0" t="str">
        <f aca="false">IF(N297="","",ROUNDUP(N297/75,0))</f>
        <v/>
      </c>
    </row>
    <row r="298" customFormat="false" ht="15" hidden="false" customHeight="false" outlineLevel="0" collapsed="false">
      <c r="A298" s="0" t="s">
        <v>249</v>
      </c>
      <c r="B298" s="0" t="s">
        <v>331</v>
      </c>
      <c r="C298" s="0" t="n">
        <v>102</v>
      </c>
      <c r="D298" s="0" t="n">
        <v>2</v>
      </c>
      <c r="E298" s="0" t="n">
        <v>48</v>
      </c>
      <c r="F298" s="0" t="n">
        <f aca="false">COUNTIF($A$2:A298,A298)</f>
        <v>82</v>
      </c>
      <c r="G298" s="0" t="n">
        <f aca="false">ROUNDUP(C298*1.236/75,0)</f>
        <v>2</v>
      </c>
      <c r="H298" s="0" t="str">
        <f aca="false">IF(MOD(F298-1,2)=0,SUMPRODUCT(($A$2:$A$644=A298)*(ROW($A$2:$A$644)&gt;=ROW())*(ROW($A$2:$A$644)&lt;ROW()+2)*$C$2:$C$644),"")</f>
        <v/>
      </c>
      <c r="I298" s="0" t="str">
        <f aca="false">IF(H298="","",ROUNDUP(H298/75,0))</f>
        <v/>
      </c>
      <c r="J298" s="0" t="n">
        <f aca="false">IF(MOD(F298-1,3)=0,SUMPRODUCT(($A$2:$A$644=A298)*(ROW($A$2:$A$644)&gt;=ROW())*(ROW($A$2:$A$644)&lt;ROW()+3)*$C$2:$C$644),"")</f>
        <v>258</v>
      </c>
      <c r="K298" s="0" t="n">
        <f aca="false">IF(J298="","",ROUNDUP(J298/75,0))</f>
        <v>4</v>
      </c>
      <c r="L298" s="0" t="str">
        <f aca="false">IF(MOD(F298-1,5)=0,SUMPRODUCT(($A$2:$A$644=A298)*(ROW($A$2:$A$644)&gt;=ROW())*(ROW($A$2:$A$644)&lt;ROW()+5)*$C$2:$C$644),"")</f>
        <v/>
      </c>
      <c r="M298" s="0" t="str">
        <f aca="false">IF(L298="","",ROUNDUP(L298/75,0))</f>
        <v/>
      </c>
      <c r="N298" s="0" t="str">
        <f aca="false">IF(MOD(F298-1,7)=0,SUMPRODUCT(($A$2:$A$644=A298)*(ROW($A$2:$A$644)&gt;=ROW())*(ROW($A$2:$A$644)&lt;ROW()+7)*$C$2:$C$644),"")</f>
        <v/>
      </c>
      <c r="O298" s="0" t="str">
        <f aca="false">IF(N298="","",ROUNDUP(N298/75,0))</f>
        <v/>
      </c>
    </row>
    <row r="299" customFormat="false" ht="15" hidden="false" customHeight="false" outlineLevel="0" collapsed="false">
      <c r="A299" s="0" t="s">
        <v>249</v>
      </c>
      <c r="B299" s="0" t="s">
        <v>332</v>
      </c>
      <c r="C299" s="0" t="n">
        <v>84</v>
      </c>
      <c r="D299" s="0" t="n">
        <v>2</v>
      </c>
      <c r="E299" s="0" t="n">
        <v>66</v>
      </c>
      <c r="F299" s="0" t="n">
        <f aca="false">COUNTIF($A$2:A299,A299)</f>
        <v>83</v>
      </c>
      <c r="G299" s="0" t="n">
        <f aca="false">ROUNDUP(C299*1.236/75,0)</f>
        <v>2</v>
      </c>
      <c r="H299" s="0" t="n">
        <f aca="false">IF(MOD(F299-1,2)=0,SUMPRODUCT(($A$2:$A$644=A299)*(ROW($A$2:$A$644)&gt;=ROW())*(ROW($A$2:$A$644)&lt;ROW()+2)*$C$2:$C$644),"")</f>
        <v>156</v>
      </c>
      <c r="I299" s="0" t="n">
        <f aca="false">IF(H299="","",ROUNDUP(H299/75,0))</f>
        <v>3</v>
      </c>
      <c r="J299" s="0" t="str">
        <f aca="false">IF(MOD(F299-1,3)=0,SUMPRODUCT(($A$2:$A$644=A299)*(ROW($A$2:$A$644)&gt;=ROW())*(ROW($A$2:$A$644)&lt;ROW()+3)*$C$2:$C$644),"")</f>
        <v/>
      </c>
      <c r="K299" s="0" t="str">
        <f aca="false">IF(J299="","",ROUNDUP(J299/75,0))</f>
        <v/>
      </c>
      <c r="L299" s="0" t="str">
        <f aca="false">IF(MOD(F299-1,5)=0,SUMPRODUCT(($A$2:$A$644=A299)*(ROW($A$2:$A$644)&gt;=ROW())*(ROW($A$2:$A$644)&lt;ROW()+5)*$C$2:$C$644),"")</f>
        <v/>
      </c>
      <c r="M299" s="0" t="str">
        <f aca="false">IF(L299="","",ROUNDUP(L299/75,0))</f>
        <v/>
      </c>
      <c r="N299" s="0" t="str">
        <f aca="false">IF(MOD(F299-1,7)=0,SUMPRODUCT(($A$2:$A$644=A299)*(ROW($A$2:$A$644)&gt;=ROW())*(ROW($A$2:$A$644)&lt;ROW()+7)*$C$2:$C$644),"")</f>
        <v/>
      </c>
      <c r="O299" s="0" t="str">
        <f aca="false">IF(N299="","",ROUNDUP(N299/75,0))</f>
        <v/>
      </c>
    </row>
    <row r="300" customFormat="false" ht="15" hidden="false" customHeight="false" outlineLevel="0" collapsed="false">
      <c r="A300" s="0" t="s">
        <v>249</v>
      </c>
      <c r="B300" s="0" t="s">
        <v>333</v>
      </c>
      <c r="C300" s="0" t="n">
        <v>72</v>
      </c>
      <c r="D300" s="0" t="n">
        <v>1</v>
      </c>
      <c r="E300" s="0" t="n">
        <v>3</v>
      </c>
      <c r="F300" s="0" t="n">
        <f aca="false">COUNTIF($A$2:A300,A300)</f>
        <v>84</v>
      </c>
      <c r="G300" s="0" t="n">
        <f aca="false">ROUNDUP(C300*1.236/75,0)</f>
        <v>2</v>
      </c>
      <c r="H300" s="0" t="str">
        <f aca="false">IF(MOD(F300-1,2)=0,SUMPRODUCT(($A$2:$A$644=A300)*(ROW($A$2:$A$644)&gt;=ROW())*(ROW($A$2:$A$644)&lt;ROW()+2)*$C$2:$C$644),"")</f>
        <v/>
      </c>
      <c r="I300" s="0" t="str">
        <f aca="false">IF(H300="","",ROUNDUP(H300/75,0))</f>
        <v/>
      </c>
      <c r="J300" s="0" t="str">
        <f aca="false">IF(MOD(F300-1,3)=0,SUMPRODUCT(($A$2:$A$644=A300)*(ROW($A$2:$A$644)&gt;=ROW())*(ROW($A$2:$A$644)&lt;ROW()+3)*$C$2:$C$644),"")</f>
        <v/>
      </c>
      <c r="K300" s="0" t="str">
        <f aca="false">IF(J300="","",ROUNDUP(J300/75,0))</f>
        <v/>
      </c>
      <c r="L300" s="0" t="str">
        <f aca="false">IF(MOD(F300-1,5)=0,SUMPRODUCT(($A$2:$A$644=A300)*(ROW($A$2:$A$644)&gt;=ROW())*(ROW($A$2:$A$644)&lt;ROW()+5)*$C$2:$C$644),"")</f>
        <v/>
      </c>
      <c r="M300" s="0" t="str">
        <f aca="false">IF(L300="","",ROUNDUP(L300/75,0))</f>
        <v/>
      </c>
      <c r="N300" s="0" t="str">
        <f aca="false">IF(MOD(F300-1,7)=0,SUMPRODUCT(($A$2:$A$644=A300)*(ROW($A$2:$A$644)&gt;=ROW())*(ROW($A$2:$A$644)&lt;ROW()+7)*$C$2:$C$644),"")</f>
        <v/>
      </c>
      <c r="O300" s="0" t="str">
        <f aca="false">IF(N300="","",ROUNDUP(N300/75,0))</f>
        <v/>
      </c>
    </row>
    <row r="301" customFormat="false" ht="15" hidden="false" customHeight="false" outlineLevel="0" collapsed="false">
      <c r="A301" s="0" t="s">
        <v>249</v>
      </c>
      <c r="B301" s="0" t="s">
        <v>334</v>
      </c>
      <c r="C301" s="0" t="n">
        <v>108</v>
      </c>
      <c r="D301" s="0" t="n">
        <v>2</v>
      </c>
      <c r="E301" s="0" t="n">
        <v>42</v>
      </c>
      <c r="F301" s="0" t="n">
        <f aca="false">COUNTIF($A$2:A301,A301)</f>
        <v>85</v>
      </c>
      <c r="G301" s="0" t="n">
        <f aca="false">ROUNDUP(C301*1.236/75,0)</f>
        <v>2</v>
      </c>
      <c r="H301" s="0" t="n">
        <f aca="false">IF(MOD(F301-1,2)=0,SUMPRODUCT(($A$2:$A$644=A301)*(ROW($A$2:$A$644)&gt;=ROW())*(ROW($A$2:$A$644)&lt;ROW()+2)*$C$2:$C$644),"")</f>
        <v>132</v>
      </c>
      <c r="I301" s="0" t="n">
        <f aca="false">IF(H301="","",ROUNDUP(H301/75,0))</f>
        <v>2</v>
      </c>
      <c r="J301" s="0" t="n">
        <f aca="false">IF(MOD(F301-1,3)=0,SUMPRODUCT(($A$2:$A$644=A301)*(ROW($A$2:$A$644)&gt;=ROW())*(ROW($A$2:$A$644)&lt;ROW()+3)*$C$2:$C$644),"")</f>
        <v>252</v>
      </c>
      <c r="K301" s="0" t="n">
        <f aca="false">IF(J301="","",ROUNDUP(J301/75,0))</f>
        <v>4</v>
      </c>
      <c r="L301" s="0" t="str">
        <f aca="false">IF(MOD(F301-1,5)=0,SUMPRODUCT(($A$2:$A$644=A301)*(ROW($A$2:$A$644)&gt;=ROW())*(ROW($A$2:$A$644)&lt;ROW()+5)*$C$2:$C$644),"")</f>
        <v/>
      </c>
      <c r="M301" s="0" t="str">
        <f aca="false">IF(L301="","",ROUNDUP(L301/75,0))</f>
        <v/>
      </c>
      <c r="N301" s="0" t="n">
        <f aca="false">IF(MOD(F301-1,7)=0,SUMPRODUCT(($A$2:$A$644=A301)*(ROW($A$2:$A$644)&gt;=ROW())*(ROW($A$2:$A$644)&lt;ROW()+7)*$C$2:$C$644),"")</f>
        <v>714</v>
      </c>
      <c r="O301" s="0" t="n">
        <f aca="false">IF(N301="","",ROUNDUP(N301/75,0))</f>
        <v>10</v>
      </c>
    </row>
    <row r="302" customFormat="false" ht="15" hidden="false" customHeight="false" outlineLevel="0" collapsed="false">
      <c r="A302" s="0" t="s">
        <v>249</v>
      </c>
      <c r="B302" s="0" t="s">
        <v>335</v>
      </c>
      <c r="C302" s="0" t="n">
        <v>24</v>
      </c>
      <c r="D302" s="0" t="n">
        <v>1</v>
      </c>
      <c r="E302" s="0" t="n">
        <v>51</v>
      </c>
      <c r="F302" s="0" t="n">
        <f aca="false">COUNTIF($A$2:A302,A302)</f>
        <v>86</v>
      </c>
      <c r="G302" s="0" t="n">
        <f aca="false">ROUNDUP(C302*1.236/75,0)</f>
        <v>1</v>
      </c>
      <c r="H302" s="0" t="str">
        <f aca="false">IF(MOD(F302-1,2)=0,SUMPRODUCT(($A$2:$A$644=A302)*(ROW($A$2:$A$644)&gt;=ROW())*(ROW($A$2:$A$644)&lt;ROW()+2)*$C$2:$C$644),"")</f>
        <v/>
      </c>
      <c r="I302" s="0" t="str">
        <f aca="false">IF(H302="","",ROUNDUP(H302/75,0))</f>
        <v/>
      </c>
      <c r="J302" s="0" t="str">
        <f aca="false">IF(MOD(F302-1,3)=0,SUMPRODUCT(($A$2:$A$644=A302)*(ROW($A$2:$A$644)&gt;=ROW())*(ROW($A$2:$A$644)&lt;ROW()+3)*$C$2:$C$644),"")</f>
        <v/>
      </c>
      <c r="K302" s="0" t="str">
        <f aca="false">IF(J302="","",ROUNDUP(J302/75,0))</f>
        <v/>
      </c>
      <c r="L302" s="0" t="n">
        <f aca="false">IF(MOD(F302-1,5)=0,SUMPRODUCT(($A$2:$A$644=A302)*(ROW($A$2:$A$644)&gt;=ROW())*(ROW($A$2:$A$644)&lt;ROW()+5)*$C$2:$C$644),"")</f>
        <v>528</v>
      </c>
      <c r="M302" s="0" t="n">
        <f aca="false">IF(L302="","",ROUNDUP(L302/75,0))</f>
        <v>8</v>
      </c>
      <c r="N302" s="0" t="str">
        <f aca="false">IF(MOD(F302-1,7)=0,SUMPRODUCT(($A$2:$A$644=A302)*(ROW($A$2:$A$644)&gt;=ROW())*(ROW($A$2:$A$644)&lt;ROW()+7)*$C$2:$C$644),"")</f>
        <v/>
      </c>
      <c r="O302" s="0" t="str">
        <f aca="false">IF(N302="","",ROUNDUP(N302/75,0))</f>
        <v/>
      </c>
    </row>
    <row r="303" customFormat="false" ht="15" hidden="false" customHeight="false" outlineLevel="0" collapsed="false">
      <c r="A303" s="0" t="s">
        <v>249</v>
      </c>
      <c r="B303" s="0" t="s">
        <v>336</v>
      </c>
      <c r="C303" s="0" t="n">
        <v>120</v>
      </c>
      <c r="D303" s="0" t="n">
        <v>2</v>
      </c>
      <c r="E303" s="0" t="n">
        <v>30</v>
      </c>
      <c r="F303" s="0" t="n">
        <f aca="false">COUNTIF($A$2:A303,A303)</f>
        <v>87</v>
      </c>
      <c r="G303" s="0" t="n">
        <f aca="false">ROUNDUP(C303*1.236/75,0)</f>
        <v>2</v>
      </c>
      <c r="H303" s="0" t="n">
        <f aca="false">IF(MOD(F303-1,2)=0,SUMPRODUCT(($A$2:$A$644=A303)*(ROW($A$2:$A$644)&gt;=ROW())*(ROW($A$2:$A$644)&lt;ROW()+2)*$C$2:$C$644),"")</f>
        <v>222</v>
      </c>
      <c r="I303" s="0" t="n">
        <f aca="false">IF(H303="","",ROUNDUP(H303/75,0))</f>
        <v>3</v>
      </c>
      <c r="J303" s="0" t="str">
        <f aca="false">IF(MOD(F303-1,3)=0,SUMPRODUCT(($A$2:$A$644=A303)*(ROW($A$2:$A$644)&gt;=ROW())*(ROW($A$2:$A$644)&lt;ROW()+3)*$C$2:$C$644),"")</f>
        <v/>
      </c>
      <c r="K303" s="0" t="str">
        <f aca="false">IF(J303="","",ROUNDUP(J303/75,0))</f>
        <v/>
      </c>
      <c r="L303" s="0" t="str">
        <f aca="false">IF(MOD(F303-1,5)=0,SUMPRODUCT(($A$2:$A$644=A303)*(ROW($A$2:$A$644)&gt;=ROW())*(ROW($A$2:$A$644)&lt;ROW()+5)*$C$2:$C$644),"")</f>
        <v/>
      </c>
      <c r="M303" s="0" t="str">
        <f aca="false">IF(L303="","",ROUNDUP(L303/75,0))</f>
        <v/>
      </c>
      <c r="N303" s="0" t="str">
        <f aca="false">IF(MOD(F303-1,7)=0,SUMPRODUCT(($A$2:$A$644=A303)*(ROW($A$2:$A$644)&gt;=ROW())*(ROW($A$2:$A$644)&lt;ROW()+7)*$C$2:$C$644),"")</f>
        <v/>
      </c>
      <c r="O303" s="0" t="str">
        <f aca="false">IF(N303="","",ROUNDUP(N303/75,0))</f>
        <v/>
      </c>
    </row>
    <row r="304" customFormat="false" ht="15" hidden="false" customHeight="false" outlineLevel="0" collapsed="false">
      <c r="A304" s="0" t="s">
        <v>249</v>
      </c>
      <c r="B304" s="0" t="s">
        <v>337</v>
      </c>
      <c r="C304" s="0" t="n">
        <v>102</v>
      </c>
      <c r="D304" s="0" t="n">
        <v>2</v>
      </c>
      <c r="E304" s="0" t="n">
        <v>48</v>
      </c>
      <c r="F304" s="0" t="n">
        <f aca="false">COUNTIF($A$2:A304,A304)</f>
        <v>88</v>
      </c>
      <c r="G304" s="0" t="n">
        <f aca="false">ROUNDUP(C304*1.236/75,0)</f>
        <v>2</v>
      </c>
      <c r="H304" s="0" t="str">
        <f aca="false">IF(MOD(F304-1,2)=0,SUMPRODUCT(($A$2:$A$644=A304)*(ROW($A$2:$A$644)&gt;=ROW())*(ROW($A$2:$A$644)&lt;ROW()+2)*$C$2:$C$644),"")</f>
        <v/>
      </c>
      <c r="I304" s="0" t="str">
        <f aca="false">IF(H304="","",ROUNDUP(H304/75,0))</f>
        <v/>
      </c>
      <c r="J304" s="0" t="n">
        <f aca="false">IF(MOD(F304-1,3)=0,SUMPRODUCT(($A$2:$A$644=A304)*(ROW($A$2:$A$644)&gt;=ROW())*(ROW($A$2:$A$644)&lt;ROW()+3)*$C$2:$C$644),"")</f>
        <v>384</v>
      </c>
      <c r="K304" s="0" t="n">
        <f aca="false">IF(J304="","",ROUNDUP(J304/75,0))</f>
        <v>6</v>
      </c>
      <c r="L304" s="0" t="str">
        <f aca="false">IF(MOD(F304-1,5)=0,SUMPRODUCT(($A$2:$A$644=A304)*(ROW($A$2:$A$644)&gt;=ROW())*(ROW($A$2:$A$644)&lt;ROW()+5)*$C$2:$C$644),"")</f>
        <v/>
      </c>
      <c r="M304" s="0" t="str">
        <f aca="false">IF(L304="","",ROUNDUP(L304/75,0))</f>
        <v/>
      </c>
      <c r="N304" s="0" t="str">
        <f aca="false">IF(MOD(F304-1,7)=0,SUMPRODUCT(($A$2:$A$644=A304)*(ROW($A$2:$A$644)&gt;=ROW())*(ROW($A$2:$A$644)&lt;ROW()+7)*$C$2:$C$644),"")</f>
        <v/>
      </c>
      <c r="O304" s="0" t="str">
        <f aca="false">IF(N304="","",ROUNDUP(N304/75,0))</f>
        <v/>
      </c>
    </row>
    <row r="305" customFormat="false" ht="15" hidden="false" customHeight="false" outlineLevel="0" collapsed="false">
      <c r="A305" s="0" t="s">
        <v>249</v>
      </c>
      <c r="B305" s="0" t="s">
        <v>338</v>
      </c>
      <c r="C305" s="0" t="n">
        <v>138</v>
      </c>
      <c r="D305" s="0" t="n">
        <v>2</v>
      </c>
      <c r="E305" s="0" t="n">
        <v>12</v>
      </c>
      <c r="F305" s="0" t="n">
        <f aca="false">COUNTIF($A$2:A305,A305)</f>
        <v>89</v>
      </c>
      <c r="G305" s="0" t="n">
        <f aca="false">ROUNDUP(C305*1.236/75,0)</f>
        <v>3</v>
      </c>
      <c r="H305" s="0" t="n">
        <f aca="false">IF(MOD(F305-1,2)=0,SUMPRODUCT(($A$2:$A$644=A305)*(ROW($A$2:$A$644)&gt;=ROW())*(ROW($A$2:$A$644)&lt;ROW()+2)*$C$2:$C$644),"")</f>
        <v>282</v>
      </c>
      <c r="I305" s="0" t="n">
        <f aca="false">IF(H305="","",ROUNDUP(H305/75,0))</f>
        <v>4</v>
      </c>
      <c r="J305" s="0" t="str">
        <f aca="false">IF(MOD(F305-1,3)=0,SUMPRODUCT(($A$2:$A$644=A305)*(ROW($A$2:$A$644)&gt;=ROW())*(ROW($A$2:$A$644)&lt;ROW()+3)*$C$2:$C$644),"")</f>
        <v/>
      </c>
      <c r="K305" s="0" t="str">
        <f aca="false">IF(J305="","",ROUNDUP(J305/75,0))</f>
        <v/>
      </c>
      <c r="L305" s="0" t="str">
        <f aca="false">IF(MOD(F305-1,5)=0,SUMPRODUCT(($A$2:$A$644=A305)*(ROW($A$2:$A$644)&gt;=ROW())*(ROW($A$2:$A$644)&lt;ROW()+5)*$C$2:$C$644),"")</f>
        <v/>
      </c>
      <c r="M305" s="0" t="str">
        <f aca="false">IF(L305="","",ROUNDUP(L305/75,0))</f>
        <v/>
      </c>
      <c r="N305" s="0" t="str">
        <f aca="false">IF(MOD(F305-1,7)=0,SUMPRODUCT(($A$2:$A$644=A305)*(ROW($A$2:$A$644)&gt;=ROW())*(ROW($A$2:$A$644)&lt;ROW()+7)*$C$2:$C$644),"")</f>
        <v/>
      </c>
      <c r="O305" s="0" t="str">
        <f aca="false">IF(N305="","",ROUNDUP(N305/75,0))</f>
        <v/>
      </c>
    </row>
    <row r="306" customFormat="false" ht="15" hidden="false" customHeight="false" outlineLevel="0" collapsed="false">
      <c r="A306" s="0" t="s">
        <v>249</v>
      </c>
      <c r="B306" s="0" t="s">
        <v>339</v>
      </c>
      <c r="C306" s="0" t="n">
        <v>144</v>
      </c>
      <c r="D306" s="0" t="n">
        <v>2</v>
      </c>
      <c r="E306" s="0" t="n">
        <v>6</v>
      </c>
      <c r="F306" s="0" t="n">
        <f aca="false">COUNTIF($A$2:A306,A306)</f>
        <v>90</v>
      </c>
      <c r="G306" s="0" t="n">
        <f aca="false">ROUNDUP(C306*1.236/75,0)</f>
        <v>3</v>
      </c>
      <c r="H306" s="0" t="str">
        <f aca="false">IF(MOD(F306-1,2)=0,SUMPRODUCT(($A$2:$A$644=A306)*(ROW($A$2:$A$644)&gt;=ROW())*(ROW($A$2:$A$644)&lt;ROW()+2)*$C$2:$C$644),"")</f>
        <v/>
      </c>
      <c r="I306" s="0" t="str">
        <f aca="false">IF(H306="","",ROUNDUP(H306/75,0))</f>
        <v/>
      </c>
      <c r="J306" s="0" t="str">
        <f aca="false">IF(MOD(F306-1,3)=0,SUMPRODUCT(($A$2:$A$644=A306)*(ROW($A$2:$A$644)&gt;=ROW())*(ROW($A$2:$A$644)&lt;ROW()+3)*$C$2:$C$644),"")</f>
        <v/>
      </c>
      <c r="K306" s="0" t="str">
        <f aca="false">IF(J306="","",ROUNDUP(J306/75,0))</f>
        <v/>
      </c>
      <c r="L306" s="0" t="str">
        <f aca="false">IF(MOD(F306-1,5)=0,SUMPRODUCT(($A$2:$A$644=A306)*(ROW($A$2:$A$644)&gt;=ROW())*(ROW($A$2:$A$644)&lt;ROW()+5)*$C$2:$C$644),"")</f>
        <v/>
      </c>
      <c r="M306" s="0" t="str">
        <f aca="false">IF(L306="","",ROUNDUP(L306/75,0))</f>
        <v/>
      </c>
      <c r="N306" s="0" t="str">
        <f aca="false">IF(MOD(F306-1,7)=0,SUMPRODUCT(($A$2:$A$644=A306)*(ROW($A$2:$A$644)&gt;=ROW())*(ROW($A$2:$A$644)&lt;ROW()+7)*$C$2:$C$644),"")</f>
        <v/>
      </c>
      <c r="O306" s="0" t="str">
        <f aca="false">IF(N306="","",ROUNDUP(N306/75,0))</f>
        <v/>
      </c>
    </row>
    <row r="307" customFormat="false" ht="15" hidden="false" customHeight="false" outlineLevel="0" collapsed="false">
      <c r="A307" s="0" t="s">
        <v>249</v>
      </c>
      <c r="B307" s="0" t="s">
        <v>340</v>
      </c>
      <c r="C307" s="0" t="n">
        <v>78</v>
      </c>
      <c r="D307" s="0" t="n">
        <v>2</v>
      </c>
      <c r="E307" s="0" t="n">
        <v>72</v>
      </c>
      <c r="F307" s="0" t="n">
        <f aca="false">COUNTIF($A$2:A307,A307)</f>
        <v>91</v>
      </c>
      <c r="G307" s="0" t="n">
        <f aca="false">ROUNDUP(C307*1.236/75,0)</f>
        <v>2</v>
      </c>
      <c r="H307" s="0" t="n">
        <f aca="false">IF(MOD(F307-1,2)=0,SUMPRODUCT(($A$2:$A$644=A307)*(ROW($A$2:$A$644)&gt;=ROW())*(ROW($A$2:$A$644)&lt;ROW()+2)*$C$2:$C$644),"")</f>
        <v>108</v>
      </c>
      <c r="I307" s="0" t="n">
        <f aca="false">IF(H307="","",ROUNDUP(H307/75,0))</f>
        <v>2</v>
      </c>
      <c r="J307" s="0" t="n">
        <f aca="false">IF(MOD(F307-1,3)=0,SUMPRODUCT(($A$2:$A$644=A307)*(ROW($A$2:$A$644)&gt;=ROW())*(ROW($A$2:$A$644)&lt;ROW()+3)*$C$2:$C$644),"")</f>
        <v>204</v>
      </c>
      <c r="K307" s="0" t="n">
        <f aca="false">IF(J307="","",ROUNDUP(J307/75,0))</f>
        <v>3</v>
      </c>
      <c r="L307" s="0" t="n">
        <f aca="false">IF(MOD(F307-1,5)=0,SUMPRODUCT(($A$2:$A$644=A307)*(ROW($A$2:$A$644)&gt;=ROW())*(ROW($A$2:$A$644)&lt;ROW()+5)*$C$2:$C$644),"")</f>
        <v>405</v>
      </c>
      <c r="M307" s="0" t="n">
        <f aca="false">IF(L307="","",ROUNDUP(L307/75,0))</f>
        <v>6</v>
      </c>
      <c r="N307" s="0" t="str">
        <f aca="false">IF(MOD(F307-1,7)=0,SUMPRODUCT(($A$2:$A$644=A307)*(ROW($A$2:$A$644)&gt;=ROW())*(ROW($A$2:$A$644)&lt;ROW()+7)*$C$2:$C$644),"")</f>
        <v/>
      </c>
      <c r="O307" s="0" t="str">
        <f aca="false">IF(N307="","",ROUNDUP(N307/75,0))</f>
        <v/>
      </c>
    </row>
    <row r="308" customFormat="false" ht="15" hidden="false" customHeight="false" outlineLevel="0" collapsed="false">
      <c r="A308" s="0" t="s">
        <v>249</v>
      </c>
      <c r="B308" s="0" t="s">
        <v>341</v>
      </c>
      <c r="C308" s="0" t="n">
        <v>30</v>
      </c>
      <c r="D308" s="0" t="n">
        <v>1</v>
      </c>
      <c r="E308" s="0" t="n">
        <v>45</v>
      </c>
      <c r="F308" s="0" t="n">
        <f aca="false">COUNTIF($A$2:A308,A308)</f>
        <v>92</v>
      </c>
      <c r="G308" s="0" t="n">
        <f aca="false">ROUNDUP(C308*1.236/75,0)</f>
        <v>1</v>
      </c>
      <c r="H308" s="0" t="str">
        <f aca="false">IF(MOD(F308-1,2)=0,SUMPRODUCT(($A$2:$A$644=A308)*(ROW($A$2:$A$644)&gt;=ROW())*(ROW($A$2:$A$644)&lt;ROW()+2)*$C$2:$C$644),"")</f>
        <v/>
      </c>
      <c r="I308" s="0" t="str">
        <f aca="false">IF(H308="","",ROUNDUP(H308/75,0))</f>
        <v/>
      </c>
      <c r="J308" s="0" t="str">
        <f aca="false">IF(MOD(F308-1,3)=0,SUMPRODUCT(($A$2:$A$644=A308)*(ROW($A$2:$A$644)&gt;=ROW())*(ROW($A$2:$A$644)&lt;ROW()+3)*$C$2:$C$644),"")</f>
        <v/>
      </c>
      <c r="K308" s="0" t="str">
        <f aca="false">IF(J308="","",ROUNDUP(J308/75,0))</f>
        <v/>
      </c>
      <c r="L308" s="0" t="str">
        <f aca="false">IF(MOD(F308-1,5)=0,SUMPRODUCT(($A$2:$A$644=A308)*(ROW($A$2:$A$644)&gt;=ROW())*(ROW($A$2:$A$644)&lt;ROW()+5)*$C$2:$C$644),"")</f>
        <v/>
      </c>
      <c r="M308" s="0" t="str">
        <f aca="false">IF(L308="","",ROUNDUP(L308/75,0))</f>
        <v/>
      </c>
      <c r="N308" s="0" t="n">
        <f aca="false">IF(MOD(F308-1,7)=0,SUMPRODUCT(($A$2:$A$644=A308)*(ROW($A$2:$A$644)&gt;=ROW())*(ROW($A$2:$A$644)&lt;ROW()+7)*$C$2:$C$644),"")</f>
        <v>615</v>
      </c>
      <c r="O308" s="0" t="n">
        <f aca="false">IF(N308="","",ROUNDUP(N308/75,0))</f>
        <v>9</v>
      </c>
    </row>
    <row r="309" customFormat="false" ht="15" hidden="false" customHeight="false" outlineLevel="0" collapsed="false">
      <c r="A309" s="0" t="s">
        <v>249</v>
      </c>
      <c r="B309" s="0" t="s">
        <v>342</v>
      </c>
      <c r="C309" s="0" t="n">
        <v>96</v>
      </c>
      <c r="D309" s="0" t="n">
        <v>2</v>
      </c>
      <c r="E309" s="0" t="n">
        <v>54</v>
      </c>
      <c r="F309" s="0" t="n">
        <f aca="false">COUNTIF($A$2:A309,A309)</f>
        <v>93</v>
      </c>
      <c r="G309" s="0" t="n">
        <f aca="false">ROUNDUP(C309*1.236/75,0)</f>
        <v>2</v>
      </c>
      <c r="H309" s="0" t="n">
        <f aca="false">IF(MOD(F309-1,2)=0,SUMPRODUCT(($A$2:$A$644=A309)*(ROW($A$2:$A$644)&gt;=ROW())*(ROW($A$2:$A$644)&lt;ROW()+2)*$C$2:$C$644),"")</f>
        <v>171</v>
      </c>
      <c r="I309" s="0" t="n">
        <f aca="false">IF(H309="","",ROUNDUP(H309/75,0))</f>
        <v>3</v>
      </c>
      <c r="J309" s="0" t="str">
        <f aca="false">IF(MOD(F309-1,3)=0,SUMPRODUCT(($A$2:$A$644=A309)*(ROW($A$2:$A$644)&gt;=ROW())*(ROW($A$2:$A$644)&lt;ROW()+3)*$C$2:$C$644),"")</f>
        <v/>
      </c>
      <c r="K309" s="0" t="str">
        <f aca="false">IF(J309="","",ROUNDUP(J309/75,0))</f>
        <v/>
      </c>
      <c r="L309" s="0" t="str">
        <f aca="false">IF(MOD(F309-1,5)=0,SUMPRODUCT(($A$2:$A$644=A309)*(ROW($A$2:$A$644)&gt;=ROW())*(ROW($A$2:$A$644)&lt;ROW()+5)*$C$2:$C$644),"")</f>
        <v/>
      </c>
      <c r="M309" s="0" t="str">
        <f aca="false">IF(L309="","",ROUNDUP(L309/75,0))</f>
        <v/>
      </c>
      <c r="N309" s="0" t="str">
        <f aca="false">IF(MOD(F309-1,7)=0,SUMPRODUCT(($A$2:$A$644=A309)*(ROW($A$2:$A$644)&gt;=ROW())*(ROW($A$2:$A$644)&lt;ROW()+7)*$C$2:$C$644),"")</f>
        <v/>
      </c>
      <c r="O309" s="0" t="str">
        <f aca="false">IF(N309="","",ROUNDUP(N309/75,0))</f>
        <v/>
      </c>
    </row>
    <row r="310" customFormat="false" ht="15" hidden="false" customHeight="false" outlineLevel="0" collapsed="false">
      <c r="A310" s="0" t="s">
        <v>249</v>
      </c>
      <c r="B310" s="0" t="s">
        <v>343</v>
      </c>
      <c r="C310" s="0" t="n">
        <v>75</v>
      </c>
      <c r="D310" s="0" t="n">
        <v>1</v>
      </c>
      <c r="E310" s="0" t="n">
        <v>0</v>
      </c>
      <c r="F310" s="0" t="n">
        <f aca="false">COUNTIF($A$2:A310,A310)</f>
        <v>94</v>
      </c>
      <c r="G310" s="0" t="n">
        <f aca="false">ROUNDUP(C310*1.236/75,0)</f>
        <v>2</v>
      </c>
      <c r="H310" s="0" t="str">
        <f aca="false">IF(MOD(F310-1,2)=0,SUMPRODUCT(($A$2:$A$644=A310)*(ROW($A$2:$A$644)&gt;=ROW())*(ROW($A$2:$A$644)&lt;ROW()+2)*$C$2:$C$644),"")</f>
        <v/>
      </c>
      <c r="I310" s="0" t="str">
        <f aca="false">IF(H310="","",ROUNDUP(H310/75,0))</f>
        <v/>
      </c>
      <c r="J310" s="0" t="n">
        <f aca="false">IF(MOD(F310-1,3)=0,SUMPRODUCT(($A$2:$A$644=A310)*(ROW($A$2:$A$644)&gt;=ROW())*(ROW($A$2:$A$644)&lt;ROW()+3)*$C$2:$C$644),"")</f>
        <v>321</v>
      </c>
      <c r="K310" s="0" t="n">
        <f aca="false">IF(J310="","",ROUNDUP(J310/75,0))</f>
        <v>5</v>
      </c>
      <c r="L310" s="0" t="str">
        <f aca="false">IF(MOD(F310-1,5)=0,SUMPRODUCT(($A$2:$A$644=A310)*(ROW($A$2:$A$644)&gt;=ROW())*(ROW($A$2:$A$644)&lt;ROW()+5)*$C$2:$C$644),"")</f>
        <v/>
      </c>
      <c r="M310" s="0" t="str">
        <f aca="false">IF(L310="","",ROUNDUP(L310/75,0))</f>
        <v/>
      </c>
      <c r="N310" s="0" t="str">
        <f aca="false">IF(MOD(F310-1,7)=0,SUMPRODUCT(($A$2:$A$644=A310)*(ROW($A$2:$A$644)&gt;=ROW())*(ROW($A$2:$A$644)&lt;ROW()+7)*$C$2:$C$644),"")</f>
        <v/>
      </c>
      <c r="O310" s="0" t="str">
        <f aca="false">IF(N310="","",ROUNDUP(N310/75,0))</f>
        <v/>
      </c>
    </row>
    <row r="311" customFormat="false" ht="15" hidden="false" customHeight="false" outlineLevel="0" collapsed="false">
      <c r="A311" s="0" t="s">
        <v>249</v>
      </c>
      <c r="B311" s="0" t="s">
        <v>344</v>
      </c>
      <c r="C311" s="0" t="n">
        <v>126</v>
      </c>
      <c r="D311" s="0" t="n">
        <v>2</v>
      </c>
      <c r="E311" s="0" t="n">
        <v>24</v>
      </c>
      <c r="F311" s="0" t="n">
        <f aca="false">COUNTIF($A$2:A311,A311)</f>
        <v>95</v>
      </c>
      <c r="G311" s="0" t="n">
        <f aca="false">ROUNDUP(C311*1.236/75,0)</f>
        <v>3</v>
      </c>
      <c r="H311" s="0" t="n">
        <f aca="false">IF(MOD(F311-1,2)=0,SUMPRODUCT(($A$2:$A$644=A311)*(ROW($A$2:$A$644)&gt;=ROW())*(ROW($A$2:$A$644)&lt;ROW()+2)*$C$2:$C$644),"")</f>
        <v>246</v>
      </c>
      <c r="I311" s="0" t="n">
        <f aca="false">IF(H311="","",ROUNDUP(H311/75,0))</f>
        <v>4</v>
      </c>
      <c r="J311" s="0" t="str">
        <f aca="false">IF(MOD(F311-1,3)=0,SUMPRODUCT(($A$2:$A$644=A311)*(ROW($A$2:$A$644)&gt;=ROW())*(ROW($A$2:$A$644)&lt;ROW()+3)*$C$2:$C$644),"")</f>
        <v/>
      </c>
      <c r="K311" s="0" t="str">
        <f aca="false">IF(J311="","",ROUNDUP(J311/75,0))</f>
        <v/>
      </c>
      <c r="L311" s="0" t="str">
        <f aca="false">IF(MOD(F311-1,5)=0,SUMPRODUCT(($A$2:$A$644=A311)*(ROW($A$2:$A$644)&gt;=ROW())*(ROW($A$2:$A$644)&lt;ROW()+5)*$C$2:$C$644),"")</f>
        <v/>
      </c>
      <c r="M311" s="0" t="str">
        <f aca="false">IF(L311="","",ROUNDUP(L311/75,0))</f>
        <v/>
      </c>
      <c r="N311" s="0" t="str">
        <f aca="false">IF(MOD(F311-1,7)=0,SUMPRODUCT(($A$2:$A$644=A311)*(ROW($A$2:$A$644)&gt;=ROW())*(ROW($A$2:$A$644)&lt;ROW()+7)*$C$2:$C$644),"")</f>
        <v/>
      </c>
      <c r="O311" s="0" t="str">
        <f aca="false">IF(N311="","",ROUNDUP(N311/75,0))</f>
        <v/>
      </c>
    </row>
    <row r="312" customFormat="false" ht="15" hidden="false" customHeight="false" outlineLevel="0" collapsed="false">
      <c r="A312" s="0" t="s">
        <v>249</v>
      </c>
      <c r="B312" s="0" t="s">
        <v>345</v>
      </c>
      <c r="C312" s="0" t="n">
        <v>120</v>
      </c>
      <c r="D312" s="0" t="n">
        <v>2</v>
      </c>
      <c r="E312" s="0" t="n">
        <v>30</v>
      </c>
      <c r="F312" s="0" t="n">
        <f aca="false">COUNTIF($A$2:A312,A312)</f>
        <v>96</v>
      </c>
      <c r="G312" s="0" t="n">
        <f aca="false">ROUNDUP(C312*1.236/75,0)</f>
        <v>2</v>
      </c>
      <c r="H312" s="0" t="str">
        <f aca="false">IF(MOD(F312-1,2)=0,SUMPRODUCT(($A$2:$A$644=A312)*(ROW($A$2:$A$644)&gt;=ROW())*(ROW($A$2:$A$644)&lt;ROW()+2)*$C$2:$C$644),"")</f>
        <v/>
      </c>
      <c r="I312" s="0" t="str">
        <f aca="false">IF(H312="","",ROUNDUP(H312/75,0))</f>
        <v/>
      </c>
      <c r="J312" s="0" t="str">
        <f aca="false">IF(MOD(F312-1,3)=0,SUMPRODUCT(($A$2:$A$644=A312)*(ROW($A$2:$A$644)&gt;=ROW())*(ROW($A$2:$A$644)&lt;ROW()+3)*$C$2:$C$644),"")</f>
        <v/>
      </c>
      <c r="K312" s="0" t="str">
        <f aca="false">IF(J312="","",ROUNDUP(J312/75,0))</f>
        <v/>
      </c>
      <c r="L312" s="0" t="n">
        <f aca="false">IF(MOD(F312-1,5)=0,SUMPRODUCT(($A$2:$A$644=A312)*(ROW($A$2:$A$644)&gt;=ROW())*(ROW($A$2:$A$644)&lt;ROW()+5)*$C$2:$C$644),"")</f>
        <v>420</v>
      </c>
      <c r="M312" s="0" t="n">
        <f aca="false">IF(L312="","",ROUNDUP(L312/75,0))</f>
        <v>6</v>
      </c>
      <c r="N312" s="0" t="str">
        <f aca="false">IF(MOD(F312-1,7)=0,SUMPRODUCT(($A$2:$A$644=A312)*(ROW($A$2:$A$644)&gt;=ROW())*(ROW($A$2:$A$644)&lt;ROW()+7)*$C$2:$C$644),"")</f>
        <v/>
      </c>
      <c r="O312" s="0" t="str">
        <f aca="false">IF(N312="","",ROUNDUP(N312/75,0))</f>
        <v/>
      </c>
    </row>
    <row r="313" customFormat="false" ht="15" hidden="false" customHeight="false" outlineLevel="0" collapsed="false">
      <c r="A313" s="0" t="s">
        <v>249</v>
      </c>
      <c r="B313" s="0" t="s">
        <v>346</v>
      </c>
      <c r="C313" s="0" t="n">
        <v>90</v>
      </c>
      <c r="D313" s="0" t="n">
        <v>2</v>
      </c>
      <c r="E313" s="0" t="n">
        <v>60</v>
      </c>
      <c r="F313" s="0" t="n">
        <f aca="false">COUNTIF($A$2:A313,A313)</f>
        <v>97</v>
      </c>
      <c r="G313" s="0" t="n">
        <f aca="false">ROUNDUP(C313*1.236/75,0)</f>
        <v>2</v>
      </c>
      <c r="H313" s="0" t="n">
        <f aca="false">IF(MOD(F313-1,2)=0,SUMPRODUCT(($A$2:$A$644=A313)*(ROW($A$2:$A$644)&gt;=ROW())*(ROW($A$2:$A$644)&lt;ROW()+2)*$C$2:$C$644),"")</f>
        <v>168</v>
      </c>
      <c r="I313" s="0" t="n">
        <f aca="false">IF(H313="","",ROUNDUP(H313/75,0))</f>
        <v>3</v>
      </c>
      <c r="J313" s="0" t="n">
        <f aca="false">IF(MOD(F313-1,3)=0,SUMPRODUCT(($A$2:$A$644=A313)*(ROW($A$2:$A$644)&gt;=ROW())*(ROW($A$2:$A$644)&lt;ROW()+3)*$C$2:$C$644),"")</f>
        <v>246</v>
      </c>
      <c r="K313" s="0" t="n">
        <f aca="false">IF(J313="","",ROUNDUP(J313/75,0))</f>
        <v>4</v>
      </c>
      <c r="L313" s="0" t="str">
        <f aca="false">IF(MOD(F313-1,5)=0,SUMPRODUCT(($A$2:$A$644=A313)*(ROW($A$2:$A$644)&gt;=ROW())*(ROW($A$2:$A$644)&lt;ROW()+5)*$C$2:$C$644),"")</f>
        <v/>
      </c>
      <c r="M313" s="0" t="str">
        <f aca="false">IF(L313="","",ROUNDUP(L313/75,0))</f>
        <v/>
      </c>
      <c r="N313" s="0" t="str">
        <f aca="false">IF(MOD(F313-1,7)=0,SUMPRODUCT(($A$2:$A$644=A313)*(ROW($A$2:$A$644)&gt;=ROW())*(ROW($A$2:$A$644)&lt;ROW()+7)*$C$2:$C$644),"")</f>
        <v/>
      </c>
      <c r="O313" s="0" t="str">
        <f aca="false">IF(N313="","",ROUNDUP(N313/75,0))</f>
        <v/>
      </c>
    </row>
    <row r="314" customFormat="false" ht="15" hidden="false" customHeight="false" outlineLevel="0" collapsed="false">
      <c r="A314" s="0" t="s">
        <v>249</v>
      </c>
      <c r="B314" s="0" t="s">
        <v>347</v>
      </c>
      <c r="C314" s="0" t="n">
        <v>78</v>
      </c>
      <c r="D314" s="0" t="n">
        <v>2</v>
      </c>
      <c r="E314" s="0" t="n">
        <v>72</v>
      </c>
      <c r="F314" s="0" t="n">
        <f aca="false">COUNTIF($A$2:A314,A314)</f>
        <v>98</v>
      </c>
      <c r="G314" s="0" t="n">
        <f aca="false">ROUNDUP(C314*1.236/75,0)</f>
        <v>2</v>
      </c>
      <c r="H314" s="0" t="str">
        <f aca="false">IF(MOD(F314-1,2)=0,SUMPRODUCT(($A$2:$A$644=A314)*(ROW($A$2:$A$644)&gt;=ROW())*(ROW($A$2:$A$644)&lt;ROW()+2)*$C$2:$C$644),"")</f>
        <v/>
      </c>
      <c r="I314" s="0" t="str">
        <f aca="false">IF(H314="","",ROUNDUP(H314/75,0))</f>
        <v/>
      </c>
      <c r="J314" s="0" t="str">
        <f aca="false">IF(MOD(F314-1,3)=0,SUMPRODUCT(($A$2:$A$644=A314)*(ROW($A$2:$A$644)&gt;=ROW())*(ROW($A$2:$A$644)&lt;ROW()+3)*$C$2:$C$644),"")</f>
        <v/>
      </c>
      <c r="K314" s="0" t="str">
        <f aca="false">IF(J314="","",ROUNDUP(J314/75,0))</f>
        <v/>
      </c>
      <c r="L314" s="0" t="str">
        <f aca="false">IF(MOD(F314-1,5)=0,SUMPRODUCT(($A$2:$A$644=A314)*(ROW($A$2:$A$644)&gt;=ROW())*(ROW($A$2:$A$644)&lt;ROW()+5)*$C$2:$C$644),"")</f>
        <v/>
      </c>
      <c r="M314" s="0" t="str">
        <f aca="false">IF(L314="","",ROUNDUP(L314/75,0))</f>
        <v/>
      </c>
      <c r="N314" s="0" t="str">
        <f aca="false">IF(MOD(F314-1,7)=0,SUMPRODUCT(($A$2:$A$644=A314)*(ROW($A$2:$A$644)&gt;=ROW())*(ROW($A$2:$A$644)&lt;ROW()+7)*$C$2:$C$644),"")</f>
        <v/>
      </c>
      <c r="O314" s="0" t="str">
        <f aca="false">IF(N314="","",ROUNDUP(N314/75,0))</f>
        <v/>
      </c>
    </row>
    <row r="315" customFormat="false" ht="15" hidden="false" customHeight="false" outlineLevel="0" collapsed="false">
      <c r="A315" s="0" t="s">
        <v>249</v>
      </c>
      <c r="B315" s="0" t="s">
        <v>348</v>
      </c>
      <c r="C315" s="0" t="n">
        <v>78</v>
      </c>
      <c r="D315" s="0" t="n">
        <v>2</v>
      </c>
      <c r="E315" s="0" t="n">
        <v>72</v>
      </c>
      <c r="F315" s="0" t="n">
        <f aca="false">COUNTIF($A$2:A315,A315)</f>
        <v>99</v>
      </c>
      <c r="G315" s="0" t="n">
        <f aca="false">ROUNDUP(C315*1.236/75,0)</f>
        <v>2</v>
      </c>
      <c r="H315" s="0" t="n">
        <f aca="false">IF(MOD(F315-1,2)=0,SUMPRODUCT(($A$2:$A$644=A315)*(ROW($A$2:$A$644)&gt;=ROW())*(ROW($A$2:$A$644)&lt;ROW()+2)*$C$2:$C$644),"")</f>
        <v>132</v>
      </c>
      <c r="I315" s="0" t="n">
        <f aca="false">IF(H315="","",ROUNDUP(H315/75,0))</f>
        <v>2</v>
      </c>
      <c r="J315" s="0" t="str">
        <f aca="false">IF(MOD(F315-1,3)=0,SUMPRODUCT(($A$2:$A$644=A315)*(ROW($A$2:$A$644)&gt;=ROW())*(ROW($A$2:$A$644)&lt;ROW()+3)*$C$2:$C$644),"")</f>
        <v/>
      </c>
      <c r="K315" s="0" t="str">
        <f aca="false">IF(J315="","",ROUNDUP(J315/75,0))</f>
        <v/>
      </c>
      <c r="L315" s="0" t="str">
        <f aca="false">IF(MOD(F315-1,5)=0,SUMPRODUCT(($A$2:$A$644=A315)*(ROW($A$2:$A$644)&gt;=ROW())*(ROW($A$2:$A$644)&lt;ROW()+5)*$C$2:$C$644),"")</f>
        <v/>
      </c>
      <c r="M315" s="0" t="str">
        <f aca="false">IF(L315="","",ROUNDUP(L315/75,0))</f>
        <v/>
      </c>
      <c r="N315" s="0" t="n">
        <f aca="false">IF(MOD(F315-1,7)=0,SUMPRODUCT(($A$2:$A$644=A315)*(ROW($A$2:$A$644)&gt;=ROW())*(ROW($A$2:$A$644)&lt;ROW()+7)*$C$2:$C$644),"")</f>
        <v>558</v>
      </c>
      <c r="O315" s="0" t="n">
        <f aca="false">IF(N315="","",ROUNDUP(N315/75,0))</f>
        <v>8</v>
      </c>
    </row>
    <row r="316" customFormat="false" ht="15" hidden="false" customHeight="false" outlineLevel="0" collapsed="false">
      <c r="A316" s="0" t="s">
        <v>249</v>
      </c>
      <c r="B316" s="0" t="s">
        <v>349</v>
      </c>
      <c r="C316" s="0" t="n">
        <v>54</v>
      </c>
      <c r="D316" s="0" t="n">
        <v>1</v>
      </c>
      <c r="E316" s="0" t="n">
        <v>21</v>
      </c>
      <c r="F316" s="0" t="n">
        <f aca="false">COUNTIF($A$2:A316,A316)</f>
        <v>100</v>
      </c>
      <c r="G316" s="0" t="n">
        <f aca="false">ROUNDUP(C316*1.236/75,0)</f>
        <v>1</v>
      </c>
      <c r="H316" s="0" t="str">
        <f aca="false">IF(MOD(F316-1,2)=0,SUMPRODUCT(($A$2:$A$644=A316)*(ROW($A$2:$A$644)&gt;=ROW())*(ROW($A$2:$A$644)&lt;ROW()+2)*$C$2:$C$644),"")</f>
        <v/>
      </c>
      <c r="I316" s="0" t="str">
        <f aca="false">IF(H316="","",ROUNDUP(H316/75,0))</f>
        <v/>
      </c>
      <c r="J316" s="0" t="n">
        <f aca="false">IF(MOD(F316-1,3)=0,SUMPRODUCT(($A$2:$A$644=A316)*(ROW($A$2:$A$644)&gt;=ROW())*(ROW($A$2:$A$644)&lt;ROW()+3)*$C$2:$C$644),"")</f>
        <v>258</v>
      </c>
      <c r="K316" s="0" t="n">
        <f aca="false">IF(J316="","",ROUNDUP(J316/75,0))</f>
        <v>4</v>
      </c>
      <c r="L316" s="0" t="str">
        <f aca="false">IF(MOD(F316-1,5)=0,SUMPRODUCT(($A$2:$A$644=A316)*(ROW($A$2:$A$644)&gt;=ROW())*(ROW($A$2:$A$644)&lt;ROW()+5)*$C$2:$C$644),"")</f>
        <v/>
      </c>
      <c r="M316" s="0" t="str">
        <f aca="false">IF(L316="","",ROUNDUP(L316/75,0))</f>
        <v/>
      </c>
      <c r="N316" s="0" t="str">
        <f aca="false">IF(MOD(F316-1,7)=0,SUMPRODUCT(($A$2:$A$644=A316)*(ROW($A$2:$A$644)&gt;=ROW())*(ROW($A$2:$A$644)&lt;ROW()+7)*$C$2:$C$644),"")</f>
        <v/>
      </c>
      <c r="O316" s="0" t="str">
        <f aca="false">IF(N316="","",ROUNDUP(N316/75,0))</f>
        <v/>
      </c>
    </row>
    <row r="317" customFormat="false" ht="15" hidden="false" customHeight="false" outlineLevel="0" collapsed="false">
      <c r="A317" s="0" t="s">
        <v>249</v>
      </c>
      <c r="B317" s="0" t="s">
        <v>350</v>
      </c>
      <c r="C317" s="0" t="n">
        <v>138</v>
      </c>
      <c r="D317" s="0" t="n">
        <v>2</v>
      </c>
      <c r="E317" s="0" t="n">
        <v>12</v>
      </c>
      <c r="F317" s="0" t="n">
        <f aca="false">COUNTIF($A$2:A317,A317)</f>
        <v>101</v>
      </c>
      <c r="G317" s="0" t="n">
        <f aca="false">ROUNDUP(C317*1.236/75,0)</f>
        <v>3</v>
      </c>
      <c r="H317" s="0" t="n">
        <f aca="false">IF(MOD(F317-1,2)=0,SUMPRODUCT(($A$2:$A$644=A317)*(ROW($A$2:$A$644)&gt;=ROW())*(ROW($A$2:$A$644)&lt;ROW()+2)*$C$2:$C$644),"")</f>
        <v>204</v>
      </c>
      <c r="I317" s="0" t="n">
        <f aca="false">IF(H317="","",ROUNDUP(H317/75,0))</f>
        <v>3</v>
      </c>
      <c r="J317" s="0" t="str">
        <f aca="false">IF(MOD(F317-1,3)=0,SUMPRODUCT(($A$2:$A$644=A317)*(ROW($A$2:$A$644)&gt;=ROW())*(ROW($A$2:$A$644)&lt;ROW()+3)*$C$2:$C$644),"")</f>
        <v/>
      </c>
      <c r="K317" s="0" t="str">
        <f aca="false">IF(J317="","",ROUNDUP(J317/75,0))</f>
        <v/>
      </c>
      <c r="L317" s="0" t="n">
        <f aca="false">IF(MOD(F317-1,5)=0,SUMPRODUCT(($A$2:$A$644=A317)*(ROW($A$2:$A$644)&gt;=ROW())*(ROW($A$2:$A$644)&lt;ROW()+5)*$C$2:$C$644),"")</f>
        <v>426</v>
      </c>
      <c r="M317" s="0" t="n">
        <f aca="false">IF(L317="","",ROUNDUP(L317/75,0))</f>
        <v>6</v>
      </c>
      <c r="N317" s="0" t="str">
        <f aca="false">IF(MOD(F317-1,7)=0,SUMPRODUCT(($A$2:$A$644=A317)*(ROW($A$2:$A$644)&gt;=ROW())*(ROW($A$2:$A$644)&lt;ROW()+7)*$C$2:$C$644),"")</f>
        <v/>
      </c>
      <c r="O317" s="0" t="str">
        <f aca="false">IF(N317="","",ROUNDUP(N317/75,0))</f>
        <v/>
      </c>
    </row>
    <row r="318" customFormat="false" ht="15" hidden="false" customHeight="false" outlineLevel="0" collapsed="false">
      <c r="A318" s="0" t="s">
        <v>249</v>
      </c>
      <c r="B318" s="0" t="s">
        <v>351</v>
      </c>
      <c r="C318" s="0" t="n">
        <v>66</v>
      </c>
      <c r="D318" s="0" t="n">
        <v>1</v>
      </c>
      <c r="E318" s="0" t="n">
        <v>9</v>
      </c>
      <c r="F318" s="0" t="n">
        <f aca="false">COUNTIF($A$2:A318,A318)</f>
        <v>102</v>
      </c>
      <c r="G318" s="0" t="n">
        <f aca="false">ROUNDUP(C318*1.236/75,0)</f>
        <v>2</v>
      </c>
      <c r="H318" s="0" t="str">
        <f aca="false">IF(MOD(F318-1,2)=0,SUMPRODUCT(($A$2:$A$644=A318)*(ROW($A$2:$A$644)&gt;=ROW())*(ROW($A$2:$A$644)&lt;ROW()+2)*$C$2:$C$644),"")</f>
        <v/>
      </c>
      <c r="I318" s="0" t="str">
        <f aca="false">IF(H318="","",ROUNDUP(H318/75,0))</f>
        <v/>
      </c>
      <c r="J318" s="0" t="str">
        <f aca="false">IF(MOD(F318-1,3)=0,SUMPRODUCT(($A$2:$A$644=A318)*(ROW($A$2:$A$644)&gt;=ROW())*(ROW($A$2:$A$644)&lt;ROW()+3)*$C$2:$C$644),"")</f>
        <v/>
      </c>
      <c r="K318" s="0" t="str">
        <f aca="false">IF(J318="","",ROUNDUP(J318/75,0))</f>
        <v/>
      </c>
      <c r="L318" s="0" t="str">
        <f aca="false">IF(MOD(F318-1,5)=0,SUMPRODUCT(($A$2:$A$644=A318)*(ROW($A$2:$A$644)&gt;=ROW())*(ROW($A$2:$A$644)&lt;ROW()+5)*$C$2:$C$644),"")</f>
        <v/>
      </c>
      <c r="M318" s="0" t="str">
        <f aca="false">IF(L318="","",ROUNDUP(L318/75,0))</f>
        <v/>
      </c>
      <c r="N318" s="0" t="str">
        <f aca="false">IF(MOD(F318-1,7)=0,SUMPRODUCT(($A$2:$A$644=A318)*(ROW($A$2:$A$644)&gt;=ROW())*(ROW($A$2:$A$644)&lt;ROW()+7)*$C$2:$C$644),"")</f>
        <v/>
      </c>
      <c r="O318" s="0" t="str">
        <f aca="false">IF(N318="","",ROUNDUP(N318/75,0))</f>
        <v/>
      </c>
    </row>
    <row r="319" customFormat="false" ht="15" hidden="false" customHeight="false" outlineLevel="0" collapsed="false">
      <c r="A319" s="0" t="s">
        <v>249</v>
      </c>
      <c r="B319" s="0" t="s">
        <v>352</v>
      </c>
      <c r="C319" s="0" t="n">
        <v>96</v>
      </c>
      <c r="D319" s="0" t="n">
        <v>2</v>
      </c>
      <c r="E319" s="0" t="n">
        <v>54</v>
      </c>
      <c r="F319" s="0" t="n">
        <f aca="false">COUNTIF($A$2:A319,A319)</f>
        <v>103</v>
      </c>
      <c r="G319" s="0" t="n">
        <f aca="false">ROUNDUP(C319*1.236/75,0)</f>
        <v>2</v>
      </c>
      <c r="H319" s="0" t="n">
        <f aca="false">IF(MOD(F319-1,2)=0,SUMPRODUCT(($A$2:$A$644=A319)*(ROW($A$2:$A$644)&gt;=ROW())*(ROW($A$2:$A$644)&lt;ROW()+2)*$C$2:$C$644),"")</f>
        <v>150</v>
      </c>
      <c r="I319" s="0" t="n">
        <f aca="false">IF(H319="","",ROUNDUP(H319/75,0))</f>
        <v>2</v>
      </c>
      <c r="J319" s="0" t="n">
        <f aca="false">IF(MOD(F319-1,3)=0,SUMPRODUCT(($A$2:$A$644=A319)*(ROW($A$2:$A$644)&gt;=ROW())*(ROW($A$2:$A$644)&lt;ROW()+3)*$C$2:$C$644),"")</f>
        <v>222</v>
      </c>
      <c r="K319" s="0" t="n">
        <f aca="false">IF(J319="","",ROUNDUP(J319/75,0))</f>
        <v>3</v>
      </c>
      <c r="L319" s="0" t="str">
        <f aca="false">IF(MOD(F319-1,5)=0,SUMPRODUCT(($A$2:$A$644=A319)*(ROW($A$2:$A$644)&gt;=ROW())*(ROW($A$2:$A$644)&lt;ROW()+5)*$C$2:$C$644),"")</f>
        <v/>
      </c>
      <c r="M319" s="0" t="str">
        <f aca="false">IF(L319="","",ROUNDUP(L319/75,0))</f>
        <v/>
      </c>
      <c r="N319" s="0" t="str">
        <f aca="false">IF(MOD(F319-1,7)=0,SUMPRODUCT(($A$2:$A$644=A319)*(ROW($A$2:$A$644)&gt;=ROW())*(ROW($A$2:$A$644)&lt;ROW()+7)*$C$2:$C$644),"")</f>
        <v/>
      </c>
      <c r="O319" s="0" t="str">
        <f aca="false">IF(N319="","",ROUNDUP(N319/75,0))</f>
        <v/>
      </c>
    </row>
    <row r="320" customFormat="false" ht="15" hidden="false" customHeight="false" outlineLevel="0" collapsed="false">
      <c r="A320" s="0" t="s">
        <v>249</v>
      </c>
      <c r="B320" s="0" t="s">
        <v>353</v>
      </c>
      <c r="C320" s="0" t="n">
        <v>54</v>
      </c>
      <c r="D320" s="0" t="n">
        <v>1</v>
      </c>
      <c r="E320" s="0" t="n">
        <v>21</v>
      </c>
      <c r="F320" s="0" t="n">
        <f aca="false">COUNTIF($A$2:A320,A320)</f>
        <v>104</v>
      </c>
      <c r="G320" s="0" t="n">
        <f aca="false">ROUNDUP(C320*1.236/75,0)</f>
        <v>1</v>
      </c>
      <c r="H320" s="0" t="str">
        <f aca="false">IF(MOD(F320-1,2)=0,SUMPRODUCT(($A$2:$A$644=A320)*(ROW($A$2:$A$644)&gt;=ROW())*(ROW($A$2:$A$644)&lt;ROW()+2)*$C$2:$C$644),"")</f>
        <v/>
      </c>
      <c r="I320" s="0" t="str">
        <f aca="false">IF(H320="","",ROUNDUP(H320/75,0))</f>
        <v/>
      </c>
      <c r="J320" s="0" t="str">
        <f aca="false">IF(MOD(F320-1,3)=0,SUMPRODUCT(($A$2:$A$644=A320)*(ROW($A$2:$A$644)&gt;=ROW())*(ROW($A$2:$A$644)&lt;ROW()+3)*$C$2:$C$644),"")</f>
        <v/>
      </c>
      <c r="K320" s="0" t="str">
        <f aca="false">IF(J320="","",ROUNDUP(J320/75,0))</f>
        <v/>
      </c>
      <c r="L320" s="0" t="str">
        <f aca="false">IF(MOD(F320-1,5)=0,SUMPRODUCT(($A$2:$A$644=A320)*(ROW($A$2:$A$644)&gt;=ROW())*(ROW($A$2:$A$644)&lt;ROW()+5)*$C$2:$C$644),"")</f>
        <v/>
      </c>
      <c r="M320" s="0" t="str">
        <f aca="false">IF(L320="","",ROUNDUP(L320/75,0))</f>
        <v/>
      </c>
      <c r="N320" s="0" t="str">
        <f aca="false">IF(MOD(F320-1,7)=0,SUMPRODUCT(($A$2:$A$644=A320)*(ROW($A$2:$A$644)&gt;=ROW())*(ROW($A$2:$A$644)&lt;ROW()+7)*$C$2:$C$644),"")</f>
        <v/>
      </c>
      <c r="O320" s="0" t="str">
        <f aca="false">IF(N320="","",ROUNDUP(N320/75,0))</f>
        <v/>
      </c>
    </row>
    <row r="321" customFormat="false" ht="15" hidden="false" customHeight="false" outlineLevel="0" collapsed="false">
      <c r="A321" s="0" t="s">
        <v>249</v>
      </c>
      <c r="B321" s="0" t="s">
        <v>354</v>
      </c>
      <c r="C321" s="0" t="n">
        <v>72</v>
      </c>
      <c r="D321" s="0" t="n">
        <v>1</v>
      </c>
      <c r="E321" s="0" t="n">
        <v>3</v>
      </c>
      <c r="F321" s="0" t="n">
        <f aca="false">COUNTIF($A$2:A321,A321)</f>
        <v>105</v>
      </c>
      <c r="G321" s="0" t="n">
        <f aca="false">ROUNDUP(C321*1.236/75,0)</f>
        <v>2</v>
      </c>
      <c r="H321" s="0" t="n">
        <f aca="false">IF(MOD(F321-1,2)=0,SUMPRODUCT(($A$2:$A$644=A321)*(ROW($A$2:$A$644)&gt;=ROW())*(ROW($A$2:$A$644)&lt;ROW()+2)*$C$2:$C$644),"")</f>
        <v>156</v>
      </c>
      <c r="I321" s="0" t="n">
        <f aca="false">IF(H321="","",ROUNDUP(H321/75,0))</f>
        <v>3</v>
      </c>
      <c r="J321" s="0" t="str">
        <f aca="false">IF(MOD(F321-1,3)=0,SUMPRODUCT(($A$2:$A$644=A321)*(ROW($A$2:$A$644)&gt;=ROW())*(ROW($A$2:$A$644)&lt;ROW()+3)*$C$2:$C$644),"")</f>
        <v/>
      </c>
      <c r="K321" s="0" t="str">
        <f aca="false">IF(J321="","",ROUNDUP(J321/75,0))</f>
        <v/>
      </c>
      <c r="L321" s="0" t="str">
        <f aca="false">IF(MOD(F321-1,5)=0,SUMPRODUCT(($A$2:$A$644=A321)*(ROW($A$2:$A$644)&gt;=ROW())*(ROW($A$2:$A$644)&lt;ROW()+5)*$C$2:$C$644),"")</f>
        <v/>
      </c>
      <c r="M321" s="0" t="str">
        <f aca="false">IF(L321="","",ROUNDUP(L321/75,0))</f>
        <v/>
      </c>
      <c r="N321" s="0" t="str">
        <f aca="false">IF(MOD(F321-1,7)=0,SUMPRODUCT(($A$2:$A$644=A321)*(ROW($A$2:$A$644)&gt;=ROW())*(ROW($A$2:$A$644)&lt;ROW()+7)*$C$2:$C$644),"")</f>
        <v/>
      </c>
      <c r="O321" s="0" t="str">
        <f aca="false">IF(N321="","",ROUNDUP(N321/75,0))</f>
        <v/>
      </c>
    </row>
    <row r="322" customFormat="false" ht="15" hidden="false" customHeight="false" outlineLevel="0" collapsed="false">
      <c r="A322" s="0" t="s">
        <v>249</v>
      </c>
      <c r="B322" s="0" t="s">
        <v>355</v>
      </c>
      <c r="C322" s="0" t="n">
        <v>84</v>
      </c>
      <c r="D322" s="0" t="n">
        <v>2</v>
      </c>
      <c r="E322" s="0" t="n">
        <v>66</v>
      </c>
      <c r="F322" s="0" t="n">
        <f aca="false">COUNTIF($A$2:A322,A322)</f>
        <v>106</v>
      </c>
      <c r="G322" s="0" t="n">
        <f aca="false">ROUNDUP(C322*1.236/75,0)</f>
        <v>2</v>
      </c>
      <c r="H322" s="0" t="str">
        <f aca="false">IF(MOD(F322-1,2)=0,SUMPRODUCT(($A$2:$A$644=A322)*(ROW($A$2:$A$644)&gt;=ROW())*(ROW($A$2:$A$644)&lt;ROW()+2)*$C$2:$C$644),"")</f>
        <v/>
      </c>
      <c r="I322" s="0" t="str">
        <f aca="false">IF(H322="","",ROUNDUP(H322/75,0))</f>
        <v/>
      </c>
      <c r="J322" s="0" t="n">
        <f aca="false">IF(MOD(F322-1,3)=0,SUMPRODUCT(($A$2:$A$644=A322)*(ROW($A$2:$A$644)&gt;=ROW())*(ROW($A$2:$A$644)&lt;ROW()+3)*$C$2:$C$644),"")</f>
        <v>189</v>
      </c>
      <c r="K322" s="0" t="n">
        <f aca="false">IF(J322="","",ROUNDUP(J322/75,0))</f>
        <v>3</v>
      </c>
      <c r="L322" s="0" t="n">
        <f aca="false">IF(MOD(F322-1,5)=0,SUMPRODUCT(($A$2:$A$644=A322)*(ROW($A$2:$A$644)&gt;=ROW())*(ROW($A$2:$A$644)&lt;ROW()+5)*$C$2:$C$644),"")</f>
        <v>291</v>
      </c>
      <c r="M322" s="0" t="n">
        <f aca="false">IF(L322="","",ROUNDUP(L322/75,0))</f>
        <v>4</v>
      </c>
      <c r="N322" s="0" t="n">
        <f aca="false">IF(MOD(F322-1,7)=0,SUMPRODUCT(($A$2:$A$644=A322)*(ROW($A$2:$A$644)&gt;=ROW())*(ROW($A$2:$A$644)&lt;ROW()+7)*$C$2:$C$644),"")</f>
        <v>441</v>
      </c>
      <c r="O322" s="0" t="n">
        <f aca="false">IF(N322="","",ROUNDUP(N322/75,0))</f>
        <v>6</v>
      </c>
    </row>
    <row r="323" customFormat="false" ht="15" hidden="false" customHeight="false" outlineLevel="0" collapsed="false">
      <c r="A323" s="0" t="s">
        <v>249</v>
      </c>
      <c r="B323" s="0" t="s">
        <v>356</v>
      </c>
      <c r="C323" s="0" t="n">
        <v>63</v>
      </c>
      <c r="D323" s="0" t="n">
        <v>1</v>
      </c>
      <c r="E323" s="0" t="n">
        <v>12</v>
      </c>
      <c r="F323" s="0" t="n">
        <f aca="false">COUNTIF($A$2:A323,A323)</f>
        <v>107</v>
      </c>
      <c r="G323" s="0" t="n">
        <f aca="false">ROUNDUP(C323*1.236/75,0)</f>
        <v>2</v>
      </c>
      <c r="H323" s="0" t="n">
        <f aca="false">IF(MOD(F323-1,2)=0,SUMPRODUCT(($A$2:$A$644=A323)*(ROW($A$2:$A$644)&gt;=ROW())*(ROW($A$2:$A$644)&lt;ROW()+2)*$C$2:$C$644),"")</f>
        <v>105</v>
      </c>
      <c r="I323" s="0" t="n">
        <f aca="false">IF(H323="","",ROUNDUP(H323/75,0))</f>
        <v>2</v>
      </c>
      <c r="J323" s="0" t="str">
        <f aca="false">IF(MOD(F323-1,3)=0,SUMPRODUCT(($A$2:$A$644=A323)*(ROW($A$2:$A$644)&gt;=ROW())*(ROW($A$2:$A$644)&lt;ROW()+3)*$C$2:$C$644),"")</f>
        <v/>
      </c>
      <c r="K323" s="0" t="str">
        <f aca="false">IF(J323="","",ROUNDUP(J323/75,0))</f>
        <v/>
      </c>
      <c r="L323" s="0" t="str">
        <f aca="false">IF(MOD(F323-1,5)=0,SUMPRODUCT(($A$2:$A$644=A323)*(ROW($A$2:$A$644)&gt;=ROW())*(ROW($A$2:$A$644)&lt;ROW()+5)*$C$2:$C$644),"")</f>
        <v/>
      </c>
      <c r="M323" s="0" t="str">
        <f aca="false">IF(L323="","",ROUNDUP(L323/75,0))</f>
        <v/>
      </c>
      <c r="N323" s="0" t="str">
        <f aca="false">IF(MOD(F323-1,7)=0,SUMPRODUCT(($A$2:$A$644=A323)*(ROW($A$2:$A$644)&gt;=ROW())*(ROW($A$2:$A$644)&lt;ROW()+7)*$C$2:$C$644),"")</f>
        <v/>
      </c>
      <c r="O323" s="0" t="str">
        <f aca="false">IF(N323="","",ROUNDUP(N323/75,0))</f>
        <v/>
      </c>
    </row>
    <row r="324" customFormat="false" ht="15" hidden="false" customHeight="false" outlineLevel="0" collapsed="false">
      <c r="A324" s="0" t="s">
        <v>249</v>
      </c>
      <c r="B324" s="0" t="s">
        <v>357</v>
      </c>
      <c r="C324" s="0" t="n">
        <v>42</v>
      </c>
      <c r="D324" s="0" t="n">
        <v>1</v>
      </c>
      <c r="E324" s="0" t="n">
        <v>33</v>
      </c>
      <c r="F324" s="0" t="n">
        <f aca="false">COUNTIF($A$2:A324,A324)</f>
        <v>108</v>
      </c>
      <c r="G324" s="0" t="n">
        <f aca="false">ROUNDUP(C324*1.236/75,0)</f>
        <v>1</v>
      </c>
      <c r="H324" s="0" t="str">
        <f aca="false">IF(MOD(F324-1,2)=0,SUMPRODUCT(($A$2:$A$644=A324)*(ROW($A$2:$A$644)&gt;=ROW())*(ROW($A$2:$A$644)&lt;ROW()+2)*$C$2:$C$644),"")</f>
        <v/>
      </c>
      <c r="I324" s="0" t="str">
        <f aca="false">IF(H324="","",ROUNDUP(H324/75,0))</f>
        <v/>
      </c>
      <c r="J324" s="0" t="str">
        <f aca="false">IF(MOD(F324-1,3)=0,SUMPRODUCT(($A$2:$A$644=A324)*(ROW($A$2:$A$644)&gt;=ROW())*(ROW($A$2:$A$644)&lt;ROW()+3)*$C$2:$C$644),"")</f>
        <v/>
      </c>
      <c r="K324" s="0" t="str">
        <f aca="false">IF(J324="","",ROUNDUP(J324/75,0))</f>
        <v/>
      </c>
      <c r="L324" s="0" t="str">
        <f aca="false">IF(MOD(F324-1,5)=0,SUMPRODUCT(($A$2:$A$644=A324)*(ROW($A$2:$A$644)&gt;=ROW())*(ROW($A$2:$A$644)&lt;ROW()+5)*$C$2:$C$644),"")</f>
        <v/>
      </c>
      <c r="M324" s="0" t="str">
        <f aca="false">IF(L324="","",ROUNDUP(L324/75,0))</f>
        <v/>
      </c>
      <c r="N324" s="0" t="str">
        <f aca="false">IF(MOD(F324-1,7)=0,SUMPRODUCT(($A$2:$A$644=A324)*(ROW($A$2:$A$644)&gt;=ROW())*(ROW($A$2:$A$644)&lt;ROW()+7)*$C$2:$C$644),"")</f>
        <v/>
      </c>
      <c r="O324" s="0" t="str">
        <f aca="false">IF(N324="","",ROUNDUP(N324/75,0))</f>
        <v/>
      </c>
    </row>
    <row r="325" customFormat="false" ht="15" hidden="false" customHeight="false" outlineLevel="0" collapsed="false">
      <c r="A325" s="0" t="s">
        <v>249</v>
      </c>
      <c r="B325" s="0" t="s">
        <v>358</v>
      </c>
      <c r="C325" s="0" t="n">
        <v>48</v>
      </c>
      <c r="D325" s="0" t="n">
        <v>1</v>
      </c>
      <c r="E325" s="0" t="n">
        <v>27</v>
      </c>
      <c r="F325" s="0" t="n">
        <f aca="false">COUNTIF($A$2:A325,A325)</f>
        <v>109</v>
      </c>
      <c r="G325" s="0" t="n">
        <f aca="false">ROUNDUP(C325*1.236/75,0)</f>
        <v>1</v>
      </c>
      <c r="H325" s="0" t="n">
        <f aca="false">IF(MOD(F325-1,2)=0,SUMPRODUCT(($A$2:$A$644=A325)*(ROW($A$2:$A$644)&gt;=ROW())*(ROW($A$2:$A$644)&lt;ROW()+2)*$C$2:$C$644),"")</f>
        <v>102</v>
      </c>
      <c r="I325" s="0" t="n">
        <f aca="false">IF(H325="","",ROUNDUP(H325/75,0))</f>
        <v>2</v>
      </c>
      <c r="J325" s="0" t="n">
        <f aca="false">IF(MOD(F325-1,3)=0,SUMPRODUCT(($A$2:$A$644=A325)*(ROW($A$2:$A$644)&gt;=ROW())*(ROW($A$2:$A$644)&lt;ROW()+3)*$C$2:$C$644),"")</f>
        <v>228</v>
      </c>
      <c r="K325" s="0" t="n">
        <f aca="false">IF(J325="","",ROUNDUP(J325/75,0))</f>
        <v>4</v>
      </c>
      <c r="L325" s="0" t="str">
        <f aca="false">IF(MOD(F325-1,5)=0,SUMPRODUCT(($A$2:$A$644=A325)*(ROW($A$2:$A$644)&gt;=ROW())*(ROW($A$2:$A$644)&lt;ROW()+5)*$C$2:$C$644),"")</f>
        <v/>
      </c>
      <c r="M325" s="0" t="str">
        <f aca="false">IF(L325="","",ROUNDUP(L325/75,0))</f>
        <v/>
      </c>
      <c r="N325" s="0" t="str">
        <f aca="false">IF(MOD(F325-1,7)=0,SUMPRODUCT(($A$2:$A$644=A325)*(ROW($A$2:$A$644)&gt;=ROW())*(ROW($A$2:$A$644)&lt;ROW()+7)*$C$2:$C$644),"")</f>
        <v/>
      </c>
      <c r="O325" s="0" t="str">
        <f aca="false">IF(N325="","",ROUNDUP(N325/75,0))</f>
        <v/>
      </c>
    </row>
    <row r="326" customFormat="false" ht="15" hidden="false" customHeight="false" outlineLevel="0" collapsed="false">
      <c r="A326" s="0" t="s">
        <v>249</v>
      </c>
      <c r="B326" s="0" t="s">
        <v>359</v>
      </c>
      <c r="C326" s="0" t="n">
        <v>54</v>
      </c>
      <c r="D326" s="0" t="n">
        <v>1</v>
      </c>
      <c r="E326" s="0" t="n">
        <v>21</v>
      </c>
      <c r="F326" s="0" t="n">
        <f aca="false">COUNTIF($A$2:A326,A326)</f>
        <v>110</v>
      </c>
      <c r="G326" s="0" t="n">
        <f aca="false">ROUNDUP(C326*1.236/75,0)</f>
        <v>1</v>
      </c>
      <c r="H326" s="0" t="str">
        <f aca="false">IF(MOD(F326-1,2)=0,SUMPRODUCT(($A$2:$A$644=A326)*(ROW($A$2:$A$644)&gt;=ROW())*(ROW($A$2:$A$644)&lt;ROW()+2)*$C$2:$C$644),"")</f>
        <v/>
      </c>
      <c r="I326" s="0" t="str">
        <f aca="false">IF(H326="","",ROUNDUP(H326/75,0))</f>
        <v/>
      </c>
      <c r="J326" s="0" t="str">
        <f aca="false">IF(MOD(F326-1,3)=0,SUMPRODUCT(($A$2:$A$644=A326)*(ROW($A$2:$A$644)&gt;=ROW())*(ROW($A$2:$A$644)&lt;ROW()+3)*$C$2:$C$644),"")</f>
        <v/>
      </c>
      <c r="K326" s="0" t="str">
        <f aca="false">IF(J326="","",ROUNDUP(J326/75,0))</f>
        <v/>
      </c>
      <c r="L326" s="0" t="str">
        <f aca="false">IF(MOD(F326-1,5)=0,SUMPRODUCT(($A$2:$A$644=A326)*(ROW($A$2:$A$644)&gt;=ROW())*(ROW($A$2:$A$644)&lt;ROW()+5)*$C$2:$C$644),"")</f>
        <v/>
      </c>
      <c r="M326" s="0" t="str">
        <f aca="false">IF(L326="","",ROUNDUP(L326/75,0))</f>
        <v/>
      </c>
      <c r="N326" s="0" t="str">
        <f aca="false">IF(MOD(F326-1,7)=0,SUMPRODUCT(($A$2:$A$644=A326)*(ROW($A$2:$A$644)&gt;=ROW())*(ROW($A$2:$A$644)&lt;ROW()+7)*$C$2:$C$644),"")</f>
        <v/>
      </c>
      <c r="O326" s="0" t="str">
        <f aca="false">IF(N326="","",ROUNDUP(N326/75,0))</f>
        <v/>
      </c>
    </row>
    <row r="327" customFormat="false" ht="15" hidden="false" customHeight="false" outlineLevel="0" collapsed="false">
      <c r="A327" s="0" t="s">
        <v>249</v>
      </c>
      <c r="B327" s="0" t="s">
        <v>360</v>
      </c>
      <c r="C327" s="0" t="n">
        <v>126</v>
      </c>
      <c r="D327" s="0" t="n">
        <v>2</v>
      </c>
      <c r="E327" s="0" t="n">
        <v>24</v>
      </c>
      <c r="F327" s="0" t="n">
        <f aca="false">COUNTIF($A$2:A327,A327)</f>
        <v>111</v>
      </c>
      <c r="G327" s="0" t="n">
        <f aca="false">ROUNDUP(C327*1.236/75,0)</f>
        <v>3</v>
      </c>
      <c r="H327" s="0" t="n">
        <f aca="false">IF(MOD(F327-1,2)=0,SUMPRODUCT(($A$2:$A$644=A327)*(ROW($A$2:$A$644)&gt;=ROW())*(ROW($A$2:$A$644)&lt;ROW()+2)*$C$2:$C$644),"")</f>
        <v>150</v>
      </c>
      <c r="I327" s="0" t="n">
        <f aca="false">IF(H327="","",ROUNDUP(H327/75,0))</f>
        <v>2</v>
      </c>
      <c r="J327" s="0" t="str">
        <f aca="false">IF(MOD(F327-1,3)=0,SUMPRODUCT(($A$2:$A$644=A327)*(ROW($A$2:$A$644)&gt;=ROW())*(ROW($A$2:$A$644)&lt;ROW()+3)*$C$2:$C$644),"")</f>
        <v/>
      </c>
      <c r="K327" s="0" t="str">
        <f aca="false">IF(J327="","",ROUNDUP(J327/75,0))</f>
        <v/>
      </c>
      <c r="L327" s="0" t="n">
        <f aca="false">IF(MOD(F327-1,5)=0,SUMPRODUCT(($A$2:$A$644=A327)*(ROW($A$2:$A$644)&gt;=ROW())*(ROW($A$2:$A$644)&lt;ROW()+5)*$C$2:$C$644),"")</f>
        <v>396</v>
      </c>
      <c r="M327" s="0" t="n">
        <f aca="false">IF(L327="","",ROUNDUP(L327/75,0))</f>
        <v>6</v>
      </c>
      <c r="N327" s="0" t="str">
        <f aca="false">IF(MOD(F327-1,7)=0,SUMPRODUCT(($A$2:$A$644=A327)*(ROW($A$2:$A$644)&gt;=ROW())*(ROW($A$2:$A$644)&lt;ROW()+7)*$C$2:$C$644),"")</f>
        <v/>
      </c>
      <c r="O327" s="0" t="str">
        <f aca="false">IF(N327="","",ROUNDUP(N327/75,0))</f>
        <v/>
      </c>
    </row>
    <row r="328" customFormat="false" ht="15" hidden="false" customHeight="false" outlineLevel="0" collapsed="false">
      <c r="A328" s="0" t="s">
        <v>249</v>
      </c>
      <c r="B328" s="0" t="s">
        <v>361</v>
      </c>
      <c r="C328" s="0" t="n">
        <v>24</v>
      </c>
      <c r="D328" s="0" t="n">
        <v>1</v>
      </c>
      <c r="E328" s="0" t="n">
        <v>51</v>
      </c>
      <c r="F328" s="0" t="n">
        <f aca="false">COUNTIF($A$2:A328,A328)</f>
        <v>112</v>
      </c>
      <c r="G328" s="0" t="n">
        <f aca="false">ROUNDUP(C328*1.236/75,0)</f>
        <v>1</v>
      </c>
      <c r="H328" s="0" t="str">
        <f aca="false">IF(MOD(F328-1,2)=0,SUMPRODUCT(($A$2:$A$644=A328)*(ROW($A$2:$A$644)&gt;=ROW())*(ROW($A$2:$A$644)&lt;ROW()+2)*$C$2:$C$644),"")</f>
        <v/>
      </c>
      <c r="I328" s="0" t="str">
        <f aca="false">IF(H328="","",ROUNDUP(H328/75,0))</f>
        <v/>
      </c>
      <c r="J328" s="0" t="n">
        <f aca="false">IF(MOD(F328-1,3)=0,SUMPRODUCT(($A$2:$A$644=A328)*(ROW($A$2:$A$644)&gt;=ROW())*(ROW($A$2:$A$644)&lt;ROW()+3)*$C$2:$C$644),"")</f>
        <v>204</v>
      </c>
      <c r="K328" s="0" t="n">
        <f aca="false">IF(J328="","",ROUNDUP(J328/75,0))</f>
        <v>3</v>
      </c>
      <c r="L328" s="0" t="str">
        <f aca="false">IF(MOD(F328-1,5)=0,SUMPRODUCT(($A$2:$A$644=A328)*(ROW($A$2:$A$644)&gt;=ROW())*(ROW($A$2:$A$644)&lt;ROW()+5)*$C$2:$C$644),"")</f>
        <v/>
      </c>
      <c r="M328" s="0" t="str">
        <f aca="false">IF(L328="","",ROUNDUP(L328/75,0))</f>
        <v/>
      </c>
      <c r="N328" s="0" t="str">
        <f aca="false">IF(MOD(F328-1,7)=0,SUMPRODUCT(($A$2:$A$644=A328)*(ROW($A$2:$A$644)&gt;=ROW())*(ROW($A$2:$A$644)&lt;ROW()+7)*$C$2:$C$644),"")</f>
        <v/>
      </c>
      <c r="O328" s="0" t="str">
        <f aca="false">IF(N328="","",ROUNDUP(N328/75,0))</f>
        <v/>
      </c>
    </row>
    <row r="329" customFormat="false" ht="15" hidden="false" customHeight="false" outlineLevel="0" collapsed="false">
      <c r="A329" s="0" t="s">
        <v>249</v>
      </c>
      <c r="B329" s="0" t="s">
        <v>362</v>
      </c>
      <c r="C329" s="0" t="n">
        <v>78</v>
      </c>
      <c r="D329" s="0" t="n">
        <v>2</v>
      </c>
      <c r="E329" s="0" t="n">
        <v>72</v>
      </c>
      <c r="F329" s="0" t="n">
        <f aca="false">COUNTIF($A$2:A329,A329)</f>
        <v>113</v>
      </c>
      <c r="G329" s="0" t="n">
        <f aca="false">ROUNDUP(C329*1.236/75,0)</f>
        <v>2</v>
      </c>
      <c r="H329" s="0" t="n">
        <f aca="false">IF(MOD(F329-1,2)=0,SUMPRODUCT(($A$2:$A$644=A329)*(ROW($A$2:$A$644)&gt;=ROW())*(ROW($A$2:$A$644)&lt;ROW()+2)*$C$2:$C$644),"")</f>
        <v>180</v>
      </c>
      <c r="I329" s="0" t="n">
        <f aca="false">IF(H329="","",ROUNDUP(H329/75,0))</f>
        <v>3</v>
      </c>
      <c r="J329" s="0" t="str">
        <f aca="false">IF(MOD(F329-1,3)=0,SUMPRODUCT(($A$2:$A$644=A329)*(ROW($A$2:$A$644)&gt;=ROW())*(ROW($A$2:$A$644)&lt;ROW()+3)*$C$2:$C$644),"")</f>
        <v/>
      </c>
      <c r="K329" s="0" t="str">
        <f aca="false">IF(J329="","",ROUNDUP(J329/75,0))</f>
        <v/>
      </c>
      <c r="L329" s="0" t="str">
        <f aca="false">IF(MOD(F329-1,5)=0,SUMPRODUCT(($A$2:$A$644=A329)*(ROW($A$2:$A$644)&gt;=ROW())*(ROW($A$2:$A$644)&lt;ROW()+5)*$C$2:$C$644),"")</f>
        <v/>
      </c>
      <c r="M329" s="0" t="str">
        <f aca="false">IF(L329="","",ROUNDUP(L329/75,0))</f>
        <v/>
      </c>
      <c r="N329" s="0" t="n">
        <f aca="false">IF(MOD(F329-1,7)=0,SUMPRODUCT(($A$2:$A$644=A329)*(ROW($A$2:$A$644)&gt;=ROW())*(ROW($A$2:$A$644)&lt;ROW()+7)*$C$2:$C$644),"")</f>
        <v>552</v>
      </c>
      <c r="O329" s="0" t="n">
        <f aca="false">IF(N329="","",ROUNDUP(N329/75,0))</f>
        <v>8</v>
      </c>
    </row>
    <row r="330" customFormat="false" ht="15" hidden="false" customHeight="false" outlineLevel="0" collapsed="false">
      <c r="A330" s="0" t="s">
        <v>249</v>
      </c>
      <c r="B330" s="0" t="s">
        <v>363</v>
      </c>
      <c r="C330" s="0" t="n">
        <v>102</v>
      </c>
      <c r="D330" s="0" t="n">
        <v>2</v>
      </c>
      <c r="E330" s="0" t="n">
        <v>48</v>
      </c>
      <c r="F330" s="0" t="n">
        <f aca="false">COUNTIF($A$2:A330,A330)</f>
        <v>114</v>
      </c>
      <c r="G330" s="0" t="n">
        <f aca="false">ROUNDUP(C330*1.236/75,0)</f>
        <v>2</v>
      </c>
      <c r="H330" s="0" t="str">
        <f aca="false">IF(MOD(F330-1,2)=0,SUMPRODUCT(($A$2:$A$644=A330)*(ROW($A$2:$A$644)&gt;=ROW())*(ROW($A$2:$A$644)&lt;ROW()+2)*$C$2:$C$644),"")</f>
        <v/>
      </c>
      <c r="I330" s="0" t="str">
        <f aca="false">IF(H330="","",ROUNDUP(H330/75,0))</f>
        <v/>
      </c>
      <c r="J330" s="0" t="str">
        <f aca="false">IF(MOD(F330-1,3)=0,SUMPRODUCT(($A$2:$A$644=A330)*(ROW($A$2:$A$644)&gt;=ROW())*(ROW($A$2:$A$644)&lt;ROW()+3)*$C$2:$C$644),"")</f>
        <v/>
      </c>
      <c r="K330" s="0" t="str">
        <f aca="false">IF(J330="","",ROUNDUP(J330/75,0))</f>
        <v/>
      </c>
      <c r="L330" s="0" t="str">
        <f aca="false">IF(MOD(F330-1,5)=0,SUMPRODUCT(($A$2:$A$644=A330)*(ROW($A$2:$A$644)&gt;=ROW())*(ROW($A$2:$A$644)&lt;ROW()+5)*$C$2:$C$644),"")</f>
        <v/>
      </c>
      <c r="M330" s="0" t="str">
        <f aca="false">IF(L330="","",ROUNDUP(L330/75,0))</f>
        <v/>
      </c>
      <c r="N330" s="0" t="str">
        <f aca="false">IF(MOD(F330-1,7)=0,SUMPRODUCT(($A$2:$A$644=A330)*(ROW($A$2:$A$644)&gt;=ROW())*(ROW($A$2:$A$644)&lt;ROW()+7)*$C$2:$C$644),"")</f>
        <v/>
      </c>
      <c r="O330" s="0" t="str">
        <f aca="false">IF(N330="","",ROUNDUP(N330/75,0))</f>
        <v/>
      </c>
    </row>
    <row r="331" customFormat="false" ht="15" hidden="false" customHeight="false" outlineLevel="0" collapsed="false">
      <c r="A331" s="0" t="s">
        <v>249</v>
      </c>
      <c r="B331" s="0" t="s">
        <v>364</v>
      </c>
      <c r="C331" s="0" t="n">
        <v>66</v>
      </c>
      <c r="D331" s="0" t="n">
        <v>1</v>
      </c>
      <c r="E331" s="0" t="n">
        <v>9</v>
      </c>
      <c r="F331" s="0" t="n">
        <f aca="false">COUNTIF($A$2:A331,A331)</f>
        <v>115</v>
      </c>
      <c r="G331" s="0" t="n">
        <f aca="false">ROUNDUP(C331*1.236/75,0)</f>
        <v>2</v>
      </c>
      <c r="H331" s="0" t="n">
        <f aca="false">IF(MOD(F331-1,2)=0,SUMPRODUCT(($A$2:$A$644=A331)*(ROW($A$2:$A$644)&gt;=ROW())*(ROW($A$2:$A$644)&lt;ROW()+2)*$C$2:$C$644),"")</f>
        <v>114</v>
      </c>
      <c r="I331" s="0" t="n">
        <f aca="false">IF(H331="","",ROUNDUP(H331/75,0))</f>
        <v>2</v>
      </c>
      <c r="J331" s="0" t="n">
        <f aca="false">IF(MOD(F331-1,3)=0,SUMPRODUCT(($A$2:$A$644=A331)*(ROW($A$2:$A$644)&gt;=ROW())*(ROW($A$2:$A$644)&lt;ROW()+3)*$C$2:$C$644),"")</f>
        <v>240</v>
      </c>
      <c r="K331" s="0" t="n">
        <f aca="false">IF(J331="","",ROUNDUP(J331/75,0))</f>
        <v>4</v>
      </c>
      <c r="L331" s="0" t="str">
        <f aca="false">IF(MOD(F331-1,5)=0,SUMPRODUCT(($A$2:$A$644=A331)*(ROW($A$2:$A$644)&gt;=ROW())*(ROW($A$2:$A$644)&lt;ROW()+5)*$C$2:$C$644),"")</f>
        <v/>
      </c>
      <c r="M331" s="0" t="str">
        <f aca="false">IF(L331="","",ROUNDUP(L331/75,0))</f>
        <v/>
      </c>
      <c r="N331" s="0" t="str">
        <f aca="false">IF(MOD(F331-1,7)=0,SUMPRODUCT(($A$2:$A$644=A331)*(ROW($A$2:$A$644)&gt;=ROW())*(ROW($A$2:$A$644)&lt;ROW()+7)*$C$2:$C$644),"")</f>
        <v/>
      </c>
      <c r="O331" s="0" t="str">
        <f aca="false">IF(N331="","",ROUNDUP(N331/75,0))</f>
        <v/>
      </c>
    </row>
    <row r="332" customFormat="false" ht="15" hidden="false" customHeight="false" outlineLevel="0" collapsed="false">
      <c r="A332" s="0" t="s">
        <v>249</v>
      </c>
      <c r="B332" s="0" t="s">
        <v>365</v>
      </c>
      <c r="C332" s="0" t="n">
        <v>48</v>
      </c>
      <c r="D332" s="0" t="n">
        <v>1</v>
      </c>
      <c r="E332" s="0" t="n">
        <v>27</v>
      </c>
      <c r="F332" s="0" t="n">
        <f aca="false">COUNTIF($A$2:A332,A332)</f>
        <v>116</v>
      </c>
      <c r="G332" s="0" t="n">
        <f aca="false">ROUNDUP(C332*1.236/75,0)</f>
        <v>1</v>
      </c>
      <c r="H332" s="0" t="str">
        <f aca="false">IF(MOD(F332-1,2)=0,SUMPRODUCT(($A$2:$A$644=A332)*(ROW($A$2:$A$644)&gt;=ROW())*(ROW($A$2:$A$644)&lt;ROW()+2)*$C$2:$C$644),"")</f>
        <v/>
      </c>
      <c r="I332" s="0" t="str">
        <f aca="false">IF(H332="","",ROUNDUP(H332/75,0))</f>
        <v/>
      </c>
      <c r="J332" s="0" t="str">
        <f aca="false">IF(MOD(F332-1,3)=0,SUMPRODUCT(($A$2:$A$644=A332)*(ROW($A$2:$A$644)&gt;=ROW())*(ROW($A$2:$A$644)&lt;ROW()+3)*$C$2:$C$644),"")</f>
        <v/>
      </c>
      <c r="K332" s="0" t="str">
        <f aca="false">IF(J332="","",ROUNDUP(J332/75,0))</f>
        <v/>
      </c>
      <c r="L332" s="0" t="n">
        <f aca="false">IF(MOD(F332-1,5)=0,SUMPRODUCT(($A$2:$A$644=A332)*(ROW($A$2:$A$644)&gt;=ROW())*(ROW($A$2:$A$644)&lt;ROW()+5)*$C$2:$C$644),"")</f>
        <v>354</v>
      </c>
      <c r="M332" s="0" t="n">
        <f aca="false">IF(L332="","",ROUNDUP(L332/75,0))</f>
        <v>5</v>
      </c>
      <c r="N332" s="0" t="str">
        <f aca="false">IF(MOD(F332-1,7)=0,SUMPRODUCT(($A$2:$A$644=A332)*(ROW($A$2:$A$644)&gt;=ROW())*(ROW($A$2:$A$644)&lt;ROW()+7)*$C$2:$C$644),"")</f>
        <v/>
      </c>
      <c r="O332" s="0" t="str">
        <f aca="false">IF(N332="","",ROUNDUP(N332/75,0))</f>
        <v/>
      </c>
    </row>
    <row r="333" customFormat="false" ht="15" hidden="false" customHeight="false" outlineLevel="0" collapsed="false">
      <c r="A333" s="0" t="s">
        <v>249</v>
      </c>
      <c r="B333" s="0" t="s">
        <v>366</v>
      </c>
      <c r="C333" s="0" t="n">
        <v>126</v>
      </c>
      <c r="D333" s="0" t="n">
        <v>2</v>
      </c>
      <c r="E333" s="0" t="n">
        <v>24</v>
      </c>
      <c r="F333" s="0" t="n">
        <f aca="false">COUNTIF($A$2:A333,A333)</f>
        <v>117</v>
      </c>
      <c r="G333" s="0" t="n">
        <f aca="false">ROUNDUP(C333*1.236/75,0)</f>
        <v>3</v>
      </c>
      <c r="H333" s="0" t="n">
        <f aca="false">IF(MOD(F333-1,2)=0,SUMPRODUCT(($A$2:$A$644=A333)*(ROW($A$2:$A$644)&gt;=ROW())*(ROW($A$2:$A$644)&lt;ROW()+2)*$C$2:$C$644),"")</f>
        <v>162</v>
      </c>
      <c r="I333" s="0" t="n">
        <f aca="false">IF(H333="","",ROUNDUP(H333/75,0))</f>
        <v>3</v>
      </c>
      <c r="J333" s="0" t="str">
        <f aca="false">IF(MOD(F333-1,3)=0,SUMPRODUCT(($A$2:$A$644=A333)*(ROW($A$2:$A$644)&gt;=ROW())*(ROW($A$2:$A$644)&lt;ROW()+3)*$C$2:$C$644),"")</f>
        <v/>
      </c>
      <c r="K333" s="0" t="str">
        <f aca="false">IF(J333="","",ROUNDUP(J333/75,0))</f>
        <v/>
      </c>
      <c r="L333" s="0" t="str">
        <f aca="false">IF(MOD(F333-1,5)=0,SUMPRODUCT(($A$2:$A$644=A333)*(ROW($A$2:$A$644)&gt;=ROW())*(ROW($A$2:$A$644)&lt;ROW()+5)*$C$2:$C$644),"")</f>
        <v/>
      </c>
      <c r="M333" s="0" t="str">
        <f aca="false">IF(L333="","",ROUNDUP(L333/75,0))</f>
        <v/>
      </c>
      <c r="N333" s="0" t="str">
        <f aca="false">IF(MOD(F333-1,7)=0,SUMPRODUCT(($A$2:$A$644=A333)*(ROW($A$2:$A$644)&gt;=ROW())*(ROW($A$2:$A$644)&lt;ROW()+7)*$C$2:$C$644),"")</f>
        <v/>
      </c>
      <c r="O333" s="0" t="str">
        <f aca="false">IF(N333="","",ROUNDUP(N333/75,0))</f>
        <v/>
      </c>
    </row>
    <row r="334" customFormat="false" ht="15" hidden="false" customHeight="false" outlineLevel="0" collapsed="false">
      <c r="A334" s="0" t="s">
        <v>249</v>
      </c>
      <c r="B334" s="0" t="s">
        <v>367</v>
      </c>
      <c r="C334" s="0" t="n">
        <v>36</v>
      </c>
      <c r="D334" s="0" t="n">
        <v>1</v>
      </c>
      <c r="E334" s="0" t="n">
        <v>39</v>
      </c>
      <c r="F334" s="0" t="n">
        <f aca="false">COUNTIF($A$2:A334,A334)</f>
        <v>118</v>
      </c>
      <c r="G334" s="0" t="n">
        <f aca="false">ROUNDUP(C334*1.236/75,0)</f>
        <v>1</v>
      </c>
      <c r="H334" s="0" t="str">
        <f aca="false">IF(MOD(F334-1,2)=0,SUMPRODUCT(($A$2:$A$644=A334)*(ROW($A$2:$A$644)&gt;=ROW())*(ROW($A$2:$A$644)&lt;ROW()+2)*$C$2:$C$644),"")</f>
        <v/>
      </c>
      <c r="I334" s="0" t="str">
        <f aca="false">IF(H334="","",ROUNDUP(H334/75,0))</f>
        <v/>
      </c>
      <c r="J334" s="0" t="n">
        <f aca="false">IF(MOD(F334-1,3)=0,SUMPRODUCT(($A$2:$A$644=A334)*(ROW($A$2:$A$644)&gt;=ROW())*(ROW($A$2:$A$644)&lt;ROW()+3)*$C$2:$C$644),"")</f>
        <v>180</v>
      </c>
      <c r="K334" s="0" t="n">
        <f aca="false">IF(J334="","",ROUNDUP(J334/75,0))</f>
        <v>3</v>
      </c>
      <c r="L334" s="0" t="str">
        <f aca="false">IF(MOD(F334-1,5)=0,SUMPRODUCT(($A$2:$A$644=A334)*(ROW($A$2:$A$644)&gt;=ROW())*(ROW($A$2:$A$644)&lt;ROW()+5)*$C$2:$C$644),"")</f>
        <v/>
      </c>
      <c r="M334" s="0" t="str">
        <f aca="false">IF(L334="","",ROUNDUP(L334/75,0))</f>
        <v/>
      </c>
      <c r="N334" s="0" t="str">
        <f aca="false">IF(MOD(F334-1,7)=0,SUMPRODUCT(($A$2:$A$644=A334)*(ROW($A$2:$A$644)&gt;=ROW())*(ROW($A$2:$A$644)&lt;ROW()+7)*$C$2:$C$644),"")</f>
        <v/>
      </c>
      <c r="O334" s="0" t="str">
        <f aca="false">IF(N334="","",ROUNDUP(N334/75,0))</f>
        <v/>
      </c>
    </row>
    <row r="335" customFormat="false" ht="15" hidden="false" customHeight="false" outlineLevel="0" collapsed="false">
      <c r="A335" s="0" t="s">
        <v>249</v>
      </c>
      <c r="B335" s="0" t="s">
        <v>368</v>
      </c>
      <c r="C335" s="0" t="n">
        <v>96</v>
      </c>
      <c r="D335" s="0" t="n">
        <v>2</v>
      </c>
      <c r="E335" s="0" t="n">
        <v>54</v>
      </c>
      <c r="F335" s="0" t="n">
        <f aca="false">COUNTIF($A$2:A335,A335)</f>
        <v>119</v>
      </c>
      <c r="G335" s="0" t="n">
        <f aca="false">ROUNDUP(C335*1.236/75,0)</f>
        <v>2</v>
      </c>
      <c r="H335" s="0" t="n">
        <f aca="false">IF(MOD(F335-1,2)=0,SUMPRODUCT(($A$2:$A$644=A335)*(ROW($A$2:$A$644)&gt;=ROW())*(ROW($A$2:$A$644)&lt;ROW()+2)*$C$2:$C$644),"")</f>
        <v>144</v>
      </c>
      <c r="I335" s="0" t="n">
        <f aca="false">IF(H335="","",ROUNDUP(H335/75,0))</f>
        <v>2</v>
      </c>
      <c r="J335" s="0" t="str">
        <f aca="false">IF(MOD(F335-1,3)=0,SUMPRODUCT(($A$2:$A$644=A335)*(ROW($A$2:$A$644)&gt;=ROW())*(ROW($A$2:$A$644)&lt;ROW()+3)*$C$2:$C$644),"")</f>
        <v/>
      </c>
      <c r="K335" s="0" t="str">
        <f aca="false">IF(J335="","",ROUNDUP(J335/75,0))</f>
        <v/>
      </c>
      <c r="L335" s="0" t="str">
        <f aca="false">IF(MOD(F335-1,5)=0,SUMPRODUCT(($A$2:$A$644=A335)*(ROW($A$2:$A$644)&gt;=ROW())*(ROW($A$2:$A$644)&lt;ROW()+5)*$C$2:$C$644),"")</f>
        <v/>
      </c>
      <c r="M335" s="0" t="str">
        <f aca="false">IF(L335="","",ROUNDUP(L335/75,0))</f>
        <v/>
      </c>
      <c r="N335" s="0" t="str">
        <f aca="false">IF(MOD(F335-1,7)=0,SUMPRODUCT(($A$2:$A$644=A335)*(ROW($A$2:$A$644)&gt;=ROW())*(ROW($A$2:$A$644)&lt;ROW()+7)*$C$2:$C$644),"")</f>
        <v/>
      </c>
      <c r="O335" s="0" t="str">
        <f aca="false">IF(N335="","",ROUNDUP(N335/75,0))</f>
        <v/>
      </c>
    </row>
    <row r="336" customFormat="false" ht="15" hidden="false" customHeight="false" outlineLevel="0" collapsed="false">
      <c r="A336" s="0" t="s">
        <v>249</v>
      </c>
      <c r="B336" s="0" t="s">
        <v>369</v>
      </c>
      <c r="C336" s="0" t="n">
        <v>48</v>
      </c>
      <c r="D336" s="0" t="n">
        <v>1</v>
      </c>
      <c r="E336" s="0" t="n">
        <v>27</v>
      </c>
      <c r="F336" s="0" t="n">
        <f aca="false">COUNTIF($A$2:A336,A336)</f>
        <v>120</v>
      </c>
      <c r="G336" s="0" t="n">
        <f aca="false">ROUNDUP(C336*1.236/75,0)</f>
        <v>1</v>
      </c>
      <c r="H336" s="0" t="str">
        <f aca="false">IF(MOD(F336-1,2)=0,SUMPRODUCT(($A$2:$A$644=A336)*(ROW($A$2:$A$644)&gt;=ROW())*(ROW($A$2:$A$644)&lt;ROW()+2)*$C$2:$C$644),"")</f>
        <v/>
      </c>
      <c r="I336" s="0" t="str">
        <f aca="false">IF(H336="","",ROUNDUP(H336/75,0))</f>
        <v/>
      </c>
      <c r="J336" s="0" t="str">
        <f aca="false">IF(MOD(F336-1,3)=0,SUMPRODUCT(($A$2:$A$644=A336)*(ROW($A$2:$A$644)&gt;=ROW())*(ROW($A$2:$A$644)&lt;ROW()+3)*$C$2:$C$644),"")</f>
        <v/>
      </c>
      <c r="K336" s="0" t="str">
        <f aca="false">IF(J336="","",ROUNDUP(J336/75,0))</f>
        <v/>
      </c>
      <c r="L336" s="0" t="str">
        <f aca="false">IF(MOD(F336-1,5)=0,SUMPRODUCT(($A$2:$A$644=A336)*(ROW($A$2:$A$644)&gt;=ROW())*(ROW($A$2:$A$644)&lt;ROW()+5)*$C$2:$C$644),"")</f>
        <v/>
      </c>
      <c r="M336" s="0" t="str">
        <f aca="false">IF(L336="","",ROUNDUP(L336/75,0))</f>
        <v/>
      </c>
      <c r="N336" s="0" t="n">
        <f aca="false">IF(MOD(F336-1,7)=0,SUMPRODUCT(($A$2:$A$644=A336)*(ROW($A$2:$A$644)&gt;=ROW())*(ROW($A$2:$A$644)&lt;ROW()+7)*$C$2:$C$644),"")</f>
        <v>492</v>
      </c>
      <c r="O336" s="0" t="n">
        <f aca="false">IF(N336="","",ROUNDUP(N336/75,0))</f>
        <v>7</v>
      </c>
    </row>
    <row r="337" customFormat="false" ht="15" hidden="false" customHeight="false" outlineLevel="0" collapsed="false">
      <c r="A337" s="0" t="s">
        <v>249</v>
      </c>
      <c r="B337" s="0" t="s">
        <v>370</v>
      </c>
      <c r="C337" s="0" t="n">
        <v>54</v>
      </c>
      <c r="D337" s="0" t="n">
        <v>1</v>
      </c>
      <c r="E337" s="0" t="n">
        <v>21</v>
      </c>
      <c r="F337" s="0" t="n">
        <f aca="false">COUNTIF($A$2:A337,A337)</f>
        <v>121</v>
      </c>
      <c r="G337" s="0" t="n">
        <f aca="false">ROUNDUP(C337*1.236/75,0)</f>
        <v>1</v>
      </c>
      <c r="H337" s="0" t="n">
        <f aca="false">IF(MOD(F337-1,2)=0,SUMPRODUCT(($A$2:$A$644=A337)*(ROW($A$2:$A$644)&gt;=ROW())*(ROW($A$2:$A$644)&lt;ROW()+2)*$C$2:$C$644),"")</f>
        <v>216</v>
      </c>
      <c r="I337" s="0" t="n">
        <f aca="false">IF(H337="","",ROUNDUP(H337/75,0))</f>
        <v>3</v>
      </c>
      <c r="J337" s="0" t="n">
        <f aca="false">IF(MOD(F337-1,3)=0,SUMPRODUCT(($A$2:$A$644=A337)*(ROW($A$2:$A$644)&gt;=ROW())*(ROW($A$2:$A$644)&lt;ROW()+3)*$C$2:$C$644),"")</f>
        <v>312</v>
      </c>
      <c r="K337" s="0" t="n">
        <f aca="false">IF(J337="","",ROUNDUP(J337/75,0))</f>
        <v>5</v>
      </c>
      <c r="L337" s="0" t="n">
        <f aca="false">IF(MOD(F337-1,5)=0,SUMPRODUCT(($A$2:$A$644=A337)*(ROW($A$2:$A$644)&gt;=ROW())*(ROW($A$2:$A$644)&lt;ROW()+5)*$C$2:$C$644),"")</f>
        <v>414</v>
      </c>
      <c r="M337" s="0" t="n">
        <f aca="false">IF(L337="","",ROUNDUP(L337/75,0))</f>
        <v>6</v>
      </c>
      <c r="N337" s="0" t="str">
        <f aca="false">IF(MOD(F337-1,7)=0,SUMPRODUCT(($A$2:$A$644=A337)*(ROW($A$2:$A$644)&gt;=ROW())*(ROW($A$2:$A$644)&lt;ROW()+7)*$C$2:$C$644),"")</f>
        <v/>
      </c>
      <c r="O337" s="0" t="str">
        <f aca="false">IF(N337="","",ROUNDUP(N337/75,0))</f>
        <v/>
      </c>
    </row>
    <row r="338" customFormat="false" ht="15" hidden="false" customHeight="false" outlineLevel="0" collapsed="false">
      <c r="A338" s="0" t="s">
        <v>249</v>
      </c>
      <c r="B338" s="0" t="s">
        <v>371</v>
      </c>
      <c r="C338" s="0" t="n">
        <v>162</v>
      </c>
      <c r="D338" s="0" t="n">
        <v>3</v>
      </c>
      <c r="E338" s="0" t="n">
        <v>63</v>
      </c>
      <c r="F338" s="0" t="n">
        <f aca="false">COUNTIF($A$2:A338,A338)</f>
        <v>122</v>
      </c>
      <c r="G338" s="0" t="n">
        <f aca="false">ROUNDUP(C338*1.236/75,0)</f>
        <v>3</v>
      </c>
      <c r="H338" s="0" t="str">
        <f aca="false">IF(MOD(F338-1,2)=0,SUMPRODUCT(($A$2:$A$644=A338)*(ROW($A$2:$A$644)&gt;=ROW())*(ROW($A$2:$A$644)&lt;ROW()+2)*$C$2:$C$644),"")</f>
        <v/>
      </c>
      <c r="I338" s="0" t="str">
        <f aca="false">IF(H338="","",ROUNDUP(H338/75,0))</f>
        <v/>
      </c>
      <c r="J338" s="0" t="str">
        <f aca="false">IF(MOD(F338-1,3)=0,SUMPRODUCT(($A$2:$A$644=A338)*(ROW($A$2:$A$644)&gt;=ROW())*(ROW($A$2:$A$644)&lt;ROW()+3)*$C$2:$C$644),"")</f>
        <v/>
      </c>
      <c r="K338" s="0" t="str">
        <f aca="false">IF(J338="","",ROUNDUP(J338/75,0))</f>
        <v/>
      </c>
      <c r="L338" s="0" t="str">
        <f aca="false">IF(MOD(F338-1,5)=0,SUMPRODUCT(($A$2:$A$644=A338)*(ROW($A$2:$A$644)&gt;=ROW())*(ROW($A$2:$A$644)&lt;ROW()+5)*$C$2:$C$644),"")</f>
        <v/>
      </c>
      <c r="M338" s="0" t="str">
        <f aca="false">IF(L338="","",ROUNDUP(L338/75,0))</f>
        <v/>
      </c>
      <c r="N338" s="0" t="str">
        <f aca="false">IF(MOD(F338-1,7)=0,SUMPRODUCT(($A$2:$A$644=A338)*(ROW($A$2:$A$644)&gt;=ROW())*(ROW($A$2:$A$644)&lt;ROW()+7)*$C$2:$C$644),"")</f>
        <v/>
      </c>
      <c r="O338" s="0" t="str">
        <f aca="false">IF(N338="","",ROUNDUP(N338/75,0))</f>
        <v/>
      </c>
    </row>
    <row r="339" customFormat="false" ht="15" hidden="false" customHeight="false" outlineLevel="0" collapsed="false">
      <c r="A339" s="0" t="s">
        <v>249</v>
      </c>
      <c r="B339" s="0" t="s">
        <v>372</v>
      </c>
      <c r="C339" s="0" t="n">
        <v>96</v>
      </c>
      <c r="D339" s="0" t="n">
        <v>2</v>
      </c>
      <c r="E339" s="0" t="n">
        <v>54</v>
      </c>
      <c r="F339" s="0" t="n">
        <f aca="false">COUNTIF($A$2:A339,A339)</f>
        <v>123</v>
      </c>
      <c r="G339" s="0" t="n">
        <f aca="false">ROUNDUP(C339*1.236/75,0)</f>
        <v>2</v>
      </c>
      <c r="H339" s="0" t="n">
        <f aca="false">IF(MOD(F339-1,2)=0,SUMPRODUCT(($A$2:$A$644=A339)*(ROW($A$2:$A$644)&gt;=ROW())*(ROW($A$2:$A$644)&lt;ROW()+2)*$C$2:$C$644),"")</f>
        <v>138</v>
      </c>
      <c r="I339" s="0" t="n">
        <f aca="false">IF(H339="","",ROUNDUP(H339/75,0))</f>
        <v>2</v>
      </c>
      <c r="J339" s="0" t="str">
        <f aca="false">IF(MOD(F339-1,3)=0,SUMPRODUCT(($A$2:$A$644=A339)*(ROW($A$2:$A$644)&gt;=ROW())*(ROW($A$2:$A$644)&lt;ROW()+3)*$C$2:$C$644),"")</f>
        <v/>
      </c>
      <c r="K339" s="0" t="str">
        <f aca="false">IF(J339="","",ROUNDUP(J339/75,0))</f>
        <v/>
      </c>
      <c r="L339" s="0" t="str">
        <f aca="false">IF(MOD(F339-1,5)=0,SUMPRODUCT(($A$2:$A$644=A339)*(ROW($A$2:$A$644)&gt;=ROW())*(ROW($A$2:$A$644)&lt;ROW()+5)*$C$2:$C$644),"")</f>
        <v/>
      </c>
      <c r="M339" s="0" t="str">
        <f aca="false">IF(L339="","",ROUNDUP(L339/75,0))</f>
        <v/>
      </c>
      <c r="N339" s="0" t="str">
        <f aca="false">IF(MOD(F339-1,7)=0,SUMPRODUCT(($A$2:$A$644=A339)*(ROW($A$2:$A$644)&gt;=ROW())*(ROW($A$2:$A$644)&lt;ROW()+7)*$C$2:$C$644),"")</f>
        <v/>
      </c>
      <c r="O339" s="0" t="str">
        <f aca="false">IF(N339="","",ROUNDUP(N339/75,0))</f>
        <v/>
      </c>
    </row>
    <row r="340" customFormat="false" ht="15" hidden="false" customHeight="false" outlineLevel="0" collapsed="false">
      <c r="A340" s="0" t="s">
        <v>249</v>
      </c>
      <c r="B340" s="0" t="s">
        <v>373</v>
      </c>
      <c r="C340" s="0" t="n">
        <v>42</v>
      </c>
      <c r="D340" s="0" t="n">
        <v>1</v>
      </c>
      <c r="E340" s="0" t="n">
        <v>33</v>
      </c>
      <c r="F340" s="0" t="n">
        <f aca="false">COUNTIF($A$2:A340,A340)</f>
        <v>124</v>
      </c>
      <c r="G340" s="0" t="n">
        <f aca="false">ROUNDUP(C340*1.236/75,0)</f>
        <v>1</v>
      </c>
      <c r="H340" s="0" t="str">
        <f aca="false">IF(MOD(F340-1,2)=0,SUMPRODUCT(($A$2:$A$644=A340)*(ROW($A$2:$A$644)&gt;=ROW())*(ROW($A$2:$A$644)&lt;ROW()+2)*$C$2:$C$644),"")</f>
        <v/>
      </c>
      <c r="I340" s="0" t="str">
        <f aca="false">IF(H340="","",ROUNDUP(H340/75,0))</f>
        <v/>
      </c>
      <c r="J340" s="0" t="n">
        <f aca="false">IF(MOD(F340-1,3)=0,SUMPRODUCT(($A$2:$A$644=A340)*(ROW($A$2:$A$644)&gt;=ROW())*(ROW($A$2:$A$644)&lt;ROW()+3)*$C$2:$C$644),"")</f>
        <v>132</v>
      </c>
      <c r="K340" s="0" t="n">
        <f aca="false">IF(J340="","",ROUNDUP(J340/75,0))</f>
        <v>2</v>
      </c>
      <c r="L340" s="0" t="str">
        <f aca="false">IF(MOD(F340-1,5)=0,SUMPRODUCT(($A$2:$A$644=A340)*(ROW($A$2:$A$644)&gt;=ROW())*(ROW($A$2:$A$644)&lt;ROW()+5)*$C$2:$C$644),"")</f>
        <v/>
      </c>
      <c r="M340" s="0" t="str">
        <f aca="false">IF(L340="","",ROUNDUP(L340/75,0))</f>
        <v/>
      </c>
      <c r="N340" s="0" t="str">
        <f aca="false">IF(MOD(F340-1,7)=0,SUMPRODUCT(($A$2:$A$644=A340)*(ROW($A$2:$A$644)&gt;=ROW())*(ROW($A$2:$A$644)&lt;ROW()+7)*$C$2:$C$644),"")</f>
        <v/>
      </c>
      <c r="O340" s="0" t="str">
        <f aca="false">IF(N340="","",ROUNDUP(N340/75,0))</f>
        <v/>
      </c>
    </row>
    <row r="341" customFormat="false" ht="15" hidden="false" customHeight="false" outlineLevel="0" collapsed="false">
      <c r="A341" s="0" t="s">
        <v>249</v>
      </c>
      <c r="B341" s="0" t="s">
        <v>374</v>
      </c>
      <c r="C341" s="0" t="n">
        <v>60</v>
      </c>
      <c r="D341" s="0" t="n">
        <v>1</v>
      </c>
      <c r="E341" s="0" t="n">
        <v>15</v>
      </c>
      <c r="F341" s="0" t="n">
        <f aca="false">COUNTIF($A$2:A341,A341)</f>
        <v>125</v>
      </c>
      <c r="G341" s="0" t="n">
        <f aca="false">ROUNDUP(C341*1.236/75,0)</f>
        <v>1</v>
      </c>
      <c r="H341" s="0" t="n">
        <f aca="false">IF(MOD(F341-1,2)=0,SUMPRODUCT(($A$2:$A$644=A341)*(ROW($A$2:$A$644)&gt;=ROW())*(ROW($A$2:$A$644)&lt;ROW()+2)*$C$2:$C$644),"")</f>
        <v>90</v>
      </c>
      <c r="I341" s="0" t="n">
        <f aca="false">IF(H341="","",ROUNDUP(H341/75,0))</f>
        <v>2</v>
      </c>
      <c r="J341" s="0" t="str">
        <f aca="false">IF(MOD(F341-1,3)=0,SUMPRODUCT(($A$2:$A$644=A341)*(ROW($A$2:$A$644)&gt;=ROW())*(ROW($A$2:$A$644)&lt;ROW()+3)*$C$2:$C$644),"")</f>
        <v/>
      </c>
      <c r="K341" s="0" t="str">
        <f aca="false">IF(J341="","",ROUNDUP(J341/75,0))</f>
        <v/>
      </c>
      <c r="L341" s="0" t="str">
        <f aca="false">IF(MOD(F341-1,5)=0,SUMPRODUCT(($A$2:$A$644=A341)*(ROW($A$2:$A$644)&gt;=ROW())*(ROW($A$2:$A$644)&lt;ROW()+5)*$C$2:$C$644),"")</f>
        <v/>
      </c>
      <c r="M341" s="0" t="str">
        <f aca="false">IF(L341="","",ROUNDUP(L341/75,0))</f>
        <v/>
      </c>
      <c r="N341" s="0" t="str">
        <f aca="false">IF(MOD(F341-1,7)=0,SUMPRODUCT(($A$2:$A$644=A341)*(ROW($A$2:$A$644)&gt;=ROW())*(ROW($A$2:$A$644)&lt;ROW()+7)*$C$2:$C$644),"")</f>
        <v/>
      </c>
      <c r="O341" s="0" t="str">
        <f aca="false">IF(N341="","",ROUNDUP(N341/75,0))</f>
        <v/>
      </c>
    </row>
    <row r="342" customFormat="false" ht="15" hidden="false" customHeight="false" outlineLevel="0" collapsed="false">
      <c r="A342" s="0" t="s">
        <v>249</v>
      </c>
      <c r="B342" s="0" t="s">
        <v>375</v>
      </c>
      <c r="C342" s="0" t="n">
        <v>30</v>
      </c>
      <c r="D342" s="0" t="n">
        <v>1</v>
      </c>
      <c r="E342" s="0" t="n">
        <v>45</v>
      </c>
      <c r="F342" s="0" t="n">
        <f aca="false">COUNTIF($A$2:A342,A342)</f>
        <v>126</v>
      </c>
      <c r="G342" s="0" t="n">
        <f aca="false">ROUNDUP(C342*1.236/75,0)</f>
        <v>1</v>
      </c>
      <c r="H342" s="0" t="str">
        <f aca="false">IF(MOD(F342-1,2)=0,SUMPRODUCT(($A$2:$A$644=A342)*(ROW($A$2:$A$644)&gt;=ROW())*(ROW($A$2:$A$644)&lt;ROW()+2)*$C$2:$C$644),"")</f>
        <v/>
      </c>
      <c r="I342" s="0" t="str">
        <f aca="false">IF(H342="","",ROUNDUP(H342/75,0))</f>
        <v/>
      </c>
      <c r="J342" s="0" t="str">
        <f aca="false">IF(MOD(F342-1,3)=0,SUMPRODUCT(($A$2:$A$644=A342)*(ROW($A$2:$A$644)&gt;=ROW())*(ROW($A$2:$A$644)&lt;ROW()+3)*$C$2:$C$644),"")</f>
        <v/>
      </c>
      <c r="K342" s="0" t="str">
        <f aca="false">IF(J342="","",ROUNDUP(J342/75,0))</f>
        <v/>
      </c>
      <c r="L342" s="0" t="n">
        <f aca="false">IF(MOD(F342-1,5)=0,SUMPRODUCT(($A$2:$A$644=A342)*(ROW($A$2:$A$644)&gt;=ROW())*(ROW($A$2:$A$644)&lt;ROW()+5)*$C$2:$C$644),"")</f>
        <v>204</v>
      </c>
      <c r="M342" s="0" t="n">
        <f aca="false">IF(L342="","",ROUNDUP(L342/75,0))</f>
        <v>3</v>
      </c>
      <c r="N342" s="0" t="str">
        <f aca="false">IF(MOD(F342-1,7)=0,SUMPRODUCT(($A$2:$A$644=A342)*(ROW($A$2:$A$644)&gt;=ROW())*(ROW($A$2:$A$644)&lt;ROW()+7)*$C$2:$C$644),"")</f>
        <v/>
      </c>
      <c r="O342" s="0" t="str">
        <f aca="false">IF(N342="","",ROUNDUP(N342/75,0))</f>
        <v/>
      </c>
    </row>
    <row r="343" customFormat="false" ht="15" hidden="false" customHeight="false" outlineLevel="0" collapsed="false">
      <c r="A343" s="0" t="s">
        <v>249</v>
      </c>
      <c r="B343" s="0" t="s">
        <v>376</v>
      </c>
      <c r="C343" s="0" t="n">
        <v>54</v>
      </c>
      <c r="D343" s="0" t="n">
        <v>1</v>
      </c>
      <c r="E343" s="0" t="n">
        <v>21</v>
      </c>
      <c r="F343" s="0" t="n">
        <f aca="false">COUNTIF($A$2:A343,A343)</f>
        <v>127</v>
      </c>
      <c r="G343" s="0" t="n">
        <f aca="false">ROUNDUP(C343*1.236/75,0)</f>
        <v>1</v>
      </c>
      <c r="H343" s="0" t="n">
        <f aca="false">IF(MOD(F343-1,2)=0,SUMPRODUCT(($A$2:$A$644=A343)*(ROW($A$2:$A$644)&gt;=ROW())*(ROW($A$2:$A$644)&lt;ROW()+2)*$C$2:$C$644),"")</f>
        <v>102</v>
      </c>
      <c r="I343" s="0" t="n">
        <f aca="false">IF(H343="","",ROUNDUP(H343/75,0))</f>
        <v>2</v>
      </c>
      <c r="J343" s="0" t="n">
        <f aca="false">IF(MOD(F343-1,3)=0,SUMPRODUCT(($A$2:$A$644=A343)*(ROW($A$2:$A$644)&gt;=ROW())*(ROW($A$2:$A$644)&lt;ROW()+3)*$C$2:$C$644),"")</f>
        <v>120</v>
      </c>
      <c r="K343" s="0" t="n">
        <f aca="false">IF(J343="","",ROUNDUP(J343/75,0))</f>
        <v>2</v>
      </c>
      <c r="L343" s="0" t="str">
        <f aca="false">IF(MOD(F343-1,5)=0,SUMPRODUCT(($A$2:$A$644=A343)*(ROW($A$2:$A$644)&gt;=ROW())*(ROW($A$2:$A$644)&lt;ROW()+5)*$C$2:$C$644),"")</f>
        <v/>
      </c>
      <c r="M343" s="0" t="str">
        <f aca="false">IF(L343="","",ROUNDUP(L343/75,0))</f>
        <v/>
      </c>
      <c r="N343" s="0" t="n">
        <f aca="false">IF(MOD(F343-1,7)=0,SUMPRODUCT(($A$2:$A$644=A343)*(ROW($A$2:$A$644)&gt;=ROW())*(ROW($A$2:$A$644)&lt;ROW()+7)*$C$2:$C$644),"")</f>
        <v>372</v>
      </c>
      <c r="O343" s="0" t="n">
        <f aca="false">IF(N343="","",ROUNDUP(N343/75,0))</f>
        <v>5</v>
      </c>
    </row>
    <row r="344" customFormat="false" ht="15" hidden="false" customHeight="false" outlineLevel="0" collapsed="false">
      <c r="A344" s="0" t="s">
        <v>249</v>
      </c>
      <c r="B344" s="0" t="s">
        <v>377</v>
      </c>
      <c r="C344" s="0" t="n">
        <v>48</v>
      </c>
      <c r="D344" s="0" t="n">
        <v>1</v>
      </c>
      <c r="E344" s="0" t="n">
        <v>27</v>
      </c>
      <c r="F344" s="0" t="n">
        <f aca="false">COUNTIF($A$2:A344,A344)</f>
        <v>128</v>
      </c>
      <c r="G344" s="0" t="n">
        <f aca="false">ROUNDUP(C344*1.236/75,0)</f>
        <v>1</v>
      </c>
      <c r="H344" s="0" t="str">
        <f aca="false">IF(MOD(F344-1,2)=0,SUMPRODUCT(($A$2:$A$644=A344)*(ROW($A$2:$A$644)&gt;=ROW())*(ROW($A$2:$A$644)&lt;ROW()+2)*$C$2:$C$644),"")</f>
        <v/>
      </c>
      <c r="I344" s="0" t="str">
        <f aca="false">IF(H344="","",ROUNDUP(H344/75,0))</f>
        <v/>
      </c>
      <c r="J344" s="0" t="str">
        <f aca="false">IF(MOD(F344-1,3)=0,SUMPRODUCT(($A$2:$A$644=A344)*(ROW($A$2:$A$644)&gt;=ROW())*(ROW($A$2:$A$644)&lt;ROW()+3)*$C$2:$C$644),"")</f>
        <v/>
      </c>
      <c r="K344" s="0" t="str">
        <f aca="false">IF(J344="","",ROUNDUP(J344/75,0))</f>
        <v/>
      </c>
      <c r="L344" s="0" t="str">
        <f aca="false">IF(MOD(F344-1,5)=0,SUMPRODUCT(($A$2:$A$644=A344)*(ROW($A$2:$A$644)&gt;=ROW())*(ROW($A$2:$A$644)&lt;ROW()+5)*$C$2:$C$644),"")</f>
        <v/>
      </c>
      <c r="M344" s="0" t="str">
        <f aca="false">IF(L344="","",ROUNDUP(L344/75,0))</f>
        <v/>
      </c>
      <c r="N344" s="0" t="str">
        <f aca="false">IF(MOD(F344-1,7)=0,SUMPRODUCT(($A$2:$A$644=A344)*(ROW($A$2:$A$644)&gt;=ROW())*(ROW($A$2:$A$644)&lt;ROW()+7)*$C$2:$C$644),"")</f>
        <v/>
      </c>
      <c r="O344" s="0" t="str">
        <f aca="false">IF(N344="","",ROUNDUP(N344/75,0))</f>
        <v/>
      </c>
    </row>
    <row r="345" customFormat="false" ht="15" hidden="false" customHeight="false" outlineLevel="0" collapsed="false">
      <c r="A345" s="0" t="s">
        <v>249</v>
      </c>
      <c r="B345" s="0" t="s">
        <v>378</v>
      </c>
      <c r="C345" s="0" t="n">
        <v>18</v>
      </c>
      <c r="D345" s="0" t="n">
        <v>1</v>
      </c>
      <c r="E345" s="0" t="n">
        <v>57</v>
      </c>
      <c r="F345" s="0" t="n">
        <f aca="false">COUNTIF($A$2:A345,A345)</f>
        <v>129</v>
      </c>
      <c r="G345" s="0" t="n">
        <f aca="false">ROUNDUP(C345*1.236/75,0)</f>
        <v>1</v>
      </c>
      <c r="H345" s="0" t="n">
        <f aca="false">IF(MOD(F345-1,2)=0,SUMPRODUCT(($A$2:$A$644=A345)*(ROW($A$2:$A$644)&gt;=ROW())*(ROW($A$2:$A$644)&lt;ROW()+2)*$C$2:$C$644),"")</f>
        <v>72</v>
      </c>
      <c r="I345" s="0" t="n">
        <f aca="false">IF(H345="","",ROUNDUP(H345/75,0))</f>
        <v>1</v>
      </c>
      <c r="J345" s="0" t="str">
        <f aca="false">IF(MOD(F345-1,3)=0,SUMPRODUCT(($A$2:$A$644=A345)*(ROW($A$2:$A$644)&gt;=ROW())*(ROW($A$2:$A$644)&lt;ROW()+3)*$C$2:$C$644),"")</f>
        <v/>
      </c>
      <c r="K345" s="0" t="str">
        <f aca="false">IF(J345="","",ROUNDUP(J345/75,0))</f>
        <v/>
      </c>
      <c r="L345" s="0" t="str">
        <f aca="false">IF(MOD(F345-1,5)=0,SUMPRODUCT(($A$2:$A$644=A345)*(ROW($A$2:$A$644)&gt;=ROW())*(ROW($A$2:$A$644)&lt;ROW()+5)*$C$2:$C$644),"")</f>
        <v/>
      </c>
      <c r="M345" s="0" t="str">
        <f aca="false">IF(L345="","",ROUNDUP(L345/75,0))</f>
        <v/>
      </c>
      <c r="N345" s="0" t="str">
        <f aca="false">IF(MOD(F345-1,7)=0,SUMPRODUCT(($A$2:$A$644=A345)*(ROW($A$2:$A$644)&gt;=ROW())*(ROW($A$2:$A$644)&lt;ROW()+7)*$C$2:$C$644),"")</f>
        <v/>
      </c>
      <c r="O345" s="0" t="str">
        <f aca="false">IF(N345="","",ROUNDUP(N345/75,0))</f>
        <v/>
      </c>
    </row>
    <row r="346" customFormat="false" ht="15" hidden="false" customHeight="false" outlineLevel="0" collapsed="false">
      <c r="A346" s="0" t="s">
        <v>249</v>
      </c>
      <c r="B346" s="0" t="s">
        <v>379</v>
      </c>
      <c r="C346" s="0" t="n">
        <v>54</v>
      </c>
      <c r="D346" s="0" t="n">
        <v>1</v>
      </c>
      <c r="E346" s="0" t="n">
        <v>21</v>
      </c>
      <c r="F346" s="0" t="n">
        <f aca="false">COUNTIF($A$2:A346,A346)</f>
        <v>130</v>
      </c>
      <c r="G346" s="0" t="n">
        <f aca="false">ROUNDUP(C346*1.236/75,0)</f>
        <v>1</v>
      </c>
      <c r="H346" s="0" t="str">
        <f aca="false">IF(MOD(F346-1,2)=0,SUMPRODUCT(($A$2:$A$644=A346)*(ROW($A$2:$A$644)&gt;=ROW())*(ROW($A$2:$A$644)&lt;ROW()+2)*$C$2:$C$644),"")</f>
        <v/>
      </c>
      <c r="I346" s="0" t="str">
        <f aca="false">IF(H346="","",ROUNDUP(H346/75,0))</f>
        <v/>
      </c>
      <c r="J346" s="0" t="n">
        <f aca="false">IF(MOD(F346-1,3)=0,SUMPRODUCT(($A$2:$A$644=A346)*(ROW($A$2:$A$644)&gt;=ROW())*(ROW($A$2:$A$644)&lt;ROW()+3)*$C$2:$C$644),"")</f>
        <v>192</v>
      </c>
      <c r="K346" s="0" t="n">
        <f aca="false">IF(J346="","",ROUNDUP(J346/75,0))</f>
        <v>3</v>
      </c>
      <c r="L346" s="0" t="str">
        <f aca="false">IF(MOD(F346-1,5)=0,SUMPRODUCT(($A$2:$A$644=A346)*(ROW($A$2:$A$644)&gt;=ROW())*(ROW($A$2:$A$644)&lt;ROW()+5)*$C$2:$C$644),"")</f>
        <v/>
      </c>
      <c r="M346" s="0" t="str">
        <f aca="false">IF(L346="","",ROUNDUP(L346/75,0))</f>
        <v/>
      </c>
      <c r="N346" s="0" t="str">
        <f aca="false">IF(MOD(F346-1,7)=0,SUMPRODUCT(($A$2:$A$644=A346)*(ROW($A$2:$A$644)&gt;=ROW())*(ROW($A$2:$A$644)&lt;ROW()+7)*$C$2:$C$644),"")</f>
        <v/>
      </c>
      <c r="O346" s="0" t="str">
        <f aca="false">IF(N346="","",ROUNDUP(N346/75,0))</f>
        <v/>
      </c>
    </row>
    <row r="347" customFormat="false" ht="15" hidden="false" customHeight="false" outlineLevel="0" collapsed="false">
      <c r="A347" s="0" t="s">
        <v>249</v>
      </c>
      <c r="B347" s="0" t="s">
        <v>380</v>
      </c>
      <c r="C347" s="0" t="n">
        <v>72</v>
      </c>
      <c r="D347" s="0" t="n">
        <v>1</v>
      </c>
      <c r="E347" s="0" t="n">
        <v>3</v>
      </c>
      <c r="F347" s="0" t="n">
        <f aca="false">COUNTIF($A$2:A347,A347)</f>
        <v>131</v>
      </c>
      <c r="G347" s="0" t="n">
        <f aca="false">ROUNDUP(C347*1.236/75,0)</f>
        <v>2</v>
      </c>
      <c r="H347" s="0" t="n">
        <f aca="false">IF(MOD(F347-1,2)=0,SUMPRODUCT(($A$2:$A$644=A347)*(ROW($A$2:$A$644)&gt;=ROW())*(ROW($A$2:$A$644)&lt;ROW()+2)*$C$2:$C$644),"")</f>
        <v>138</v>
      </c>
      <c r="I347" s="0" t="n">
        <f aca="false">IF(H347="","",ROUNDUP(H347/75,0))</f>
        <v>2</v>
      </c>
      <c r="J347" s="0" t="str">
        <f aca="false">IF(MOD(F347-1,3)=0,SUMPRODUCT(($A$2:$A$644=A347)*(ROW($A$2:$A$644)&gt;=ROW())*(ROW($A$2:$A$644)&lt;ROW()+3)*$C$2:$C$644),"")</f>
        <v/>
      </c>
      <c r="K347" s="0" t="str">
        <f aca="false">IF(J347="","",ROUNDUP(J347/75,0))</f>
        <v/>
      </c>
      <c r="L347" s="0" t="n">
        <f aca="false">IF(MOD(F347-1,5)=0,SUMPRODUCT(($A$2:$A$644=A347)*(ROW($A$2:$A$644)&gt;=ROW())*(ROW($A$2:$A$644)&lt;ROW()+5)*$C$2:$C$644),"")</f>
        <v>324</v>
      </c>
      <c r="M347" s="0" t="n">
        <f aca="false">IF(L347="","",ROUNDUP(L347/75,0))</f>
        <v>5</v>
      </c>
      <c r="N347" s="0" t="str">
        <f aca="false">IF(MOD(F347-1,7)=0,SUMPRODUCT(($A$2:$A$644=A347)*(ROW($A$2:$A$644)&gt;=ROW())*(ROW($A$2:$A$644)&lt;ROW()+7)*$C$2:$C$644),"")</f>
        <v/>
      </c>
      <c r="O347" s="0" t="str">
        <f aca="false">IF(N347="","",ROUNDUP(N347/75,0))</f>
        <v/>
      </c>
    </row>
    <row r="348" customFormat="false" ht="15" hidden="false" customHeight="false" outlineLevel="0" collapsed="false">
      <c r="A348" s="0" t="s">
        <v>249</v>
      </c>
      <c r="B348" s="0" t="s">
        <v>381</v>
      </c>
      <c r="C348" s="0" t="n">
        <v>66</v>
      </c>
      <c r="D348" s="0" t="n">
        <v>1</v>
      </c>
      <c r="E348" s="0" t="n">
        <v>9</v>
      </c>
      <c r="F348" s="0" t="n">
        <f aca="false">COUNTIF($A$2:A348,A348)</f>
        <v>132</v>
      </c>
      <c r="G348" s="0" t="n">
        <f aca="false">ROUNDUP(C348*1.236/75,0)</f>
        <v>2</v>
      </c>
      <c r="H348" s="0" t="str">
        <f aca="false">IF(MOD(F348-1,2)=0,SUMPRODUCT(($A$2:$A$644=A348)*(ROW($A$2:$A$644)&gt;=ROW())*(ROW($A$2:$A$644)&lt;ROW()+2)*$C$2:$C$644),"")</f>
        <v/>
      </c>
      <c r="I348" s="0" t="str">
        <f aca="false">IF(H348="","",ROUNDUP(H348/75,0))</f>
        <v/>
      </c>
      <c r="J348" s="0" t="str">
        <f aca="false">IF(MOD(F348-1,3)=0,SUMPRODUCT(($A$2:$A$644=A348)*(ROW($A$2:$A$644)&gt;=ROW())*(ROW($A$2:$A$644)&lt;ROW()+3)*$C$2:$C$644),"")</f>
        <v/>
      </c>
      <c r="K348" s="0" t="str">
        <f aca="false">IF(J348="","",ROUNDUP(J348/75,0))</f>
        <v/>
      </c>
      <c r="L348" s="0" t="str">
        <f aca="false">IF(MOD(F348-1,5)=0,SUMPRODUCT(($A$2:$A$644=A348)*(ROW($A$2:$A$644)&gt;=ROW())*(ROW($A$2:$A$644)&lt;ROW()+5)*$C$2:$C$644),"")</f>
        <v/>
      </c>
      <c r="M348" s="0" t="str">
        <f aca="false">IF(L348="","",ROUNDUP(L348/75,0))</f>
        <v/>
      </c>
      <c r="N348" s="0" t="str">
        <f aca="false">IF(MOD(F348-1,7)=0,SUMPRODUCT(($A$2:$A$644=A348)*(ROW($A$2:$A$644)&gt;=ROW())*(ROW($A$2:$A$644)&lt;ROW()+7)*$C$2:$C$644),"")</f>
        <v/>
      </c>
      <c r="O348" s="0" t="str">
        <f aca="false">IF(N348="","",ROUNDUP(N348/75,0))</f>
        <v/>
      </c>
    </row>
    <row r="349" customFormat="false" ht="15" hidden="false" customHeight="false" outlineLevel="0" collapsed="false">
      <c r="A349" s="0" t="s">
        <v>249</v>
      </c>
      <c r="B349" s="0" t="s">
        <v>382</v>
      </c>
      <c r="C349" s="0" t="n">
        <v>60</v>
      </c>
      <c r="D349" s="0" t="n">
        <v>1</v>
      </c>
      <c r="E349" s="0" t="n">
        <v>15</v>
      </c>
      <c r="F349" s="0" t="n">
        <f aca="false">COUNTIF($A$2:A349,A349)</f>
        <v>133</v>
      </c>
      <c r="G349" s="0" t="n">
        <f aca="false">ROUNDUP(C349*1.236/75,0)</f>
        <v>1</v>
      </c>
      <c r="H349" s="0" t="n">
        <f aca="false">IF(MOD(F349-1,2)=0,SUMPRODUCT(($A$2:$A$644=A349)*(ROW($A$2:$A$644)&gt;=ROW())*(ROW($A$2:$A$644)&lt;ROW()+2)*$C$2:$C$644),"")</f>
        <v>138</v>
      </c>
      <c r="I349" s="0" t="n">
        <f aca="false">IF(H349="","",ROUNDUP(H349/75,0))</f>
        <v>2</v>
      </c>
      <c r="J349" s="0" t="n">
        <f aca="false">IF(MOD(F349-1,3)=0,SUMPRODUCT(($A$2:$A$644=A349)*(ROW($A$2:$A$644)&gt;=ROW())*(ROW($A$2:$A$644)&lt;ROW()+3)*$C$2:$C$644),"")</f>
        <v>186</v>
      </c>
      <c r="K349" s="0" t="n">
        <f aca="false">IF(J349="","",ROUNDUP(J349/75,0))</f>
        <v>3</v>
      </c>
      <c r="L349" s="0" t="str">
        <f aca="false">IF(MOD(F349-1,5)=0,SUMPRODUCT(($A$2:$A$644=A349)*(ROW($A$2:$A$644)&gt;=ROW())*(ROW($A$2:$A$644)&lt;ROW()+5)*$C$2:$C$644),"")</f>
        <v/>
      </c>
      <c r="M349" s="0" t="str">
        <f aca="false">IF(L349="","",ROUNDUP(L349/75,0))</f>
        <v/>
      </c>
      <c r="N349" s="0" t="str">
        <f aca="false">IF(MOD(F349-1,7)=0,SUMPRODUCT(($A$2:$A$644=A349)*(ROW($A$2:$A$644)&gt;=ROW())*(ROW($A$2:$A$644)&lt;ROW()+7)*$C$2:$C$644),"")</f>
        <v/>
      </c>
      <c r="O349" s="0" t="str">
        <f aca="false">IF(N349="","",ROUNDUP(N349/75,0))</f>
        <v/>
      </c>
    </row>
    <row r="350" customFormat="false" ht="15" hidden="false" customHeight="false" outlineLevel="0" collapsed="false">
      <c r="A350" s="0" t="s">
        <v>249</v>
      </c>
      <c r="B350" s="0" t="s">
        <v>383</v>
      </c>
      <c r="C350" s="0" t="n">
        <v>78</v>
      </c>
      <c r="D350" s="0" t="n">
        <v>2</v>
      </c>
      <c r="E350" s="0" t="n">
        <v>72</v>
      </c>
      <c r="F350" s="0" t="n">
        <f aca="false">COUNTIF($A$2:A350,A350)</f>
        <v>134</v>
      </c>
      <c r="G350" s="0" t="n">
        <f aca="false">ROUNDUP(C350*1.236/75,0)</f>
        <v>2</v>
      </c>
      <c r="H350" s="0" t="str">
        <f aca="false">IF(MOD(F350-1,2)=0,SUMPRODUCT(($A$2:$A$644=A350)*(ROW($A$2:$A$644)&gt;=ROW())*(ROW($A$2:$A$644)&lt;ROW()+2)*$C$2:$C$644),"")</f>
        <v/>
      </c>
      <c r="I350" s="0" t="str">
        <f aca="false">IF(H350="","",ROUNDUP(H350/75,0))</f>
        <v/>
      </c>
      <c r="J350" s="0" t="str">
        <f aca="false">IF(MOD(F350-1,3)=0,SUMPRODUCT(($A$2:$A$644=A350)*(ROW($A$2:$A$644)&gt;=ROW())*(ROW($A$2:$A$644)&lt;ROW()+3)*$C$2:$C$644),"")</f>
        <v/>
      </c>
      <c r="K350" s="0" t="str">
        <f aca="false">IF(J350="","",ROUNDUP(J350/75,0))</f>
        <v/>
      </c>
      <c r="L350" s="0" t="str">
        <f aca="false">IF(MOD(F350-1,5)=0,SUMPRODUCT(($A$2:$A$644=A350)*(ROW($A$2:$A$644)&gt;=ROW())*(ROW($A$2:$A$644)&lt;ROW()+5)*$C$2:$C$644),"")</f>
        <v/>
      </c>
      <c r="M350" s="0" t="str">
        <f aca="false">IF(L350="","",ROUNDUP(L350/75,0))</f>
        <v/>
      </c>
      <c r="N350" s="0" t="n">
        <f aca="false">IF(MOD(F350-1,7)=0,SUMPRODUCT(($A$2:$A$644=A350)*(ROW($A$2:$A$644)&gt;=ROW())*(ROW($A$2:$A$644)&lt;ROW()+7)*$C$2:$C$644),"")</f>
        <v>474</v>
      </c>
      <c r="O350" s="0" t="n">
        <f aca="false">IF(N350="","",ROUNDUP(N350/75,0))</f>
        <v>7</v>
      </c>
    </row>
    <row r="351" customFormat="false" ht="15" hidden="false" customHeight="false" outlineLevel="0" collapsed="false">
      <c r="A351" s="0" t="s">
        <v>249</v>
      </c>
      <c r="B351" s="0" t="s">
        <v>384</v>
      </c>
      <c r="C351" s="0" t="n">
        <v>48</v>
      </c>
      <c r="D351" s="0" t="n">
        <v>1</v>
      </c>
      <c r="E351" s="0" t="n">
        <v>27</v>
      </c>
      <c r="F351" s="0" t="n">
        <f aca="false">COUNTIF($A$2:A351,A351)</f>
        <v>135</v>
      </c>
      <c r="G351" s="0" t="n">
        <f aca="false">ROUNDUP(C351*1.236/75,0)</f>
        <v>1</v>
      </c>
      <c r="H351" s="0" t="n">
        <f aca="false">IF(MOD(F351-1,2)=0,SUMPRODUCT(($A$2:$A$644=A351)*(ROW($A$2:$A$644)&gt;=ROW())*(ROW($A$2:$A$644)&lt;ROW()+2)*$C$2:$C$644),"")</f>
        <v>132</v>
      </c>
      <c r="I351" s="0" t="n">
        <f aca="false">IF(H351="","",ROUNDUP(H351/75,0))</f>
        <v>2</v>
      </c>
      <c r="J351" s="0" t="str">
        <f aca="false">IF(MOD(F351-1,3)=0,SUMPRODUCT(($A$2:$A$644=A351)*(ROW($A$2:$A$644)&gt;=ROW())*(ROW($A$2:$A$644)&lt;ROW()+3)*$C$2:$C$644),"")</f>
        <v/>
      </c>
      <c r="K351" s="0" t="str">
        <f aca="false">IF(J351="","",ROUNDUP(J351/75,0))</f>
        <v/>
      </c>
      <c r="L351" s="0" t="str">
        <f aca="false">IF(MOD(F351-1,5)=0,SUMPRODUCT(($A$2:$A$644=A351)*(ROW($A$2:$A$644)&gt;=ROW())*(ROW($A$2:$A$644)&lt;ROW()+5)*$C$2:$C$644),"")</f>
        <v/>
      </c>
      <c r="M351" s="0" t="str">
        <f aca="false">IF(L351="","",ROUNDUP(L351/75,0))</f>
        <v/>
      </c>
      <c r="N351" s="0" t="str">
        <f aca="false">IF(MOD(F351-1,7)=0,SUMPRODUCT(($A$2:$A$644=A351)*(ROW($A$2:$A$644)&gt;=ROW())*(ROW($A$2:$A$644)&lt;ROW()+7)*$C$2:$C$644),"")</f>
        <v/>
      </c>
      <c r="O351" s="0" t="str">
        <f aca="false">IF(N351="","",ROUNDUP(N351/75,0))</f>
        <v/>
      </c>
    </row>
    <row r="352" customFormat="false" ht="15" hidden="false" customHeight="false" outlineLevel="0" collapsed="false">
      <c r="A352" s="0" t="s">
        <v>249</v>
      </c>
      <c r="B352" s="0" t="s">
        <v>385</v>
      </c>
      <c r="C352" s="0" t="n">
        <v>84</v>
      </c>
      <c r="D352" s="0" t="n">
        <v>2</v>
      </c>
      <c r="E352" s="0" t="n">
        <v>66</v>
      </c>
      <c r="F352" s="0" t="n">
        <f aca="false">COUNTIF($A$2:A352,A352)</f>
        <v>136</v>
      </c>
      <c r="G352" s="0" t="n">
        <f aca="false">ROUNDUP(C352*1.236/75,0)</f>
        <v>2</v>
      </c>
      <c r="H352" s="0" t="str">
        <f aca="false">IF(MOD(F352-1,2)=0,SUMPRODUCT(($A$2:$A$644=A352)*(ROW($A$2:$A$644)&gt;=ROW())*(ROW($A$2:$A$644)&lt;ROW()+2)*$C$2:$C$644),"")</f>
        <v/>
      </c>
      <c r="I352" s="0" t="str">
        <f aca="false">IF(H352="","",ROUNDUP(H352/75,0))</f>
        <v/>
      </c>
      <c r="J352" s="0" t="n">
        <f aca="false">IF(MOD(F352-1,3)=0,SUMPRODUCT(($A$2:$A$644=A352)*(ROW($A$2:$A$644)&gt;=ROW())*(ROW($A$2:$A$644)&lt;ROW()+3)*$C$2:$C$644),"")</f>
        <v>246</v>
      </c>
      <c r="K352" s="0" t="n">
        <f aca="false">IF(J352="","",ROUNDUP(J352/75,0))</f>
        <v>4</v>
      </c>
      <c r="L352" s="0" t="n">
        <f aca="false">IF(MOD(F352-1,5)=0,SUMPRODUCT(($A$2:$A$644=A352)*(ROW($A$2:$A$644)&gt;=ROW())*(ROW($A$2:$A$644)&lt;ROW()+5)*$C$2:$C$644),"")</f>
        <v>348</v>
      </c>
      <c r="M352" s="0" t="n">
        <f aca="false">IF(L352="","",ROUNDUP(L352/75,0))</f>
        <v>5</v>
      </c>
      <c r="N352" s="0" t="str">
        <f aca="false">IF(MOD(F352-1,7)=0,SUMPRODUCT(($A$2:$A$644=A352)*(ROW($A$2:$A$644)&gt;=ROW())*(ROW($A$2:$A$644)&lt;ROW()+7)*$C$2:$C$644),"")</f>
        <v/>
      </c>
      <c r="O352" s="0" t="str">
        <f aca="false">IF(N352="","",ROUNDUP(N352/75,0))</f>
        <v/>
      </c>
    </row>
    <row r="353" customFormat="false" ht="15" hidden="false" customHeight="false" outlineLevel="0" collapsed="false">
      <c r="A353" s="0" t="s">
        <v>249</v>
      </c>
      <c r="B353" s="0" t="s">
        <v>386</v>
      </c>
      <c r="C353" s="0" t="n">
        <v>78</v>
      </c>
      <c r="D353" s="0" t="n">
        <v>2</v>
      </c>
      <c r="E353" s="0" t="n">
        <v>72</v>
      </c>
      <c r="F353" s="0" t="n">
        <f aca="false">COUNTIF($A$2:A353,A353)</f>
        <v>137</v>
      </c>
      <c r="G353" s="0" t="n">
        <f aca="false">ROUNDUP(C353*1.236/75,0)</f>
        <v>2</v>
      </c>
      <c r="H353" s="0" t="n">
        <f aca="false">IF(MOD(F353-1,2)=0,SUMPRODUCT(($A$2:$A$644=A353)*(ROW($A$2:$A$644)&gt;=ROW())*(ROW($A$2:$A$644)&lt;ROW()+2)*$C$2:$C$644),"")</f>
        <v>162</v>
      </c>
      <c r="I353" s="0" t="n">
        <f aca="false">IF(H353="","",ROUNDUP(H353/75,0))</f>
        <v>3</v>
      </c>
      <c r="J353" s="0" t="str">
        <f aca="false">IF(MOD(F353-1,3)=0,SUMPRODUCT(($A$2:$A$644=A353)*(ROW($A$2:$A$644)&gt;=ROW())*(ROW($A$2:$A$644)&lt;ROW()+3)*$C$2:$C$644),"")</f>
        <v/>
      </c>
      <c r="K353" s="0" t="str">
        <f aca="false">IF(J353="","",ROUNDUP(J353/75,0))</f>
        <v/>
      </c>
      <c r="L353" s="0" t="str">
        <f aca="false">IF(MOD(F353-1,5)=0,SUMPRODUCT(($A$2:$A$644=A353)*(ROW($A$2:$A$644)&gt;=ROW())*(ROW($A$2:$A$644)&lt;ROW()+5)*$C$2:$C$644),"")</f>
        <v/>
      </c>
      <c r="M353" s="0" t="str">
        <f aca="false">IF(L353="","",ROUNDUP(L353/75,0))</f>
        <v/>
      </c>
      <c r="N353" s="0" t="str">
        <f aca="false">IF(MOD(F353-1,7)=0,SUMPRODUCT(($A$2:$A$644=A353)*(ROW($A$2:$A$644)&gt;=ROW())*(ROW($A$2:$A$644)&lt;ROW()+7)*$C$2:$C$644),"")</f>
        <v/>
      </c>
      <c r="O353" s="0" t="str">
        <f aca="false">IF(N353="","",ROUNDUP(N353/75,0))</f>
        <v/>
      </c>
    </row>
    <row r="354" customFormat="false" ht="15" hidden="false" customHeight="false" outlineLevel="0" collapsed="false">
      <c r="A354" s="0" t="s">
        <v>249</v>
      </c>
      <c r="B354" s="0" t="s">
        <v>387</v>
      </c>
      <c r="C354" s="0" t="n">
        <v>84</v>
      </c>
      <c r="D354" s="0" t="n">
        <v>2</v>
      </c>
      <c r="E354" s="0" t="n">
        <v>66</v>
      </c>
      <c r="F354" s="0" t="n">
        <f aca="false">COUNTIF($A$2:A354,A354)</f>
        <v>138</v>
      </c>
      <c r="G354" s="0" t="n">
        <f aca="false">ROUNDUP(C354*1.236/75,0)</f>
        <v>2</v>
      </c>
      <c r="H354" s="0" t="str">
        <f aca="false">IF(MOD(F354-1,2)=0,SUMPRODUCT(($A$2:$A$644=A354)*(ROW($A$2:$A$644)&gt;=ROW())*(ROW($A$2:$A$644)&lt;ROW()+2)*$C$2:$C$644),"")</f>
        <v/>
      </c>
      <c r="I354" s="0" t="str">
        <f aca="false">IF(H354="","",ROUNDUP(H354/75,0))</f>
        <v/>
      </c>
      <c r="J354" s="0" t="str">
        <f aca="false">IF(MOD(F354-1,3)=0,SUMPRODUCT(($A$2:$A$644=A354)*(ROW($A$2:$A$644)&gt;=ROW())*(ROW($A$2:$A$644)&lt;ROW()+3)*$C$2:$C$644),"")</f>
        <v/>
      </c>
      <c r="K354" s="0" t="str">
        <f aca="false">IF(J354="","",ROUNDUP(J354/75,0))</f>
        <v/>
      </c>
      <c r="L354" s="0" t="str">
        <f aca="false">IF(MOD(F354-1,5)=0,SUMPRODUCT(($A$2:$A$644=A354)*(ROW($A$2:$A$644)&gt;=ROW())*(ROW($A$2:$A$644)&lt;ROW()+5)*$C$2:$C$644),"")</f>
        <v/>
      </c>
      <c r="M354" s="0" t="str">
        <f aca="false">IF(L354="","",ROUNDUP(L354/75,0))</f>
        <v/>
      </c>
      <c r="N354" s="0" t="str">
        <f aca="false">IF(MOD(F354-1,7)=0,SUMPRODUCT(($A$2:$A$644=A354)*(ROW($A$2:$A$644)&gt;=ROW())*(ROW($A$2:$A$644)&lt;ROW()+7)*$C$2:$C$644),"")</f>
        <v/>
      </c>
      <c r="O354" s="0" t="str">
        <f aca="false">IF(N354="","",ROUNDUP(N354/75,0))</f>
        <v/>
      </c>
    </row>
    <row r="355" customFormat="false" ht="15" hidden="false" customHeight="false" outlineLevel="0" collapsed="false">
      <c r="A355" s="0" t="s">
        <v>249</v>
      </c>
      <c r="B355" s="0" t="s">
        <v>388</v>
      </c>
      <c r="C355" s="0" t="n">
        <v>48</v>
      </c>
      <c r="D355" s="0" t="n">
        <v>1</v>
      </c>
      <c r="E355" s="0" t="n">
        <v>27</v>
      </c>
      <c r="F355" s="0" t="n">
        <f aca="false">COUNTIF($A$2:A355,A355)</f>
        <v>139</v>
      </c>
      <c r="G355" s="0" t="n">
        <f aca="false">ROUNDUP(C355*1.236/75,0)</f>
        <v>1</v>
      </c>
      <c r="H355" s="0" t="n">
        <f aca="false">IF(MOD(F355-1,2)=0,SUMPRODUCT(($A$2:$A$644=A355)*(ROW($A$2:$A$644)&gt;=ROW())*(ROW($A$2:$A$644)&lt;ROW()+2)*$C$2:$C$644),"")</f>
        <v>102</v>
      </c>
      <c r="I355" s="0" t="n">
        <f aca="false">IF(H355="","",ROUNDUP(H355/75,0))</f>
        <v>2</v>
      </c>
      <c r="J355" s="0" t="n">
        <f aca="false">IF(MOD(F355-1,3)=0,SUMPRODUCT(($A$2:$A$644=A355)*(ROW($A$2:$A$644)&gt;=ROW())*(ROW($A$2:$A$644)&lt;ROW()+3)*$C$2:$C$644),"")</f>
        <v>204</v>
      </c>
      <c r="K355" s="0" t="n">
        <f aca="false">IF(J355="","",ROUNDUP(J355/75,0))</f>
        <v>3</v>
      </c>
      <c r="L355" s="0" t="str">
        <f aca="false">IF(MOD(F355-1,5)=0,SUMPRODUCT(($A$2:$A$644=A355)*(ROW($A$2:$A$644)&gt;=ROW())*(ROW($A$2:$A$644)&lt;ROW()+5)*$C$2:$C$644),"")</f>
        <v/>
      </c>
      <c r="M355" s="0" t="str">
        <f aca="false">IF(L355="","",ROUNDUP(L355/75,0))</f>
        <v/>
      </c>
      <c r="N355" s="0" t="str">
        <f aca="false">IF(MOD(F355-1,7)=0,SUMPRODUCT(($A$2:$A$644=A355)*(ROW($A$2:$A$644)&gt;=ROW())*(ROW($A$2:$A$644)&lt;ROW()+7)*$C$2:$C$644),"")</f>
        <v/>
      </c>
      <c r="O355" s="0" t="str">
        <f aca="false">IF(N355="","",ROUNDUP(N355/75,0))</f>
        <v/>
      </c>
    </row>
    <row r="356" customFormat="false" ht="15" hidden="false" customHeight="false" outlineLevel="0" collapsed="false">
      <c r="A356" s="0" t="s">
        <v>249</v>
      </c>
      <c r="B356" s="0" t="s">
        <v>389</v>
      </c>
      <c r="C356" s="0" t="n">
        <v>54</v>
      </c>
      <c r="D356" s="0" t="n">
        <v>1</v>
      </c>
      <c r="E356" s="0" t="n">
        <v>21</v>
      </c>
      <c r="F356" s="0" t="n">
        <f aca="false">COUNTIF($A$2:A356,A356)</f>
        <v>140</v>
      </c>
      <c r="G356" s="0" t="n">
        <f aca="false">ROUNDUP(C356*1.236/75,0)</f>
        <v>1</v>
      </c>
      <c r="H356" s="0" t="str">
        <f aca="false">IF(MOD(F356-1,2)=0,SUMPRODUCT(($A$2:$A$644=A356)*(ROW($A$2:$A$644)&gt;=ROW())*(ROW($A$2:$A$644)&lt;ROW()+2)*$C$2:$C$644),"")</f>
        <v/>
      </c>
      <c r="I356" s="0" t="str">
        <f aca="false">IF(H356="","",ROUNDUP(H356/75,0))</f>
        <v/>
      </c>
      <c r="J356" s="0" t="str">
        <f aca="false">IF(MOD(F356-1,3)=0,SUMPRODUCT(($A$2:$A$644=A356)*(ROW($A$2:$A$644)&gt;=ROW())*(ROW($A$2:$A$644)&lt;ROW()+3)*$C$2:$C$644),"")</f>
        <v/>
      </c>
      <c r="K356" s="0" t="str">
        <f aca="false">IF(J356="","",ROUNDUP(J356/75,0))</f>
        <v/>
      </c>
      <c r="L356" s="0" t="str">
        <f aca="false">IF(MOD(F356-1,5)=0,SUMPRODUCT(($A$2:$A$644=A356)*(ROW($A$2:$A$644)&gt;=ROW())*(ROW($A$2:$A$644)&lt;ROW()+5)*$C$2:$C$644),"")</f>
        <v/>
      </c>
      <c r="M356" s="0" t="str">
        <f aca="false">IF(L356="","",ROUNDUP(L356/75,0))</f>
        <v/>
      </c>
      <c r="N356" s="0" t="str">
        <f aca="false">IF(MOD(F356-1,7)=0,SUMPRODUCT(($A$2:$A$644=A356)*(ROW($A$2:$A$644)&gt;=ROW())*(ROW($A$2:$A$644)&lt;ROW()+7)*$C$2:$C$644),"")</f>
        <v/>
      </c>
      <c r="O356" s="0" t="str">
        <f aca="false">IF(N356="","",ROUNDUP(N356/75,0))</f>
        <v/>
      </c>
    </row>
    <row r="357" customFormat="false" ht="15" hidden="false" customHeight="false" outlineLevel="0" collapsed="false">
      <c r="A357" s="0" t="s">
        <v>249</v>
      </c>
      <c r="B357" s="0" t="s">
        <v>390</v>
      </c>
      <c r="C357" s="0" t="n">
        <v>102</v>
      </c>
      <c r="D357" s="0" t="n">
        <v>2</v>
      </c>
      <c r="E357" s="0" t="n">
        <v>48</v>
      </c>
      <c r="F357" s="0" t="n">
        <f aca="false">COUNTIF($A$2:A357,A357)</f>
        <v>141</v>
      </c>
      <c r="G357" s="0" t="n">
        <f aca="false">ROUNDUP(C357*1.236/75,0)</f>
        <v>2</v>
      </c>
      <c r="H357" s="0" t="n">
        <f aca="false">IF(MOD(F357-1,2)=0,SUMPRODUCT(($A$2:$A$644=A357)*(ROW($A$2:$A$644)&gt;=ROW())*(ROW($A$2:$A$644)&lt;ROW()+2)*$C$2:$C$644),"")</f>
        <v>216</v>
      </c>
      <c r="I357" s="0" t="n">
        <f aca="false">IF(H357="","",ROUNDUP(H357/75,0))</f>
        <v>3</v>
      </c>
      <c r="J357" s="0" t="str">
        <f aca="false">IF(MOD(F357-1,3)=0,SUMPRODUCT(($A$2:$A$644=A357)*(ROW($A$2:$A$644)&gt;=ROW())*(ROW($A$2:$A$644)&lt;ROW()+3)*$C$2:$C$644),"")</f>
        <v/>
      </c>
      <c r="K357" s="0" t="str">
        <f aca="false">IF(J357="","",ROUNDUP(J357/75,0))</f>
        <v/>
      </c>
      <c r="L357" s="0" t="n">
        <f aca="false">IF(MOD(F357-1,5)=0,SUMPRODUCT(($A$2:$A$644=A357)*(ROW($A$2:$A$644)&gt;=ROW())*(ROW($A$2:$A$644)&lt;ROW()+5)*$C$2:$C$644),"")</f>
        <v>312</v>
      </c>
      <c r="M357" s="0" t="n">
        <f aca="false">IF(L357="","",ROUNDUP(L357/75,0))</f>
        <v>5</v>
      </c>
      <c r="N357" s="0" t="n">
        <f aca="false">IF(MOD(F357-1,7)=0,SUMPRODUCT(($A$2:$A$644=A357)*(ROW($A$2:$A$644)&gt;=ROW())*(ROW($A$2:$A$644)&lt;ROW()+7)*$C$2:$C$644),"")</f>
        <v>444</v>
      </c>
      <c r="O357" s="0" t="n">
        <f aca="false">IF(N357="","",ROUNDUP(N357/75,0))</f>
        <v>6</v>
      </c>
    </row>
    <row r="358" customFormat="false" ht="15" hidden="false" customHeight="false" outlineLevel="0" collapsed="false">
      <c r="A358" s="0" t="s">
        <v>249</v>
      </c>
      <c r="B358" s="0" t="s">
        <v>391</v>
      </c>
      <c r="C358" s="0" t="n">
        <v>114</v>
      </c>
      <c r="D358" s="0" t="n">
        <v>2</v>
      </c>
      <c r="E358" s="0" t="n">
        <v>36</v>
      </c>
      <c r="F358" s="0" t="n">
        <f aca="false">COUNTIF($A$2:A358,A358)</f>
        <v>142</v>
      </c>
      <c r="G358" s="0" t="n">
        <f aca="false">ROUNDUP(C358*1.236/75,0)</f>
        <v>2</v>
      </c>
      <c r="H358" s="0" t="str">
        <f aca="false">IF(MOD(F358-1,2)=0,SUMPRODUCT(($A$2:$A$644=A358)*(ROW($A$2:$A$644)&gt;=ROW())*(ROW($A$2:$A$644)&lt;ROW()+2)*$C$2:$C$644),"")</f>
        <v/>
      </c>
      <c r="I358" s="0" t="str">
        <f aca="false">IF(H358="","",ROUNDUP(H358/75,0))</f>
        <v/>
      </c>
      <c r="J358" s="0" t="n">
        <f aca="false">IF(MOD(F358-1,3)=0,SUMPRODUCT(($A$2:$A$644=A358)*(ROW($A$2:$A$644)&gt;=ROW())*(ROW($A$2:$A$644)&lt;ROW()+3)*$C$2:$C$644),"")</f>
        <v>192</v>
      </c>
      <c r="K358" s="0" t="n">
        <f aca="false">IF(J358="","",ROUNDUP(J358/75,0))</f>
        <v>3</v>
      </c>
      <c r="L358" s="0" t="str">
        <f aca="false">IF(MOD(F358-1,5)=0,SUMPRODUCT(($A$2:$A$644=A358)*(ROW($A$2:$A$644)&gt;=ROW())*(ROW($A$2:$A$644)&lt;ROW()+5)*$C$2:$C$644),"")</f>
        <v/>
      </c>
      <c r="M358" s="0" t="str">
        <f aca="false">IF(L358="","",ROUNDUP(L358/75,0))</f>
        <v/>
      </c>
      <c r="N358" s="0" t="str">
        <f aca="false">IF(MOD(F358-1,7)=0,SUMPRODUCT(($A$2:$A$644=A358)*(ROW($A$2:$A$644)&gt;=ROW())*(ROW($A$2:$A$644)&lt;ROW()+7)*$C$2:$C$644),"")</f>
        <v/>
      </c>
      <c r="O358" s="0" t="str">
        <f aca="false">IF(N358="","",ROUNDUP(N358/75,0))</f>
        <v/>
      </c>
    </row>
    <row r="359" customFormat="false" ht="15" hidden="false" customHeight="false" outlineLevel="0" collapsed="false">
      <c r="A359" s="0" t="s">
        <v>249</v>
      </c>
      <c r="B359" s="0" t="s">
        <v>392</v>
      </c>
      <c r="C359" s="0" t="n">
        <v>36</v>
      </c>
      <c r="D359" s="0" t="n">
        <v>1</v>
      </c>
      <c r="E359" s="0" t="n">
        <v>39</v>
      </c>
      <c r="F359" s="0" t="n">
        <f aca="false">COUNTIF($A$2:A359,A359)</f>
        <v>143</v>
      </c>
      <c r="G359" s="0" t="n">
        <f aca="false">ROUNDUP(C359*1.236/75,0)</f>
        <v>1</v>
      </c>
      <c r="H359" s="0" t="n">
        <f aca="false">IF(MOD(F359-1,2)=0,SUMPRODUCT(($A$2:$A$644=A359)*(ROW($A$2:$A$644)&gt;=ROW())*(ROW($A$2:$A$644)&lt;ROW()+2)*$C$2:$C$644),"")</f>
        <v>78</v>
      </c>
      <c r="I359" s="0" t="n">
        <f aca="false">IF(H359="","",ROUNDUP(H359/75,0))</f>
        <v>2</v>
      </c>
      <c r="J359" s="0" t="str">
        <f aca="false">IF(MOD(F359-1,3)=0,SUMPRODUCT(($A$2:$A$644=A359)*(ROW($A$2:$A$644)&gt;=ROW())*(ROW($A$2:$A$644)&lt;ROW()+3)*$C$2:$C$644),"")</f>
        <v/>
      </c>
      <c r="K359" s="0" t="str">
        <f aca="false">IF(J359="","",ROUNDUP(J359/75,0))</f>
        <v/>
      </c>
      <c r="L359" s="0" t="str">
        <f aca="false">IF(MOD(F359-1,5)=0,SUMPRODUCT(($A$2:$A$644=A359)*(ROW($A$2:$A$644)&gt;=ROW())*(ROW($A$2:$A$644)&lt;ROW()+5)*$C$2:$C$644),"")</f>
        <v/>
      </c>
      <c r="M359" s="0" t="str">
        <f aca="false">IF(L359="","",ROUNDUP(L359/75,0))</f>
        <v/>
      </c>
      <c r="N359" s="0" t="str">
        <f aca="false">IF(MOD(F359-1,7)=0,SUMPRODUCT(($A$2:$A$644=A359)*(ROW($A$2:$A$644)&gt;=ROW())*(ROW($A$2:$A$644)&lt;ROW()+7)*$C$2:$C$644),"")</f>
        <v/>
      </c>
      <c r="O359" s="0" t="str">
        <f aca="false">IF(N359="","",ROUNDUP(N359/75,0))</f>
        <v/>
      </c>
    </row>
    <row r="360" customFormat="false" ht="15" hidden="false" customHeight="false" outlineLevel="0" collapsed="false">
      <c r="A360" s="0" t="s">
        <v>249</v>
      </c>
      <c r="B360" s="0" t="s">
        <v>393</v>
      </c>
      <c r="C360" s="0" t="n">
        <v>42</v>
      </c>
      <c r="D360" s="0" t="n">
        <v>1</v>
      </c>
      <c r="E360" s="0" t="n">
        <v>33</v>
      </c>
      <c r="F360" s="0" t="n">
        <f aca="false">COUNTIF($A$2:A360,A360)</f>
        <v>144</v>
      </c>
      <c r="G360" s="0" t="n">
        <f aca="false">ROUNDUP(C360*1.236/75,0)</f>
        <v>1</v>
      </c>
      <c r="H360" s="0" t="str">
        <f aca="false">IF(MOD(F360-1,2)=0,SUMPRODUCT(($A$2:$A$644=A360)*(ROW($A$2:$A$644)&gt;=ROW())*(ROW($A$2:$A$644)&lt;ROW()+2)*$C$2:$C$644),"")</f>
        <v/>
      </c>
      <c r="I360" s="0" t="str">
        <f aca="false">IF(H360="","",ROUNDUP(H360/75,0))</f>
        <v/>
      </c>
      <c r="J360" s="0" t="str">
        <f aca="false">IF(MOD(F360-1,3)=0,SUMPRODUCT(($A$2:$A$644=A360)*(ROW($A$2:$A$644)&gt;=ROW())*(ROW($A$2:$A$644)&lt;ROW()+3)*$C$2:$C$644),"")</f>
        <v/>
      </c>
      <c r="K360" s="0" t="str">
        <f aca="false">IF(J360="","",ROUNDUP(J360/75,0))</f>
        <v/>
      </c>
      <c r="L360" s="0" t="str">
        <f aca="false">IF(MOD(F360-1,5)=0,SUMPRODUCT(($A$2:$A$644=A360)*(ROW($A$2:$A$644)&gt;=ROW())*(ROW($A$2:$A$644)&lt;ROW()+5)*$C$2:$C$644),"")</f>
        <v/>
      </c>
      <c r="M360" s="0" t="str">
        <f aca="false">IF(L360="","",ROUNDUP(L360/75,0))</f>
        <v/>
      </c>
      <c r="N360" s="0" t="str">
        <f aca="false">IF(MOD(F360-1,7)=0,SUMPRODUCT(($A$2:$A$644=A360)*(ROW($A$2:$A$644)&gt;=ROW())*(ROW($A$2:$A$644)&lt;ROW()+7)*$C$2:$C$644),"")</f>
        <v/>
      </c>
      <c r="O360" s="0" t="str">
        <f aca="false">IF(N360="","",ROUNDUP(N360/75,0))</f>
        <v/>
      </c>
    </row>
    <row r="361" customFormat="false" ht="15" hidden="false" customHeight="false" outlineLevel="0" collapsed="false">
      <c r="A361" s="0" t="s">
        <v>249</v>
      </c>
      <c r="B361" s="0" t="s">
        <v>394</v>
      </c>
      <c r="C361" s="0" t="n">
        <v>18</v>
      </c>
      <c r="D361" s="0" t="n">
        <v>1</v>
      </c>
      <c r="E361" s="0" t="n">
        <v>57</v>
      </c>
      <c r="F361" s="0" t="n">
        <f aca="false">COUNTIF($A$2:A361,A361)</f>
        <v>145</v>
      </c>
      <c r="G361" s="0" t="n">
        <f aca="false">ROUNDUP(C361*1.236/75,0)</f>
        <v>1</v>
      </c>
      <c r="H361" s="0" t="n">
        <f aca="false">IF(MOD(F361-1,2)=0,SUMPRODUCT(($A$2:$A$644=A361)*(ROW($A$2:$A$644)&gt;=ROW())*(ROW($A$2:$A$644)&lt;ROW()+2)*$C$2:$C$644),"")</f>
        <v>90</v>
      </c>
      <c r="I361" s="0" t="n">
        <f aca="false">IF(H361="","",ROUNDUP(H361/75,0))</f>
        <v>2</v>
      </c>
      <c r="J361" s="0" t="n">
        <f aca="false">IF(MOD(F361-1,3)=0,SUMPRODUCT(($A$2:$A$644=A361)*(ROW($A$2:$A$644)&gt;=ROW())*(ROW($A$2:$A$644)&lt;ROW()+3)*$C$2:$C$644),"")</f>
        <v>150</v>
      </c>
      <c r="K361" s="0" t="n">
        <f aca="false">IF(J361="","",ROUNDUP(J361/75,0))</f>
        <v>2</v>
      </c>
      <c r="L361" s="0" t="str">
        <f aca="false">IF(MOD(F361-1,5)=0,SUMPRODUCT(($A$2:$A$644=A361)*(ROW($A$2:$A$644)&gt;=ROW())*(ROW($A$2:$A$644)&lt;ROW()+5)*$C$2:$C$644),"")</f>
        <v/>
      </c>
      <c r="M361" s="0" t="str">
        <f aca="false">IF(L361="","",ROUNDUP(L361/75,0))</f>
        <v/>
      </c>
      <c r="N361" s="0" t="str">
        <f aca="false">IF(MOD(F361-1,7)=0,SUMPRODUCT(($A$2:$A$644=A361)*(ROW($A$2:$A$644)&gt;=ROW())*(ROW($A$2:$A$644)&lt;ROW()+7)*$C$2:$C$644),"")</f>
        <v/>
      </c>
      <c r="O361" s="0" t="str">
        <f aca="false">IF(N361="","",ROUNDUP(N361/75,0))</f>
        <v/>
      </c>
    </row>
    <row r="362" customFormat="false" ht="15" hidden="false" customHeight="false" outlineLevel="0" collapsed="false">
      <c r="A362" s="0" t="s">
        <v>249</v>
      </c>
      <c r="B362" s="0" t="s">
        <v>395</v>
      </c>
      <c r="C362" s="0" t="n">
        <v>72</v>
      </c>
      <c r="D362" s="0" t="n">
        <v>1</v>
      </c>
      <c r="E362" s="0" t="n">
        <v>3</v>
      </c>
      <c r="F362" s="0" t="n">
        <f aca="false">COUNTIF($A$2:A362,A362)</f>
        <v>146</v>
      </c>
      <c r="G362" s="0" t="n">
        <f aca="false">ROUNDUP(C362*1.236/75,0)</f>
        <v>2</v>
      </c>
      <c r="H362" s="0" t="str">
        <f aca="false">IF(MOD(F362-1,2)=0,SUMPRODUCT(($A$2:$A$644=A362)*(ROW($A$2:$A$644)&gt;=ROW())*(ROW($A$2:$A$644)&lt;ROW()+2)*$C$2:$C$644),"")</f>
        <v/>
      </c>
      <c r="I362" s="0" t="str">
        <f aca="false">IF(H362="","",ROUNDUP(H362/75,0))</f>
        <v/>
      </c>
      <c r="J362" s="0" t="str">
        <f aca="false">IF(MOD(F362-1,3)=0,SUMPRODUCT(($A$2:$A$644=A362)*(ROW($A$2:$A$644)&gt;=ROW())*(ROW($A$2:$A$644)&lt;ROW()+3)*$C$2:$C$644),"")</f>
        <v/>
      </c>
      <c r="K362" s="0" t="str">
        <f aca="false">IF(J362="","",ROUNDUP(J362/75,0))</f>
        <v/>
      </c>
      <c r="L362" s="0" t="n">
        <f aca="false">IF(MOD(F362-1,5)=0,SUMPRODUCT(($A$2:$A$644=A362)*(ROW($A$2:$A$644)&gt;=ROW())*(ROW($A$2:$A$644)&lt;ROW()+5)*$C$2:$C$644),"")</f>
        <v>294</v>
      </c>
      <c r="M362" s="0" t="n">
        <f aca="false">IF(L362="","",ROUNDUP(L362/75,0))</f>
        <v>4</v>
      </c>
      <c r="N362" s="0" t="str">
        <f aca="false">IF(MOD(F362-1,7)=0,SUMPRODUCT(($A$2:$A$644=A362)*(ROW($A$2:$A$644)&gt;=ROW())*(ROW($A$2:$A$644)&lt;ROW()+7)*$C$2:$C$644),"")</f>
        <v/>
      </c>
      <c r="O362" s="0" t="str">
        <f aca="false">IF(N362="","",ROUNDUP(N362/75,0))</f>
        <v/>
      </c>
    </row>
    <row r="363" customFormat="false" ht="15" hidden="false" customHeight="false" outlineLevel="0" collapsed="false">
      <c r="A363" s="0" t="s">
        <v>249</v>
      </c>
      <c r="B363" s="0" t="s">
        <v>396</v>
      </c>
      <c r="C363" s="0" t="n">
        <v>60</v>
      </c>
      <c r="D363" s="0" t="n">
        <v>1</v>
      </c>
      <c r="E363" s="0" t="n">
        <v>15</v>
      </c>
      <c r="F363" s="0" t="n">
        <f aca="false">COUNTIF($A$2:A363,A363)</f>
        <v>147</v>
      </c>
      <c r="G363" s="0" t="n">
        <f aca="false">ROUNDUP(C363*1.236/75,0)</f>
        <v>1</v>
      </c>
      <c r="H363" s="0" t="n">
        <f aca="false">IF(MOD(F363-1,2)=0,SUMPRODUCT(($A$2:$A$644=A363)*(ROW($A$2:$A$644)&gt;=ROW())*(ROW($A$2:$A$644)&lt;ROW()+2)*$C$2:$C$644),"")</f>
        <v>132</v>
      </c>
      <c r="I363" s="0" t="n">
        <f aca="false">IF(H363="","",ROUNDUP(H363/75,0))</f>
        <v>2</v>
      </c>
      <c r="J363" s="0" t="str">
        <f aca="false">IF(MOD(F363-1,3)=0,SUMPRODUCT(($A$2:$A$644=A363)*(ROW($A$2:$A$644)&gt;=ROW())*(ROW($A$2:$A$644)&lt;ROW()+3)*$C$2:$C$644),"")</f>
        <v/>
      </c>
      <c r="K363" s="0" t="str">
        <f aca="false">IF(J363="","",ROUNDUP(J363/75,0))</f>
        <v/>
      </c>
      <c r="L363" s="0" t="str">
        <f aca="false">IF(MOD(F363-1,5)=0,SUMPRODUCT(($A$2:$A$644=A363)*(ROW($A$2:$A$644)&gt;=ROW())*(ROW($A$2:$A$644)&lt;ROW()+5)*$C$2:$C$644),"")</f>
        <v/>
      </c>
      <c r="M363" s="0" t="str">
        <f aca="false">IF(L363="","",ROUNDUP(L363/75,0))</f>
        <v/>
      </c>
      <c r="N363" s="0" t="str">
        <f aca="false">IF(MOD(F363-1,7)=0,SUMPRODUCT(($A$2:$A$644=A363)*(ROW($A$2:$A$644)&gt;=ROW())*(ROW($A$2:$A$644)&lt;ROW()+7)*$C$2:$C$644),"")</f>
        <v/>
      </c>
      <c r="O363" s="0" t="str">
        <f aca="false">IF(N363="","",ROUNDUP(N363/75,0))</f>
        <v/>
      </c>
    </row>
    <row r="364" customFormat="false" ht="15" hidden="false" customHeight="false" outlineLevel="0" collapsed="false">
      <c r="A364" s="0" t="s">
        <v>249</v>
      </c>
      <c r="B364" s="0" t="s">
        <v>397</v>
      </c>
      <c r="C364" s="0" t="n">
        <v>72</v>
      </c>
      <c r="D364" s="0" t="n">
        <v>1</v>
      </c>
      <c r="E364" s="0" t="n">
        <v>3</v>
      </c>
      <c r="F364" s="0" t="n">
        <f aca="false">COUNTIF($A$2:A364,A364)</f>
        <v>148</v>
      </c>
      <c r="G364" s="0" t="n">
        <f aca="false">ROUNDUP(C364*1.236/75,0)</f>
        <v>2</v>
      </c>
      <c r="H364" s="0" t="str">
        <f aca="false">IF(MOD(F364-1,2)=0,SUMPRODUCT(($A$2:$A$644=A364)*(ROW($A$2:$A$644)&gt;=ROW())*(ROW($A$2:$A$644)&lt;ROW()+2)*$C$2:$C$644),"")</f>
        <v/>
      </c>
      <c r="I364" s="0" t="str">
        <f aca="false">IF(H364="","",ROUNDUP(H364/75,0))</f>
        <v/>
      </c>
      <c r="J364" s="0" t="n">
        <f aca="false">IF(MOD(F364-1,3)=0,SUMPRODUCT(($A$2:$A$644=A364)*(ROW($A$2:$A$644)&gt;=ROW())*(ROW($A$2:$A$644)&lt;ROW()+3)*$C$2:$C$644),"")</f>
        <v>162</v>
      </c>
      <c r="K364" s="0" t="n">
        <f aca="false">IF(J364="","",ROUNDUP(J364/75,0))</f>
        <v>3</v>
      </c>
      <c r="L364" s="0" t="str">
        <f aca="false">IF(MOD(F364-1,5)=0,SUMPRODUCT(($A$2:$A$644=A364)*(ROW($A$2:$A$644)&gt;=ROW())*(ROW($A$2:$A$644)&lt;ROW()+5)*$C$2:$C$644),"")</f>
        <v/>
      </c>
      <c r="M364" s="0" t="str">
        <f aca="false">IF(L364="","",ROUNDUP(L364/75,0))</f>
        <v/>
      </c>
      <c r="N364" s="0" t="n">
        <f aca="false">IF(MOD(F364-1,7)=0,SUMPRODUCT(($A$2:$A$644=A364)*(ROW($A$2:$A$644)&gt;=ROW())*(ROW($A$2:$A$644)&lt;ROW()+7)*$C$2:$C$644),"")</f>
        <v>438</v>
      </c>
      <c r="O364" s="0" t="n">
        <f aca="false">IF(N364="","",ROUNDUP(N364/75,0))</f>
        <v>6</v>
      </c>
    </row>
    <row r="365" customFormat="false" ht="15" hidden="false" customHeight="false" outlineLevel="0" collapsed="false">
      <c r="A365" s="0" t="s">
        <v>249</v>
      </c>
      <c r="B365" s="0" t="s">
        <v>398</v>
      </c>
      <c r="C365" s="0" t="n">
        <v>66</v>
      </c>
      <c r="D365" s="0" t="n">
        <v>1</v>
      </c>
      <c r="E365" s="0" t="n">
        <v>9</v>
      </c>
      <c r="F365" s="0" t="n">
        <f aca="false">COUNTIF($A$2:A365,A365)</f>
        <v>149</v>
      </c>
      <c r="G365" s="0" t="n">
        <f aca="false">ROUNDUP(C365*1.236/75,0)</f>
        <v>2</v>
      </c>
      <c r="H365" s="0" t="n">
        <f aca="false">IF(MOD(F365-1,2)=0,SUMPRODUCT(($A$2:$A$644=A365)*(ROW($A$2:$A$644)&gt;=ROW())*(ROW($A$2:$A$644)&lt;ROW()+2)*$C$2:$C$644),"")</f>
        <v>90</v>
      </c>
      <c r="I365" s="0" t="n">
        <f aca="false">IF(H365="","",ROUNDUP(H365/75,0))</f>
        <v>2</v>
      </c>
      <c r="J365" s="0" t="str">
        <f aca="false">IF(MOD(F365-1,3)=0,SUMPRODUCT(($A$2:$A$644=A365)*(ROW($A$2:$A$644)&gt;=ROW())*(ROW($A$2:$A$644)&lt;ROW()+3)*$C$2:$C$644),"")</f>
        <v/>
      </c>
      <c r="K365" s="0" t="str">
        <f aca="false">IF(J365="","",ROUNDUP(J365/75,0))</f>
        <v/>
      </c>
      <c r="L365" s="0" t="str">
        <f aca="false">IF(MOD(F365-1,5)=0,SUMPRODUCT(($A$2:$A$644=A365)*(ROW($A$2:$A$644)&gt;=ROW())*(ROW($A$2:$A$644)&lt;ROW()+5)*$C$2:$C$644),"")</f>
        <v/>
      </c>
      <c r="M365" s="0" t="str">
        <f aca="false">IF(L365="","",ROUNDUP(L365/75,0))</f>
        <v/>
      </c>
      <c r="N365" s="0" t="str">
        <f aca="false">IF(MOD(F365-1,7)=0,SUMPRODUCT(($A$2:$A$644=A365)*(ROW($A$2:$A$644)&gt;=ROW())*(ROW($A$2:$A$644)&lt;ROW()+7)*$C$2:$C$644),"")</f>
        <v/>
      </c>
      <c r="O365" s="0" t="str">
        <f aca="false">IF(N365="","",ROUNDUP(N365/75,0))</f>
        <v/>
      </c>
    </row>
    <row r="366" customFormat="false" ht="15" hidden="false" customHeight="false" outlineLevel="0" collapsed="false">
      <c r="A366" s="0" t="s">
        <v>249</v>
      </c>
      <c r="B366" s="0" t="s">
        <v>399</v>
      </c>
      <c r="C366" s="0" t="n">
        <v>24</v>
      </c>
      <c r="D366" s="0" t="n">
        <v>1</v>
      </c>
      <c r="E366" s="0" t="n">
        <v>51</v>
      </c>
      <c r="F366" s="0" t="n">
        <f aca="false">COUNTIF($A$2:A366,A366)</f>
        <v>150</v>
      </c>
      <c r="G366" s="0" t="n">
        <f aca="false">ROUNDUP(C366*1.236/75,0)</f>
        <v>1</v>
      </c>
      <c r="H366" s="0" t="str">
        <f aca="false">IF(MOD(F366-1,2)=0,SUMPRODUCT(($A$2:$A$644=A366)*(ROW($A$2:$A$644)&gt;=ROW())*(ROW($A$2:$A$644)&lt;ROW()+2)*$C$2:$C$644),"")</f>
        <v/>
      </c>
      <c r="I366" s="0" t="str">
        <f aca="false">IF(H366="","",ROUNDUP(H366/75,0))</f>
        <v/>
      </c>
      <c r="J366" s="0" t="str">
        <f aca="false">IF(MOD(F366-1,3)=0,SUMPRODUCT(($A$2:$A$644=A366)*(ROW($A$2:$A$644)&gt;=ROW())*(ROW($A$2:$A$644)&lt;ROW()+3)*$C$2:$C$644),"")</f>
        <v/>
      </c>
      <c r="K366" s="0" t="str">
        <f aca="false">IF(J366="","",ROUNDUP(J366/75,0))</f>
        <v/>
      </c>
      <c r="L366" s="0" t="str">
        <f aca="false">IF(MOD(F366-1,5)=0,SUMPRODUCT(($A$2:$A$644=A366)*(ROW($A$2:$A$644)&gt;=ROW())*(ROW($A$2:$A$644)&lt;ROW()+5)*$C$2:$C$644),"")</f>
        <v/>
      </c>
      <c r="M366" s="0" t="str">
        <f aca="false">IF(L366="","",ROUNDUP(L366/75,0))</f>
        <v/>
      </c>
      <c r="N366" s="0" t="str">
        <f aca="false">IF(MOD(F366-1,7)=0,SUMPRODUCT(($A$2:$A$644=A366)*(ROW($A$2:$A$644)&gt;=ROW())*(ROW($A$2:$A$644)&lt;ROW()+7)*$C$2:$C$644),"")</f>
        <v/>
      </c>
      <c r="O366" s="0" t="str">
        <f aca="false">IF(N366="","",ROUNDUP(N366/75,0))</f>
        <v/>
      </c>
    </row>
    <row r="367" customFormat="false" ht="15" hidden="false" customHeight="false" outlineLevel="0" collapsed="false">
      <c r="A367" s="0" t="s">
        <v>249</v>
      </c>
      <c r="B367" s="0" t="s">
        <v>400</v>
      </c>
      <c r="C367" s="0" t="n">
        <v>78</v>
      </c>
      <c r="D367" s="0" t="n">
        <v>2</v>
      </c>
      <c r="E367" s="0" t="n">
        <v>72</v>
      </c>
      <c r="F367" s="0" t="n">
        <f aca="false">COUNTIF($A$2:A367,A367)</f>
        <v>151</v>
      </c>
      <c r="G367" s="0" t="n">
        <f aca="false">ROUNDUP(C367*1.236/75,0)</f>
        <v>2</v>
      </c>
      <c r="H367" s="0" t="n">
        <f aca="false">IF(MOD(F367-1,2)=0,SUMPRODUCT(($A$2:$A$644=A367)*(ROW($A$2:$A$644)&gt;=ROW())*(ROW($A$2:$A$644)&lt;ROW()+2)*$C$2:$C$644),"")</f>
        <v>192</v>
      </c>
      <c r="I367" s="0" t="n">
        <f aca="false">IF(H367="","",ROUNDUP(H367/75,0))</f>
        <v>3</v>
      </c>
      <c r="J367" s="0" t="n">
        <f aca="false">IF(MOD(F367-1,3)=0,SUMPRODUCT(($A$2:$A$644=A367)*(ROW($A$2:$A$644)&gt;=ROW())*(ROW($A$2:$A$644)&lt;ROW()+3)*$C$2:$C$644),"")</f>
        <v>234</v>
      </c>
      <c r="K367" s="0" t="n">
        <f aca="false">IF(J367="","",ROUNDUP(J367/75,0))</f>
        <v>4</v>
      </c>
      <c r="L367" s="0" t="n">
        <f aca="false">IF(MOD(F367-1,5)=0,SUMPRODUCT(($A$2:$A$644=A367)*(ROW($A$2:$A$644)&gt;=ROW())*(ROW($A$2:$A$644)&lt;ROW()+5)*$C$2:$C$644),"")</f>
        <v>366</v>
      </c>
      <c r="M367" s="0" t="n">
        <f aca="false">IF(L367="","",ROUNDUP(L367/75,0))</f>
        <v>5</v>
      </c>
      <c r="N367" s="0" t="str">
        <f aca="false">IF(MOD(F367-1,7)=0,SUMPRODUCT(($A$2:$A$644=A367)*(ROW($A$2:$A$644)&gt;=ROW())*(ROW($A$2:$A$644)&lt;ROW()+7)*$C$2:$C$644),"")</f>
        <v/>
      </c>
      <c r="O367" s="0" t="str">
        <f aca="false">IF(N367="","",ROUNDUP(N367/75,0))</f>
        <v/>
      </c>
    </row>
    <row r="368" customFormat="false" ht="15" hidden="false" customHeight="false" outlineLevel="0" collapsed="false">
      <c r="A368" s="0" t="s">
        <v>249</v>
      </c>
      <c r="B368" s="0" t="s">
        <v>401</v>
      </c>
      <c r="C368" s="0" t="n">
        <v>114</v>
      </c>
      <c r="D368" s="0" t="n">
        <v>2</v>
      </c>
      <c r="E368" s="0" t="n">
        <v>36</v>
      </c>
      <c r="F368" s="0" t="n">
        <f aca="false">COUNTIF($A$2:A368,A368)</f>
        <v>152</v>
      </c>
      <c r="G368" s="0" t="n">
        <f aca="false">ROUNDUP(C368*1.236/75,0)</f>
        <v>2</v>
      </c>
      <c r="H368" s="0" t="str">
        <f aca="false">IF(MOD(F368-1,2)=0,SUMPRODUCT(($A$2:$A$644=A368)*(ROW($A$2:$A$644)&gt;=ROW())*(ROW($A$2:$A$644)&lt;ROW()+2)*$C$2:$C$644),"")</f>
        <v/>
      </c>
      <c r="I368" s="0" t="str">
        <f aca="false">IF(H368="","",ROUNDUP(H368/75,0))</f>
        <v/>
      </c>
      <c r="J368" s="0" t="str">
        <f aca="false">IF(MOD(F368-1,3)=0,SUMPRODUCT(($A$2:$A$644=A368)*(ROW($A$2:$A$644)&gt;=ROW())*(ROW($A$2:$A$644)&lt;ROW()+3)*$C$2:$C$644),"")</f>
        <v/>
      </c>
      <c r="K368" s="0" t="str">
        <f aca="false">IF(J368="","",ROUNDUP(J368/75,0))</f>
        <v/>
      </c>
      <c r="L368" s="0" t="str">
        <f aca="false">IF(MOD(F368-1,5)=0,SUMPRODUCT(($A$2:$A$644=A368)*(ROW($A$2:$A$644)&gt;=ROW())*(ROW($A$2:$A$644)&lt;ROW()+5)*$C$2:$C$644),"")</f>
        <v/>
      </c>
      <c r="M368" s="0" t="str">
        <f aca="false">IF(L368="","",ROUNDUP(L368/75,0))</f>
        <v/>
      </c>
      <c r="N368" s="0" t="str">
        <f aca="false">IF(MOD(F368-1,7)=0,SUMPRODUCT(($A$2:$A$644=A368)*(ROW($A$2:$A$644)&gt;=ROW())*(ROW($A$2:$A$644)&lt;ROW()+7)*$C$2:$C$644),"")</f>
        <v/>
      </c>
      <c r="O368" s="0" t="str">
        <f aca="false">IF(N368="","",ROUNDUP(N368/75,0))</f>
        <v/>
      </c>
    </row>
    <row r="369" customFormat="false" ht="15" hidden="false" customHeight="false" outlineLevel="0" collapsed="false">
      <c r="A369" s="0" t="s">
        <v>249</v>
      </c>
      <c r="B369" s="0" t="s">
        <v>402</v>
      </c>
      <c r="C369" s="0" t="n">
        <v>42</v>
      </c>
      <c r="D369" s="0" t="n">
        <v>1</v>
      </c>
      <c r="E369" s="0" t="n">
        <v>33</v>
      </c>
      <c r="F369" s="0" t="n">
        <f aca="false">COUNTIF($A$2:A369,A369)</f>
        <v>153</v>
      </c>
      <c r="G369" s="0" t="n">
        <f aca="false">ROUNDUP(C369*1.236/75,0)</f>
        <v>1</v>
      </c>
      <c r="H369" s="0" t="n">
        <f aca="false">IF(MOD(F369-1,2)=0,SUMPRODUCT(($A$2:$A$644=A369)*(ROW($A$2:$A$644)&gt;=ROW())*(ROW($A$2:$A$644)&lt;ROW()+2)*$C$2:$C$644),"")</f>
        <v>84</v>
      </c>
      <c r="I369" s="0" t="n">
        <f aca="false">IF(H369="","",ROUNDUP(H369/75,0))</f>
        <v>2</v>
      </c>
      <c r="J369" s="0" t="str">
        <f aca="false">IF(MOD(F369-1,3)=0,SUMPRODUCT(($A$2:$A$644=A369)*(ROW($A$2:$A$644)&gt;=ROW())*(ROW($A$2:$A$644)&lt;ROW()+3)*$C$2:$C$644),"")</f>
        <v/>
      </c>
      <c r="K369" s="0" t="str">
        <f aca="false">IF(J369="","",ROUNDUP(J369/75,0))</f>
        <v/>
      </c>
      <c r="L369" s="0" t="str">
        <f aca="false">IF(MOD(F369-1,5)=0,SUMPRODUCT(($A$2:$A$644=A369)*(ROW($A$2:$A$644)&gt;=ROW())*(ROW($A$2:$A$644)&lt;ROW()+5)*$C$2:$C$644),"")</f>
        <v/>
      </c>
      <c r="M369" s="0" t="str">
        <f aca="false">IF(L369="","",ROUNDUP(L369/75,0))</f>
        <v/>
      </c>
      <c r="N369" s="0" t="str">
        <f aca="false">IF(MOD(F369-1,7)=0,SUMPRODUCT(($A$2:$A$644=A369)*(ROW($A$2:$A$644)&gt;=ROW())*(ROW($A$2:$A$644)&lt;ROW()+7)*$C$2:$C$644),"")</f>
        <v/>
      </c>
      <c r="O369" s="0" t="str">
        <f aca="false">IF(N369="","",ROUNDUP(N369/75,0))</f>
        <v/>
      </c>
    </row>
    <row r="370" customFormat="false" ht="15" hidden="false" customHeight="false" outlineLevel="0" collapsed="false">
      <c r="A370" s="0" t="s">
        <v>249</v>
      </c>
      <c r="B370" s="0" t="s">
        <v>403</v>
      </c>
      <c r="C370" s="0" t="n">
        <v>42</v>
      </c>
      <c r="D370" s="0" t="n">
        <v>1</v>
      </c>
      <c r="E370" s="0" t="n">
        <v>33</v>
      </c>
      <c r="F370" s="0" t="n">
        <f aca="false">COUNTIF($A$2:A370,A370)</f>
        <v>154</v>
      </c>
      <c r="G370" s="0" t="n">
        <f aca="false">ROUNDUP(C370*1.236/75,0)</f>
        <v>1</v>
      </c>
      <c r="H370" s="0" t="str">
        <f aca="false">IF(MOD(F370-1,2)=0,SUMPRODUCT(($A$2:$A$644=A370)*(ROW($A$2:$A$644)&gt;=ROW())*(ROW($A$2:$A$644)&lt;ROW()+2)*$C$2:$C$644),"")</f>
        <v/>
      </c>
      <c r="I370" s="0" t="str">
        <f aca="false">IF(H370="","",ROUNDUP(H370/75,0))</f>
        <v/>
      </c>
      <c r="J370" s="0" t="n">
        <f aca="false">IF(MOD(F370-1,3)=0,SUMPRODUCT(($A$2:$A$644=A370)*(ROW($A$2:$A$644)&gt;=ROW())*(ROW($A$2:$A$644)&lt;ROW()+3)*$C$2:$C$644),"")</f>
        <v>168</v>
      </c>
      <c r="K370" s="0" t="n">
        <f aca="false">IF(J370="","",ROUNDUP(J370/75,0))</f>
        <v>3</v>
      </c>
      <c r="L370" s="0" t="str">
        <f aca="false">IF(MOD(F370-1,5)=0,SUMPRODUCT(($A$2:$A$644=A370)*(ROW($A$2:$A$644)&gt;=ROW())*(ROW($A$2:$A$644)&lt;ROW()+5)*$C$2:$C$644),"")</f>
        <v/>
      </c>
      <c r="M370" s="0" t="str">
        <f aca="false">IF(L370="","",ROUNDUP(L370/75,0))</f>
        <v/>
      </c>
      <c r="N370" s="0" t="str">
        <f aca="false">IF(MOD(F370-1,7)=0,SUMPRODUCT(($A$2:$A$644=A370)*(ROW($A$2:$A$644)&gt;=ROW())*(ROW($A$2:$A$644)&lt;ROW()+7)*$C$2:$C$644),"")</f>
        <v/>
      </c>
      <c r="O370" s="0" t="str">
        <f aca="false">IF(N370="","",ROUNDUP(N370/75,0))</f>
        <v/>
      </c>
    </row>
    <row r="371" customFormat="false" ht="15" hidden="false" customHeight="false" outlineLevel="0" collapsed="false">
      <c r="A371" s="0" t="s">
        <v>249</v>
      </c>
      <c r="B371" s="0" t="s">
        <v>404</v>
      </c>
      <c r="C371" s="0" t="n">
        <v>90</v>
      </c>
      <c r="D371" s="0" t="n">
        <v>2</v>
      </c>
      <c r="E371" s="0" t="n">
        <v>60</v>
      </c>
      <c r="F371" s="0" t="n">
        <f aca="false">COUNTIF($A$2:A371,A371)</f>
        <v>155</v>
      </c>
      <c r="G371" s="0" t="n">
        <f aca="false">ROUNDUP(C371*1.236/75,0)</f>
        <v>2</v>
      </c>
      <c r="H371" s="0" t="n">
        <f aca="false">IF(MOD(F371-1,2)=0,SUMPRODUCT(($A$2:$A$644=A371)*(ROW($A$2:$A$644)&gt;=ROW())*(ROW($A$2:$A$644)&lt;ROW()+2)*$C$2:$C$644),"")</f>
        <v>126</v>
      </c>
      <c r="I371" s="0" t="n">
        <f aca="false">IF(H371="","",ROUNDUP(H371/75,0))</f>
        <v>2</v>
      </c>
      <c r="J371" s="0" t="str">
        <f aca="false">IF(MOD(F371-1,3)=0,SUMPRODUCT(($A$2:$A$644=A371)*(ROW($A$2:$A$644)&gt;=ROW())*(ROW($A$2:$A$644)&lt;ROW()+3)*$C$2:$C$644),"")</f>
        <v/>
      </c>
      <c r="K371" s="0" t="str">
        <f aca="false">IF(J371="","",ROUNDUP(J371/75,0))</f>
        <v/>
      </c>
      <c r="L371" s="0" t="str">
        <f aca="false">IF(MOD(F371-1,5)=0,SUMPRODUCT(($A$2:$A$644=A371)*(ROW($A$2:$A$644)&gt;=ROW())*(ROW($A$2:$A$644)&lt;ROW()+5)*$C$2:$C$644),"")</f>
        <v/>
      </c>
      <c r="M371" s="0" t="str">
        <f aca="false">IF(L371="","",ROUNDUP(L371/75,0))</f>
        <v/>
      </c>
      <c r="N371" s="0" t="n">
        <f aca="false">IF(MOD(F371-1,7)=0,SUMPRODUCT(($A$2:$A$644=A371)*(ROW($A$2:$A$644)&gt;=ROW())*(ROW($A$2:$A$644)&lt;ROW()+7)*$C$2:$C$644),"")</f>
        <v>288</v>
      </c>
      <c r="O371" s="0" t="n">
        <f aca="false">IF(N371="","",ROUNDUP(N371/75,0))</f>
        <v>4</v>
      </c>
    </row>
    <row r="372" customFormat="false" ht="15" hidden="false" customHeight="false" outlineLevel="0" collapsed="false">
      <c r="A372" s="0" t="s">
        <v>249</v>
      </c>
      <c r="B372" s="0" t="s">
        <v>405</v>
      </c>
      <c r="C372" s="0" t="n">
        <v>36</v>
      </c>
      <c r="D372" s="0" t="n">
        <v>1</v>
      </c>
      <c r="E372" s="0" t="n">
        <v>39</v>
      </c>
      <c r="F372" s="0" t="n">
        <f aca="false">COUNTIF($A$2:A372,A372)</f>
        <v>156</v>
      </c>
      <c r="G372" s="0" t="n">
        <f aca="false">ROUNDUP(C372*1.236/75,0)</f>
        <v>1</v>
      </c>
      <c r="H372" s="0" t="str">
        <f aca="false">IF(MOD(F372-1,2)=0,SUMPRODUCT(($A$2:$A$644=A372)*(ROW($A$2:$A$644)&gt;=ROW())*(ROW($A$2:$A$644)&lt;ROW()+2)*$C$2:$C$644),"")</f>
        <v/>
      </c>
      <c r="I372" s="0" t="str">
        <f aca="false">IF(H372="","",ROUNDUP(H372/75,0))</f>
        <v/>
      </c>
      <c r="J372" s="0" t="str">
        <f aca="false">IF(MOD(F372-1,3)=0,SUMPRODUCT(($A$2:$A$644=A372)*(ROW($A$2:$A$644)&gt;=ROW())*(ROW($A$2:$A$644)&lt;ROW()+3)*$C$2:$C$644),"")</f>
        <v/>
      </c>
      <c r="K372" s="0" t="str">
        <f aca="false">IF(J372="","",ROUNDUP(J372/75,0))</f>
        <v/>
      </c>
      <c r="L372" s="0" t="n">
        <f aca="false">IF(MOD(F372-1,5)=0,SUMPRODUCT(($A$2:$A$644=A372)*(ROW($A$2:$A$644)&gt;=ROW())*(ROW($A$2:$A$644)&lt;ROW()+5)*$C$2:$C$644),"")</f>
        <v>162</v>
      </c>
      <c r="M372" s="0" t="n">
        <f aca="false">IF(L372="","",ROUNDUP(L372/75,0))</f>
        <v>3</v>
      </c>
      <c r="N372" s="0" t="str">
        <f aca="false">IF(MOD(F372-1,7)=0,SUMPRODUCT(($A$2:$A$644=A372)*(ROW($A$2:$A$644)&gt;=ROW())*(ROW($A$2:$A$644)&lt;ROW()+7)*$C$2:$C$644),"")</f>
        <v/>
      </c>
      <c r="O372" s="0" t="str">
        <f aca="false">IF(N372="","",ROUNDUP(N372/75,0))</f>
        <v/>
      </c>
    </row>
    <row r="373" customFormat="false" ht="15" hidden="false" customHeight="false" outlineLevel="0" collapsed="false">
      <c r="A373" s="0" t="s">
        <v>249</v>
      </c>
      <c r="B373" s="0" t="s">
        <v>406</v>
      </c>
      <c r="C373" s="0" t="n">
        <v>48</v>
      </c>
      <c r="D373" s="0" t="n">
        <v>1</v>
      </c>
      <c r="E373" s="0" t="n">
        <v>27</v>
      </c>
      <c r="F373" s="0" t="n">
        <f aca="false">COUNTIF($A$2:A373,A373)</f>
        <v>157</v>
      </c>
      <c r="G373" s="0" t="n">
        <f aca="false">ROUNDUP(C373*1.236/75,0)</f>
        <v>1</v>
      </c>
      <c r="H373" s="0" t="n">
        <f aca="false">IF(MOD(F373-1,2)=0,SUMPRODUCT(($A$2:$A$644=A373)*(ROW($A$2:$A$644)&gt;=ROW())*(ROW($A$2:$A$644)&lt;ROW()+2)*$C$2:$C$644),"")</f>
        <v>54</v>
      </c>
      <c r="I373" s="0" t="n">
        <f aca="false">IF(H373="","",ROUNDUP(H373/75,0))</f>
        <v>1</v>
      </c>
      <c r="J373" s="0" t="n">
        <f aca="false">IF(MOD(F373-1,3)=0,SUMPRODUCT(($A$2:$A$644=A373)*(ROW($A$2:$A$644)&gt;=ROW())*(ROW($A$2:$A$644)&lt;ROW()+3)*$C$2:$C$644),"")</f>
        <v>72</v>
      </c>
      <c r="K373" s="0" t="n">
        <f aca="false">IF(J373="","",ROUNDUP(J373/75,0))</f>
        <v>1</v>
      </c>
      <c r="L373" s="0" t="str">
        <f aca="false">IF(MOD(F373-1,5)=0,SUMPRODUCT(($A$2:$A$644=A373)*(ROW($A$2:$A$644)&gt;=ROW())*(ROW($A$2:$A$644)&lt;ROW()+5)*$C$2:$C$644),"")</f>
        <v/>
      </c>
      <c r="M373" s="0" t="str">
        <f aca="false">IF(L373="","",ROUNDUP(L373/75,0))</f>
        <v/>
      </c>
      <c r="N373" s="0" t="str">
        <f aca="false">IF(MOD(F373-1,7)=0,SUMPRODUCT(($A$2:$A$644=A373)*(ROW($A$2:$A$644)&gt;=ROW())*(ROW($A$2:$A$644)&lt;ROW()+7)*$C$2:$C$644),"")</f>
        <v/>
      </c>
      <c r="O373" s="0" t="str">
        <f aca="false">IF(N373="","",ROUNDUP(N373/75,0))</f>
        <v/>
      </c>
    </row>
    <row r="374" customFormat="false" ht="15" hidden="false" customHeight="false" outlineLevel="0" collapsed="false">
      <c r="A374" s="0" t="s">
        <v>249</v>
      </c>
      <c r="B374" s="0" t="s">
        <v>407</v>
      </c>
      <c r="C374" s="0" t="n">
        <v>6</v>
      </c>
      <c r="D374" s="0" t="n">
        <v>1</v>
      </c>
      <c r="E374" s="0" t="n">
        <v>69</v>
      </c>
      <c r="F374" s="0" t="n">
        <f aca="false">COUNTIF($A$2:A374,A374)</f>
        <v>158</v>
      </c>
      <c r="G374" s="0" t="n">
        <f aca="false">ROUNDUP(C374*1.236/75,0)</f>
        <v>1</v>
      </c>
      <c r="H374" s="0" t="str">
        <f aca="false">IF(MOD(F374-1,2)=0,SUMPRODUCT(($A$2:$A$644=A374)*(ROW($A$2:$A$644)&gt;=ROW())*(ROW($A$2:$A$644)&lt;ROW()+2)*$C$2:$C$644),"")</f>
        <v/>
      </c>
      <c r="I374" s="0" t="str">
        <f aca="false">IF(H374="","",ROUNDUP(H374/75,0))</f>
        <v/>
      </c>
      <c r="J374" s="0" t="str">
        <f aca="false">IF(MOD(F374-1,3)=0,SUMPRODUCT(($A$2:$A$644=A374)*(ROW($A$2:$A$644)&gt;=ROW())*(ROW($A$2:$A$644)&lt;ROW()+3)*$C$2:$C$644),"")</f>
        <v/>
      </c>
      <c r="K374" s="0" t="str">
        <f aca="false">IF(J374="","",ROUNDUP(J374/75,0))</f>
        <v/>
      </c>
      <c r="L374" s="0" t="str">
        <f aca="false">IF(MOD(F374-1,5)=0,SUMPRODUCT(($A$2:$A$644=A374)*(ROW($A$2:$A$644)&gt;=ROW())*(ROW($A$2:$A$644)&lt;ROW()+5)*$C$2:$C$644),"")</f>
        <v/>
      </c>
      <c r="M374" s="0" t="str">
        <f aca="false">IF(L374="","",ROUNDUP(L374/75,0))</f>
        <v/>
      </c>
      <c r="N374" s="0" t="str">
        <f aca="false">IF(MOD(F374-1,7)=0,SUMPRODUCT(($A$2:$A$644=A374)*(ROW($A$2:$A$644)&gt;=ROW())*(ROW($A$2:$A$644)&lt;ROW()+7)*$C$2:$C$644),"")</f>
        <v/>
      </c>
      <c r="O374" s="0" t="str">
        <f aca="false">IF(N374="","",ROUNDUP(N374/75,0))</f>
        <v/>
      </c>
    </row>
    <row r="375" customFormat="false" ht="15" hidden="false" customHeight="false" outlineLevel="0" collapsed="false">
      <c r="A375" s="0" t="s">
        <v>249</v>
      </c>
      <c r="B375" s="0" t="s">
        <v>408</v>
      </c>
      <c r="C375" s="0" t="n">
        <v>18</v>
      </c>
      <c r="D375" s="0" t="n">
        <v>1</v>
      </c>
      <c r="E375" s="0" t="n">
        <v>57</v>
      </c>
      <c r="F375" s="0" t="n">
        <f aca="false">COUNTIF($A$2:A375,A375)</f>
        <v>159</v>
      </c>
      <c r="G375" s="0" t="n">
        <f aca="false">ROUNDUP(C375*1.236/75,0)</f>
        <v>1</v>
      </c>
      <c r="H375" s="0" t="n">
        <f aca="false">IF(MOD(F375-1,2)=0,SUMPRODUCT(($A$2:$A$644=A375)*(ROW($A$2:$A$644)&gt;=ROW())*(ROW($A$2:$A$644)&lt;ROW()+2)*$C$2:$C$644),"")</f>
        <v>72</v>
      </c>
      <c r="I375" s="0" t="n">
        <f aca="false">IF(H375="","",ROUNDUP(H375/75,0))</f>
        <v>1</v>
      </c>
      <c r="J375" s="0" t="str">
        <f aca="false">IF(MOD(F375-1,3)=0,SUMPRODUCT(($A$2:$A$644=A375)*(ROW($A$2:$A$644)&gt;=ROW())*(ROW($A$2:$A$644)&lt;ROW()+3)*$C$2:$C$644),"")</f>
        <v/>
      </c>
      <c r="K375" s="0" t="str">
        <f aca="false">IF(J375="","",ROUNDUP(J375/75,0))</f>
        <v/>
      </c>
      <c r="L375" s="0" t="str">
        <f aca="false">IF(MOD(F375-1,5)=0,SUMPRODUCT(($A$2:$A$644=A375)*(ROW($A$2:$A$644)&gt;=ROW())*(ROW($A$2:$A$644)&lt;ROW()+5)*$C$2:$C$644),"")</f>
        <v/>
      </c>
      <c r="M375" s="0" t="str">
        <f aca="false">IF(L375="","",ROUNDUP(L375/75,0))</f>
        <v/>
      </c>
      <c r="N375" s="0" t="str">
        <f aca="false">IF(MOD(F375-1,7)=0,SUMPRODUCT(($A$2:$A$644=A375)*(ROW($A$2:$A$644)&gt;=ROW())*(ROW($A$2:$A$644)&lt;ROW()+7)*$C$2:$C$644),"")</f>
        <v/>
      </c>
      <c r="O375" s="0" t="str">
        <f aca="false">IF(N375="","",ROUNDUP(N375/75,0))</f>
        <v/>
      </c>
    </row>
    <row r="376" customFormat="false" ht="15" hidden="false" customHeight="false" outlineLevel="0" collapsed="false">
      <c r="A376" s="0" t="s">
        <v>249</v>
      </c>
      <c r="B376" s="0" t="s">
        <v>409</v>
      </c>
      <c r="C376" s="0" t="n">
        <v>54</v>
      </c>
      <c r="D376" s="0" t="n">
        <v>1</v>
      </c>
      <c r="E376" s="0" t="n">
        <v>21</v>
      </c>
      <c r="F376" s="0" t="n">
        <f aca="false">COUNTIF($A$2:A376,A376)</f>
        <v>160</v>
      </c>
      <c r="G376" s="0" t="n">
        <f aca="false">ROUNDUP(C376*1.236/75,0)</f>
        <v>1</v>
      </c>
      <c r="H376" s="0" t="str">
        <f aca="false">IF(MOD(F376-1,2)=0,SUMPRODUCT(($A$2:$A$644=A376)*(ROW($A$2:$A$644)&gt;=ROW())*(ROW($A$2:$A$644)&lt;ROW()+2)*$C$2:$C$644),"")</f>
        <v/>
      </c>
      <c r="I376" s="0" t="str">
        <f aca="false">IF(H376="","",ROUNDUP(H376/75,0))</f>
        <v/>
      </c>
      <c r="J376" s="0" t="n">
        <f aca="false">IF(MOD(F376-1,3)=0,SUMPRODUCT(($A$2:$A$644=A376)*(ROW($A$2:$A$644)&gt;=ROW())*(ROW($A$2:$A$644)&lt;ROW()+3)*$C$2:$C$644),"")</f>
        <v>114</v>
      </c>
      <c r="K376" s="0" t="n">
        <f aca="false">IF(J376="","",ROUNDUP(J376/75,0))</f>
        <v>2</v>
      </c>
      <c r="L376" s="0" t="str">
        <f aca="false">IF(MOD(F376-1,5)=0,SUMPRODUCT(($A$2:$A$644=A376)*(ROW($A$2:$A$644)&gt;=ROW())*(ROW($A$2:$A$644)&lt;ROW()+5)*$C$2:$C$644),"")</f>
        <v/>
      </c>
      <c r="M376" s="0" t="str">
        <f aca="false">IF(L376="","",ROUNDUP(L376/75,0))</f>
        <v/>
      </c>
      <c r="N376" s="0" t="str">
        <f aca="false">IF(MOD(F376-1,7)=0,SUMPRODUCT(($A$2:$A$644=A376)*(ROW($A$2:$A$644)&gt;=ROW())*(ROW($A$2:$A$644)&lt;ROW()+7)*$C$2:$C$644),"")</f>
        <v/>
      </c>
      <c r="O376" s="0" t="str">
        <f aca="false">IF(N376="","",ROUNDUP(N376/75,0))</f>
        <v/>
      </c>
    </row>
    <row r="377" customFormat="false" ht="15" hidden="false" customHeight="false" outlineLevel="0" collapsed="false">
      <c r="A377" s="0" t="s">
        <v>249</v>
      </c>
      <c r="B377" s="0" t="s">
        <v>410</v>
      </c>
      <c r="C377" s="0" t="n">
        <v>36</v>
      </c>
      <c r="D377" s="0" t="n">
        <v>1</v>
      </c>
      <c r="E377" s="0" t="n">
        <v>39</v>
      </c>
      <c r="F377" s="0" t="n">
        <f aca="false">COUNTIF($A$2:A377,A377)</f>
        <v>161</v>
      </c>
      <c r="G377" s="0" t="n">
        <f aca="false">ROUNDUP(C377*1.236/75,0)</f>
        <v>1</v>
      </c>
      <c r="H377" s="0" t="n">
        <f aca="false">IF(MOD(F377-1,2)=0,SUMPRODUCT(($A$2:$A$644=A377)*(ROW($A$2:$A$644)&gt;=ROW())*(ROW($A$2:$A$644)&lt;ROW()+2)*$C$2:$C$644),"")</f>
        <v>60</v>
      </c>
      <c r="I377" s="0" t="n">
        <f aca="false">IF(H377="","",ROUNDUP(H377/75,0))</f>
        <v>1</v>
      </c>
      <c r="J377" s="0" t="str">
        <f aca="false">IF(MOD(F377-1,3)=0,SUMPRODUCT(($A$2:$A$644=A377)*(ROW($A$2:$A$644)&gt;=ROW())*(ROW($A$2:$A$644)&lt;ROW()+3)*$C$2:$C$644),"")</f>
        <v/>
      </c>
      <c r="K377" s="0" t="str">
        <f aca="false">IF(J377="","",ROUNDUP(J377/75,0))</f>
        <v/>
      </c>
      <c r="L377" s="0" t="n">
        <f aca="false">IF(MOD(F377-1,5)=0,SUMPRODUCT(($A$2:$A$644=A377)*(ROW($A$2:$A$644)&gt;=ROW())*(ROW($A$2:$A$644)&lt;ROW()+5)*$C$2:$C$644),"")</f>
        <v>174</v>
      </c>
      <c r="M377" s="0" t="n">
        <f aca="false">IF(L377="","",ROUNDUP(L377/75,0))</f>
        <v>3</v>
      </c>
      <c r="N377" s="0" t="str">
        <f aca="false">IF(MOD(F377-1,7)=0,SUMPRODUCT(($A$2:$A$644=A377)*(ROW($A$2:$A$644)&gt;=ROW())*(ROW($A$2:$A$644)&lt;ROW()+7)*$C$2:$C$644),"")</f>
        <v/>
      </c>
      <c r="O377" s="0" t="str">
        <f aca="false">IF(N377="","",ROUNDUP(N377/75,0))</f>
        <v/>
      </c>
    </row>
    <row r="378" customFormat="false" ht="15" hidden="false" customHeight="false" outlineLevel="0" collapsed="false">
      <c r="A378" s="0" t="s">
        <v>249</v>
      </c>
      <c r="B378" s="0" t="s">
        <v>411</v>
      </c>
      <c r="C378" s="0" t="n">
        <v>24</v>
      </c>
      <c r="D378" s="0" t="n">
        <v>1</v>
      </c>
      <c r="E378" s="0" t="n">
        <v>51</v>
      </c>
      <c r="F378" s="0" t="n">
        <f aca="false">COUNTIF($A$2:A378,A378)</f>
        <v>162</v>
      </c>
      <c r="G378" s="0" t="n">
        <f aca="false">ROUNDUP(C378*1.236/75,0)</f>
        <v>1</v>
      </c>
      <c r="H378" s="0" t="str">
        <f aca="false">IF(MOD(F378-1,2)=0,SUMPRODUCT(($A$2:$A$644=A378)*(ROW($A$2:$A$644)&gt;=ROW())*(ROW($A$2:$A$644)&lt;ROW()+2)*$C$2:$C$644),"")</f>
        <v/>
      </c>
      <c r="I378" s="0" t="str">
        <f aca="false">IF(H378="","",ROUNDUP(H378/75,0))</f>
        <v/>
      </c>
      <c r="J378" s="0" t="str">
        <f aca="false">IF(MOD(F378-1,3)=0,SUMPRODUCT(($A$2:$A$644=A378)*(ROW($A$2:$A$644)&gt;=ROW())*(ROW($A$2:$A$644)&lt;ROW()+3)*$C$2:$C$644),"")</f>
        <v/>
      </c>
      <c r="K378" s="0" t="str">
        <f aca="false">IF(J378="","",ROUNDUP(J378/75,0))</f>
        <v/>
      </c>
      <c r="L378" s="0" t="str">
        <f aca="false">IF(MOD(F378-1,5)=0,SUMPRODUCT(($A$2:$A$644=A378)*(ROW($A$2:$A$644)&gt;=ROW())*(ROW($A$2:$A$644)&lt;ROW()+5)*$C$2:$C$644),"")</f>
        <v/>
      </c>
      <c r="M378" s="0" t="str">
        <f aca="false">IF(L378="","",ROUNDUP(L378/75,0))</f>
        <v/>
      </c>
      <c r="N378" s="0" t="n">
        <f aca="false">IF(MOD(F378-1,7)=0,SUMPRODUCT(($A$2:$A$644=A378)*(ROW($A$2:$A$644)&gt;=ROW())*(ROW($A$2:$A$644)&lt;ROW()+7)*$C$2:$C$644),"")</f>
        <v>264</v>
      </c>
      <c r="O378" s="0" t="n">
        <f aca="false">IF(N378="","",ROUNDUP(N378/75,0))</f>
        <v>4</v>
      </c>
    </row>
    <row r="379" customFormat="false" ht="15" hidden="false" customHeight="false" outlineLevel="0" collapsed="false">
      <c r="A379" s="0" t="s">
        <v>249</v>
      </c>
      <c r="B379" s="0" t="s">
        <v>412</v>
      </c>
      <c r="C379" s="0" t="n">
        <v>48</v>
      </c>
      <c r="D379" s="0" t="n">
        <v>1</v>
      </c>
      <c r="E379" s="0" t="n">
        <v>27</v>
      </c>
      <c r="F379" s="0" t="n">
        <f aca="false">COUNTIF($A$2:A379,A379)</f>
        <v>163</v>
      </c>
      <c r="G379" s="0" t="n">
        <f aca="false">ROUNDUP(C379*1.236/75,0)</f>
        <v>1</v>
      </c>
      <c r="H379" s="0" t="n">
        <f aca="false">IF(MOD(F379-1,2)=0,SUMPRODUCT(($A$2:$A$644=A379)*(ROW($A$2:$A$644)&gt;=ROW())*(ROW($A$2:$A$644)&lt;ROW()+2)*$C$2:$C$644),"")</f>
        <v>72</v>
      </c>
      <c r="I379" s="0" t="n">
        <f aca="false">IF(H379="","",ROUNDUP(H379/75,0))</f>
        <v>1</v>
      </c>
      <c r="J379" s="0" t="n">
        <f aca="false">IF(MOD(F379-1,3)=0,SUMPRODUCT(($A$2:$A$644=A379)*(ROW($A$2:$A$644)&gt;=ROW())*(ROW($A$2:$A$644)&lt;ROW()+3)*$C$2:$C$644),"")</f>
        <v>114</v>
      </c>
      <c r="K379" s="0" t="n">
        <f aca="false">IF(J379="","",ROUNDUP(J379/75,0))</f>
        <v>2</v>
      </c>
      <c r="L379" s="0" t="str">
        <f aca="false">IF(MOD(F379-1,5)=0,SUMPRODUCT(($A$2:$A$644=A379)*(ROW($A$2:$A$644)&gt;=ROW())*(ROW($A$2:$A$644)&lt;ROW()+5)*$C$2:$C$644),"")</f>
        <v/>
      </c>
      <c r="M379" s="0" t="str">
        <f aca="false">IF(L379="","",ROUNDUP(L379/75,0))</f>
        <v/>
      </c>
      <c r="N379" s="0" t="str">
        <f aca="false">IF(MOD(F379-1,7)=0,SUMPRODUCT(($A$2:$A$644=A379)*(ROW($A$2:$A$644)&gt;=ROW())*(ROW($A$2:$A$644)&lt;ROW()+7)*$C$2:$C$644),"")</f>
        <v/>
      </c>
      <c r="O379" s="0" t="str">
        <f aca="false">IF(N379="","",ROUNDUP(N379/75,0))</f>
        <v/>
      </c>
    </row>
    <row r="380" customFormat="false" ht="15" hidden="false" customHeight="false" outlineLevel="0" collapsed="false">
      <c r="A380" s="0" t="s">
        <v>249</v>
      </c>
      <c r="B380" s="0" t="s">
        <v>413</v>
      </c>
      <c r="C380" s="0" t="n">
        <v>24</v>
      </c>
      <c r="D380" s="0" t="n">
        <v>1</v>
      </c>
      <c r="E380" s="0" t="n">
        <v>51</v>
      </c>
      <c r="F380" s="0" t="n">
        <f aca="false">COUNTIF($A$2:A380,A380)</f>
        <v>164</v>
      </c>
      <c r="G380" s="0" t="n">
        <f aca="false">ROUNDUP(C380*1.236/75,0)</f>
        <v>1</v>
      </c>
      <c r="H380" s="0" t="str">
        <f aca="false">IF(MOD(F380-1,2)=0,SUMPRODUCT(($A$2:$A$644=A380)*(ROW($A$2:$A$644)&gt;=ROW())*(ROW($A$2:$A$644)&lt;ROW()+2)*$C$2:$C$644),"")</f>
        <v/>
      </c>
      <c r="I380" s="0" t="str">
        <f aca="false">IF(H380="","",ROUNDUP(H380/75,0))</f>
        <v/>
      </c>
      <c r="J380" s="0" t="str">
        <f aca="false">IF(MOD(F380-1,3)=0,SUMPRODUCT(($A$2:$A$644=A380)*(ROW($A$2:$A$644)&gt;=ROW())*(ROW($A$2:$A$644)&lt;ROW()+3)*$C$2:$C$644),"")</f>
        <v/>
      </c>
      <c r="K380" s="0" t="str">
        <f aca="false">IF(J380="","",ROUNDUP(J380/75,0))</f>
        <v/>
      </c>
      <c r="L380" s="0" t="str">
        <f aca="false">IF(MOD(F380-1,5)=0,SUMPRODUCT(($A$2:$A$644=A380)*(ROW($A$2:$A$644)&gt;=ROW())*(ROW($A$2:$A$644)&lt;ROW()+5)*$C$2:$C$644),"")</f>
        <v/>
      </c>
      <c r="M380" s="0" t="str">
        <f aca="false">IF(L380="","",ROUNDUP(L380/75,0))</f>
        <v/>
      </c>
      <c r="N380" s="0" t="str">
        <f aca="false">IF(MOD(F380-1,7)=0,SUMPRODUCT(($A$2:$A$644=A380)*(ROW($A$2:$A$644)&gt;=ROW())*(ROW($A$2:$A$644)&lt;ROW()+7)*$C$2:$C$644),"")</f>
        <v/>
      </c>
      <c r="O380" s="0" t="str">
        <f aca="false">IF(N380="","",ROUNDUP(N380/75,0))</f>
        <v/>
      </c>
    </row>
    <row r="381" customFormat="false" ht="15" hidden="false" customHeight="false" outlineLevel="0" collapsed="false">
      <c r="A381" s="0" t="s">
        <v>249</v>
      </c>
      <c r="B381" s="0" t="s">
        <v>414</v>
      </c>
      <c r="C381" s="0" t="n">
        <v>42</v>
      </c>
      <c r="D381" s="0" t="n">
        <v>1</v>
      </c>
      <c r="E381" s="0" t="n">
        <v>33</v>
      </c>
      <c r="F381" s="0" t="n">
        <f aca="false">COUNTIF($A$2:A381,A381)</f>
        <v>165</v>
      </c>
      <c r="G381" s="0" t="n">
        <f aca="false">ROUNDUP(C381*1.236/75,0)</f>
        <v>1</v>
      </c>
      <c r="H381" s="0" t="n">
        <f aca="false">IF(MOD(F381-1,2)=0,SUMPRODUCT(($A$2:$A$644=A381)*(ROW($A$2:$A$644)&gt;=ROW())*(ROW($A$2:$A$644)&lt;ROW()+2)*$C$2:$C$644),"")</f>
        <v>54</v>
      </c>
      <c r="I381" s="0" t="n">
        <f aca="false">IF(H381="","",ROUNDUP(H381/75,0))</f>
        <v>1</v>
      </c>
      <c r="J381" s="0" t="str">
        <f aca="false">IF(MOD(F381-1,3)=0,SUMPRODUCT(($A$2:$A$644=A381)*(ROW($A$2:$A$644)&gt;=ROW())*(ROW($A$2:$A$644)&lt;ROW()+3)*$C$2:$C$644),"")</f>
        <v/>
      </c>
      <c r="K381" s="0" t="str">
        <f aca="false">IF(J381="","",ROUNDUP(J381/75,0))</f>
        <v/>
      </c>
      <c r="L381" s="0" t="str">
        <f aca="false">IF(MOD(F381-1,5)=0,SUMPRODUCT(($A$2:$A$644=A381)*(ROW($A$2:$A$644)&gt;=ROW())*(ROW($A$2:$A$644)&lt;ROW()+5)*$C$2:$C$644),"")</f>
        <v/>
      </c>
      <c r="M381" s="0" t="str">
        <f aca="false">IF(L381="","",ROUNDUP(L381/75,0))</f>
        <v/>
      </c>
      <c r="N381" s="0" t="str">
        <f aca="false">IF(MOD(F381-1,7)=0,SUMPRODUCT(($A$2:$A$644=A381)*(ROW($A$2:$A$644)&gt;=ROW())*(ROW($A$2:$A$644)&lt;ROW()+7)*$C$2:$C$644),"")</f>
        <v/>
      </c>
      <c r="O381" s="0" t="str">
        <f aca="false">IF(N381="","",ROUNDUP(N381/75,0))</f>
        <v/>
      </c>
    </row>
    <row r="382" customFormat="false" ht="15" hidden="false" customHeight="false" outlineLevel="0" collapsed="false">
      <c r="A382" s="0" t="s">
        <v>249</v>
      </c>
      <c r="B382" s="0" t="s">
        <v>415</v>
      </c>
      <c r="C382" s="0" t="n">
        <v>12</v>
      </c>
      <c r="D382" s="0" t="n">
        <v>1</v>
      </c>
      <c r="E382" s="0" t="n">
        <v>63</v>
      </c>
      <c r="F382" s="0" t="n">
        <f aca="false">COUNTIF($A$2:A382,A382)</f>
        <v>166</v>
      </c>
      <c r="G382" s="0" t="n">
        <f aca="false">ROUNDUP(C382*1.236/75,0)</f>
        <v>1</v>
      </c>
      <c r="H382" s="0" t="str">
        <f aca="false">IF(MOD(F382-1,2)=0,SUMPRODUCT(($A$2:$A$644=A382)*(ROW($A$2:$A$644)&gt;=ROW())*(ROW($A$2:$A$644)&lt;ROW()+2)*$C$2:$C$644),"")</f>
        <v/>
      </c>
      <c r="I382" s="0" t="str">
        <f aca="false">IF(H382="","",ROUNDUP(H382/75,0))</f>
        <v/>
      </c>
      <c r="J382" s="0" t="n">
        <f aca="false">IF(MOD(F382-1,3)=0,SUMPRODUCT(($A$2:$A$644=A382)*(ROW($A$2:$A$644)&gt;=ROW())*(ROW($A$2:$A$644)&lt;ROW()+3)*$C$2:$C$644),"")</f>
        <v>126</v>
      </c>
      <c r="K382" s="0" t="n">
        <f aca="false">IF(J382="","",ROUNDUP(J382/75,0))</f>
        <v>2</v>
      </c>
      <c r="L382" s="0" t="n">
        <f aca="false">IF(MOD(F382-1,5)=0,SUMPRODUCT(($A$2:$A$644=A382)*(ROW($A$2:$A$644)&gt;=ROW())*(ROW($A$2:$A$644)&lt;ROW()+5)*$C$2:$C$644),"")</f>
        <v>168</v>
      </c>
      <c r="M382" s="0" t="n">
        <f aca="false">IF(L382="","",ROUNDUP(L382/75,0))</f>
        <v>3</v>
      </c>
      <c r="N382" s="0" t="str">
        <f aca="false">IF(MOD(F382-1,7)=0,SUMPRODUCT(($A$2:$A$644=A382)*(ROW($A$2:$A$644)&gt;=ROW())*(ROW($A$2:$A$644)&lt;ROW()+7)*$C$2:$C$644),"")</f>
        <v/>
      </c>
      <c r="O382" s="0" t="str">
        <f aca="false">IF(N382="","",ROUNDUP(N382/75,0))</f>
        <v/>
      </c>
    </row>
    <row r="383" customFormat="false" ht="15" hidden="false" customHeight="false" outlineLevel="0" collapsed="false">
      <c r="A383" s="0" t="s">
        <v>249</v>
      </c>
      <c r="B383" s="0" t="s">
        <v>416</v>
      </c>
      <c r="C383" s="0" t="n">
        <v>72</v>
      </c>
      <c r="D383" s="0" t="n">
        <v>1</v>
      </c>
      <c r="E383" s="0" t="n">
        <v>3</v>
      </c>
      <c r="F383" s="0" t="n">
        <f aca="false">COUNTIF($A$2:A383,A383)</f>
        <v>167</v>
      </c>
      <c r="G383" s="0" t="n">
        <f aca="false">ROUNDUP(C383*1.236/75,0)</f>
        <v>2</v>
      </c>
      <c r="H383" s="0" t="n">
        <f aca="false">IF(MOD(F383-1,2)=0,SUMPRODUCT(($A$2:$A$644=A383)*(ROW($A$2:$A$644)&gt;=ROW())*(ROW($A$2:$A$644)&lt;ROW()+2)*$C$2:$C$644),"")</f>
        <v>114</v>
      </c>
      <c r="I383" s="0" t="n">
        <f aca="false">IF(H383="","",ROUNDUP(H383/75,0))</f>
        <v>2</v>
      </c>
      <c r="J383" s="0" t="str">
        <f aca="false">IF(MOD(F383-1,3)=0,SUMPRODUCT(($A$2:$A$644=A383)*(ROW($A$2:$A$644)&gt;=ROW())*(ROW($A$2:$A$644)&lt;ROW()+3)*$C$2:$C$644),"")</f>
        <v/>
      </c>
      <c r="K383" s="0" t="str">
        <f aca="false">IF(J383="","",ROUNDUP(J383/75,0))</f>
        <v/>
      </c>
      <c r="L383" s="0" t="str">
        <f aca="false">IF(MOD(F383-1,5)=0,SUMPRODUCT(($A$2:$A$644=A383)*(ROW($A$2:$A$644)&gt;=ROW())*(ROW($A$2:$A$644)&lt;ROW()+5)*$C$2:$C$644),"")</f>
        <v/>
      </c>
      <c r="M383" s="0" t="str">
        <f aca="false">IF(L383="","",ROUNDUP(L383/75,0))</f>
        <v/>
      </c>
      <c r="N383" s="0" t="str">
        <f aca="false">IF(MOD(F383-1,7)=0,SUMPRODUCT(($A$2:$A$644=A383)*(ROW($A$2:$A$644)&gt;=ROW())*(ROW($A$2:$A$644)&lt;ROW()+7)*$C$2:$C$644),"")</f>
        <v/>
      </c>
      <c r="O383" s="0" t="str">
        <f aca="false">IF(N383="","",ROUNDUP(N383/75,0))</f>
        <v/>
      </c>
    </row>
    <row r="384" customFormat="false" ht="15" hidden="false" customHeight="false" outlineLevel="0" collapsed="false">
      <c r="A384" s="0" t="s">
        <v>249</v>
      </c>
      <c r="B384" s="0" t="s">
        <v>417</v>
      </c>
      <c r="C384" s="0" t="n">
        <v>42</v>
      </c>
      <c r="D384" s="0" t="n">
        <v>1</v>
      </c>
      <c r="E384" s="0" t="n">
        <v>33</v>
      </c>
      <c r="F384" s="0" t="n">
        <f aca="false">COUNTIF($A$2:A384,A384)</f>
        <v>168</v>
      </c>
      <c r="G384" s="0" t="n">
        <f aca="false">ROUNDUP(C384*1.236/75,0)</f>
        <v>1</v>
      </c>
      <c r="H384" s="0" t="str">
        <f aca="false">IF(MOD(F384-1,2)=0,SUMPRODUCT(($A$2:$A$644=A384)*(ROW($A$2:$A$644)&gt;=ROW())*(ROW($A$2:$A$644)&lt;ROW()+2)*$C$2:$C$644),"")</f>
        <v/>
      </c>
      <c r="I384" s="0" t="str">
        <f aca="false">IF(H384="","",ROUNDUP(H384/75,0))</f>
        <v/>
      </c>
      <c r="J384" s="0" t="str">
        <f aca="false">IF(MOD(F384-1,3)=0,SUMPRODUCT(($A$2:$A$644=A384)*(ROW($A$2:$A$644)&gt;=ROW())*(ROW($A$2:$A$644)&lt;ROW()+3)*$C$2:$C$644),"")</f>
        <v/>
      </c>
      <c r="K384" s="0" t="str">
        <f aca="false">IF(J384="","",ROUNDUP(J384/75,0))</f>
        <v/>
      </c>
      <c r="L384" s="0" t="str">
        <f aca="false">IF(MOD(F384-1,5)=0,SUMPRODUCT(($A$2:$A$644=A384)*(ROW($A$2:$A$644)&gt;=ROW())*(ROW($A$2:$A$644)&lt;ROW()+5)*$C$2:$C$644),"")</f>
        <v/>
      </c>
      <c r="M384" s="0" t="str">
        <f aca="false">IF(L384="","",ROUNDUP(L384/75,0))</f>
        <v/>
      </c>
      <c r="N384" s="0" t="str">
        <f aca="false">IF(MOD(F384-1,7)=0,SUMPRODUCT(($A$2:$A$644=A384)*(ROW($A$2:$A$644)&gt;=ROW())*(ROW($A$2:$A$644)&lt;ROW()+7)*$C$2:$C$644),"")</f>
        <v/>
      </c>
      <c r="O384" s="0" t="str">
        <f aca="false">IF(N384="","",ROUNDUP(N384/75,0))</f>
        <v/>
      </c>
    </row>
    <row r="385" customFormat="false" ht="15" hidden="false" customHeight="false" outlineLevel="0" collapsed="false">
      <c r="A385" s="0" t="s">
        <v>249</v>
      </c>
      <c r="B385" s="0" t="s">
        <v>418</v>
      </c>
      <c r="C385" s="0" t="n">
        <v>24</v>
      </c>
      <c r="D385" s="0" t="n">
        <v>1</v>
      </c>
      <c r="E385" s="0" t="n">
        <v>51</v>
      </c>
      <c r="F385" s="0" t="n">
        <f aca="false">COUNTIF($A$2:A385,A385)</f>
        <v>169</v>
      </c>
      <c r="G385" s="0" t="n">
        <f aca="false">ROUNDUP(C385*1.236/75,0)</f>
        <v>1</v>
      </c>
      <c r="H385" s="0" t="n">
        <f aca="false">IF(MOD(F385-1,2)=0,SUMPRODUCT(($A$2:$A$644=A385)*(ROW($A$2:$A$644)&gt;=ROW())*(ROW($A$2:$A$644)&lt;ROW()+2)*$C$2:$C$644),"")</f>
        <v>42</v>
      </c>
      <c r="I385" s="0" t="n">
        <f aca="false">IF(H385="","",ROUNDUP(H385/75,0))</f>
        <v>1</v>
      </c>
      <c r="J385" s="0" t="n">
        <f aca="false">IF(MOD(F385-1,3)=0,SUMPRODUCT(($A$2:$A$644=A385)*(ROW($A$2:$A$644)&gt;=ROW())*(ROW($A$2:$A$644)&lt;ROW()+3)*$C$2:$C$644),"")</f>
        <v>96</v>
      </c>
      <c r="K385" s="0" t="n">
        <f aca="false">IF(J385="","",ROUNDUP(J385/75,0))</f>
        <v>2</v>
      </c>
      <c r="L385" s="0" t="str">
        <f aca="false">IF(MOD(F385-1,5)=0,SUMPRODUCT(($A$2:$A$644=A385)*(ROW($A$2:$A$644)&gt;=ROW())*(ROW($A$2:$A$644)&lt;ROW()+5)*$C$2:$C$644),"")</f>
        <v/>
      </c>
      <c r="M385" s="0" t="str">
        <f aca="false">IF(L385="","",ROUNDUP(L385/75,0))</f>
        <v/>
      </c>
      <c r="N385" s="0" t="n">
        <f aca="false">IF(MOD(F385-1,7)=0,SUMPRODUCT(($A$2:$A$644=A385)*(ROW($A$2:$A$644)&gt;=ROW())*(ROW($A$2:$A$644)&lt;ROW()+7)*$C$2:$C$644),"")</f>
        <v>216</v>
      </c>
      <c r="O385" s="0" t="n">
        <f aca="false">IF(N385="","",ROUNDUP(N385/75,0))</f>
        <v>3</v>
      </c>
    </row>
    <row r="386" customFormat="false" ht="15" hidden="false" customHeight="false" outlineLevel="0" collapsed="false">
      <c r="A386" s="0" t="s">
        <v>249</v>
      </c>
      <c r="B386" s="0" t="s">
        <v>419</v>
      </c>
      <c r="C386" s="0" t="n">
        <v>18</v>
      </c>
      <c r="D386" s="0" t="n">
        <v>1</v>
      </c>
      <c r="E386" s="0" t="n">
        <v>57</v>
      </c>
      <c r="F386" s="0" t="n">
        <f aca="false">COUNTIF($A$2:A386,A386)</f>
        <v>170</v>
      </c>
      <c r="G386" s="0" t="n">
        <f aca="false">ROUNDUP(C386*1.236/75,0)</f>
        <v>1</v>
      </c>
      <c r="H386" s="0" t="str">
        <f aca="false">IF(MOD(F386-1,2)=0,SUMPRODUCT(($A$2:$A$644=A386)*(ROW($A$2:$A$644)&gt;=ROW())*(ROW($A$2:$A$644)&lt;ROW()+2)*$C$2:$C$644),"")</f>
        <v/>
      </c>
      <c r="I386" s="0" t="str">
        <f aca="false">IF(H386="","",ROUNDUP(H386/75,0))</f>
        <v/>
      </c>
      <c r="J386" s="0" t="str">
        <f aca="false">IF(MOD(F386-1,3)=0,SUMPRODUCT(($A$2:$A$644=A386)*(ROW($A$2:$A$644)&gt;=ROW())*(ROW($A$2:$A$644)&lt;ROW()+3)*$C$2:$C$644),"")</f>
        <v/>
      </c>
      <c r="K386" s="0" t="str">
        <f aca="false">IF(J386="","",ROUNDUP(J386/75,0))</f>
        <v/>
      </c>
      <c r="L386" s="0" t="str">
        <f aca="false">IF(MOD(F386-1,5)=0,SUMPRODUCT(($A$2:$A$644=A386)*(ROW($A$2:$A$644)&gt;=ROW())*(ROW($A$2:$A$644)&lt;ROW()+5)*$C$2:$C$644),"")</f>
        <v/>
      </c>
      <c r="M386" s="0" t="str">
        <f aca="false">IF(L386="","",ROUNDUP(L386/75,0))</f>
        <v/>
      </c>
      <c r="N386" s="0" t="str">
        <f aca="false">IF(MOD(F386-1,7)=0,SUMPRODUCT(($A$2:$A$644=A386)*(ROW($A$2:$A$644)&gt;=ROW())*(ROW($A$2:$A$644)&lt;ROW()+7)*$C$2:$C$644),"")</f>
        <v/>
      </c>
      <c r="O386" s="0" t="str">
        <f aca="false">IF(N386="","",ROUNDUP(N386/75,0))</f>
        <v/>
      </c>
    </row>
    <row r="387" customFormat="false" ht="15" hidden="false" customHeight="false" outlineLevel="0" collapsed="false">
      <c r="A387" s="0" t="s">
        <v>249</v>
      </c>
      <c r="B387" s="0" t="s">
        <v>420</v>
      </c>
      <c r="C387" s="0" t="n">
        <v>54</v>
      </c>
      <c r="D387" s="0" t="n">
        <v>1</v>
      </c>
      <c r="E387" s="0" t="n">
        <v>21</v>
      </c>
      <c r="F387" s="0" t="n">
        <f aca="false">COUNTIF($A$2:A387,A387)</f>
        <v>171</v>
      </c>
      <c r="G387" s="0" t="n">
        <f aca="false">ROUNDUP(C387*1.236/75,0)</f>
        <v>1</v>
      </c>
      <c r="H387" s="0" t="n">
        <f aca="false">IF(MOD(F387-1,2)=0,SUMPRODUCT(($A$2:$A$644=A387)*(ROW($A$2:$A$644)&gt;=ROW())*(ROW($A$2:$A$644)&lt;ROW()+2)*$C$2:$C$644),"")</f>
        <v>102</v>
      </c>
      <c r="I387" s="0" t="n">
        <f aca="false">IF(H387="","",ROUNDUP(H387/75,0))</f>
        <v>2</v>
      </c>
      <c r="J387" s="0" t="str">
        <f aca="false">IF(MOD(F387-1,3)=0,SUMPRODUCT(($A$2:$A$644=A387)*(ROW($A$2:$A$644)&gt;=ROW())*(ROW($A$2:$A$644)&lt;ROW()+3)*$C$2:$C$644),"")</f>
        <v/>
      </c>
      <c r="K387" s="0" t="str">
        <f aca="false">IF(J387="","",ROUNDUP(J387/75,0))</f>
        <v/>
      </c>
      <c r="L387" s="0" t="n">
        <f aca="false">IF(MOD(F387-1,5)=0,SUMPRODUCT(($A$2:$A$644=A387)*(ROW($A$2:$A$644)&gt;=ROW())*(ROW($A$2:$A$644)&lt;ROW()+5)*$C$2:$C$644),"")</f>
        <v>174</v>
      </c>
      <c r="M387" s="0" t="n">
        <f aca="false">IF(L387="","",ROUNDUP(L387/75,0))</f>
        <v>3</v>
      </c>
      <c r="N387" s="0" t="str">
        <f aca="false">IF(MOD(F387-1,7)=0,SUMPRODUCT(($A$2:$A$644=A387)*(ROW($A$2:$A$644)&gt;=ROW())*(ROW($A$2:$A$644)&lt;ROW()+7)*$C$2:$C$644),"")</f>
        <v/>
      </c>
      <c r="O387" s="0" t="str">
        <f aca="false">IF(N387="","",ROUNDUP(N387/75,0))</f>
        <v/>
      </c>
    </row>
    <row r="388" customFormat="false" ht="15" hidden="false" customHeight="false" outlineLevel="0" collapsed="false">
      <c r="A388" s="0" t="s">
        <v>249</v>
      </c>
      <c r="B388" s="0" t="s">
        <v>421</v>
      </c>
      <c r="C388" s="0" t="n">
        <v>48</v>
      </c>
      <c r="D388" s="0" t="n">
        <v>1</v>
      </c>
      <c r="E388" s="0" t="n">
        <v>27</v>
      </c>
      <c r="F388" s="0" t="n">
        <f aca="false">COUNTIF($A$2:A388,A388)</f>
        <v>172</v>
      </c>
      <c r="G388" s="0" t="n">
        <f aca="false">ROUNDUP(C388*1.236/75,0)</f>
        <v>1</v>
      </c>
      <c r="H388" s="0" t="str">
        <f aca="false">IF(MOD(F388-1,2)=0,SUMPRODUCT(($A$2:$A$644=A388)*(ROW($A$2:$A$644)&gt;=ROW())*(ROW($A$2:$A$644)&lt;ROW()+2)*$C$2:$C$644),"")</f>
        <v/>
      </c>
      <c r="I388" s="0" t="str">
        <f aca="false">IF(H388="","",ROUNDUP(H388/75,0))</f>
        <v/>
      </c>
      <c r="J388" s="0" t="n">
        <f aca="false">IF(MOD(F388-1,3)=0,SUMPRODUCT(($A$2:$A$644=A388)*(ROW($A$2:$A$644)&gt;=ROW())*(ROW($A$2:$A$644)&lt;ROW()+3)*$C$2:$C$644),"")</f>
        <v>96</v>
      </c>
      <c r="K388" s="0" t="n">
        <f aca="false">IF(J388="","",ROUNDUP(J388/75,0))</f>
        <v>2</v>
      </c>
      <c r="L388" s="0" t="str">
        <f aca="false">IF(MOD(F388-1,5)=0,SUMPRODUCT(($A$2:$A$644=A388)*(ROW($A$2:$A$644)&gt;=ROW())*(ROW($A$2:$A$644)&lt;ROW()+5)*$C$2:$C$644),"")</f>
        <v/>
      </c>
      <c r="M388" s="0" t="str">
        <f aca="false">IF(L388="","",ROUNDUP(L388/75,0))</f>
        <v/>
      </c>
      <c r="N388" s="0" t="str">
        <f aca="false">IF(MOD(F388-1,7)=0,SUMPRODUCT(($A$2:$A$644=A388)*(ROW($A$2:$A$644)&gt;=ROW())*(ROW($A$2:$A$644)&lt;ROW()+7)*$C$2:$C$644),"")</f>
        <v/>
      </c>
      <c r="O388" s="0" t="str">
        <f aca="false">IF(N388="","",ROUNDUP(N388/75,0))</f>
        <v/>
      </c>
    </row>
    <row r="389" customFormat="false" ht="15" hidden="false" customHeight="false" outlineLevel="0" collapsed="false">
      <c r="A389" s="0" t="s">
        <v>249</v>
      </c>
      <c r="B389" s="0" t="s">
        <v>422</v>
      </c>
      <c r="C389" s="0" t="n">
        <v>18</v>
      </c>
      <c r="D389" s="0" t="n">
        <v>1</v>
      </c>
      <c r="E389" s="0" t="n">
        <v>57</v>
      </c>
      <c r="F389" s="0" t="n">
        <f aca="false">COUNTIF($A$2:A389,A389)</f>
        <v>173</v>
      </c>
      <c r="G389" s="0" t="n">
        <f aca="false">ROUNDUP(C389*1.236/75,0)</f>
        <v>1</v>
      </c>
      <c r="H389" s="0" t="n">
        <f aca="false">IF(MOD(F389-1,2)=0,SUMPRODUCT(($A$2:$A$644=A389)*(ROW($A$2:$A$644)&gt;=ROW())*(ROW($A$2:$A$644)&lt;ROW()+2)*$C$2:$C$644),"")</f>
        <v>48</v>
      </c>
      <c r="I389" s="0" t="n">
        <f aca="false">IF(H389="","",ROUNDUP(H389/75,0))</f>
        <v>1</v>
      </c>
      <c r="J389" s="0" t="str">
        <f aca="false">IF(MOD(F389-1,3)=0,SUMPRODUCT(($A$2:$A$644=A389)*(ROW($A$2:$A$644)&gt;=ROW())*(ROW($A$2:$A$644)&lt;ROW()+3)*$C$2:$C$644),"")</f>
        <v/>
      </c>
      <c r="K389" s="0" t="str">
        <f aca="false">IF(J389="","",ROUNDUP(J389/75,0))</f>
        <v/>
      </c>
      <c r="L389" s="0" t="str">
        <f aca="false">IF(MOD(F389-1,5)=0,SUMPRODUCT(($A$2:$A$644=A389)*(ROW($A$2:$A$644)&gt;=ROW())*(ROW($A$2:$A$644)&lt;ROW()+5)*$C$2:$C$644),"")</f>
        <v/>
      </c>
      <c r="M389" s="0" t="str">
        <f aca="false">IF(L389="","",ROUNDUP(L389/75,0))</f>
        <v/>
      </c>
      <c r="N389" s="0" t="str">
        <f aca="false">IF(MOD(F389-1,7)=0,SUMPRODUCT(($A$2:$A$644=A389)*(ROW($A$2:$A$644)&gt;=ROW())*(ROW($A$2:$A$644)&lt;ROW()+7)*$C$2:$C$644),"")</f>
        <v/>
      </c>
      <c r="O389" s="0" t="str">
        <f aca="false">IF(N389="","",ROUNDUP(N389/75,0))</f>
        <v/>
      </c>
    </row>
    <row r="390" customFormat="false" ht="15" hidden="false" customHeight="false" outlineLevel="0" collapsed="false">
      <c r="A390" s="0" t="s">
        <v>249</v>
      </c>
      <c r="B390" s="0" t="s">
        <v>423</v>
      </c>
      <c r="C390" s="0" t="n">
        <v>30</v>
      </c>
      <c r="D390" s="0" t="n">
        <v>1</v>
      </c>
      <c r="E390" s="0" t="n">
        <v>45</v>
      </c>
      <c r="F390" s="0" t="n">
        <f aca="false">COUNTIF($A$2:A390,A390)</f>
        <v>174</v>
      </c>
      <c r="G390" s="0" t="n">
        <f aca="false">ROUNDUP(C390*1.236/75,0)</f>
        <v>1</v>
      </c>
      <c r="H390" s="0" t="str">
        <f aca="false">IF(MOD(F390-1,2)=0,SUMPRODUCT(($A$2:$A$644=A390)*(ROW($A$2:$A$644)&gt;=ROW())*(ROW($A$2:$A$644)&lt;ROW()+2)*$C$2:$C$644),"")</f>
        <v/>
      </c>
      <c r="I390" s="0" t="str">
        <f aca="false">IF(H390="","",ROUNDUP(H390/75,0))</f>
        <v/>
      </c>
      <c r="J390" s="0" t="str">
        <f aca="false">IF(MOD(F390-1,3)=0,SUMPRODUCT(($A$2:$A$644=A390)*(ROW($A$2:$A$644)&gt;=ROW())*(ROW($A$2:$A$644)&lt;ROW()+3)*$C$2:$C$644),"")</f>
        <v/>
      </c>
      <c r="K390" s="0" t="str">
        <f aca="false">IF(J390="","",ROUNDUP(J390/75,0))</f>
        <v/>
      </c>
      <c r="L390" s="0" t="str">
        <f aca="false">IF(MOD(F390-1,5)=0,SUMPRODUCT(($A$2:$A$644=A390)*(ROW($A$2:$A$644)&gt;=ROW())*(ROW($A$2:$A$644)&lt;ROW()+5)*$C$2:$C$644),"")</f>
        <v/>
      </c>
      <c r="M390" s="0" t="str">
        <f aca="false">IF(L390="","",ROUNDUP(L390/75,0))</f>
        <v/>
      </c>
      <c r="N390" s="0" t="str">
        <f aca="false">IF(MOD(F390-1,7)=0,SUMPRODUCT(($A$2:$A$644=A390)*(ROW($A$2:$A$644)&gt;=ROW())*(ROW($A$2:$A$644)&lt;ROW()+7)*$C$2:$C$644),"")</f>
        <v/>
      </c>
      <c r="O390" s="0" t="str">
        <f aca="false">IF(N390="","",ROUNDUP(N390/75,0))</f>
        <v/>
      </c>
    </row>
    <row r="391" customFormat="false" ht="15" hidden="false" customHeight="false" outlineLevel="0" collapsed="false">
      <c r="A391" s="0" t="s">
        <v>249</v>
      </c>
      <c r="B391" s="0" t="s">
        <v>424</v>
      </c>
      <c r="C391" s="0" t="n">
        <v>24</v>
      </c>
      <c r="D391" s="0" t="n">
        <v>1</v>
      </c>
      <c r="E391" s="0" t="n">
        <v>51</v>
      </c>
      <c r="F391" s="0" t="n">
        <f aca="false">COUNTIF($A$2:A391,A391)</f>
        <v>175</v>
      </c>
      <c r="G391" s="0" t="n">
        <f aca="false">ROUNDUP(C391*1.236/75,0)</f>
        <v>1</v>
      </c>
      <c r="H391" s="0" t="n">
        <f aca="false">IF(MOD(F391-1,2)=0,SUMPRODUCT(($A$2:$A$644=A391)*(ROW($A$2:$A$644)&gt;=ROW())*(ROW($A$2:$A$644)&lt;ROW()+2)*$C$2:$C$644),"")</f>
        <v>90</v>
      </c>
      <c r="I391" s="0" t="n">
        <f aca="false">IF(H391="","",ROUNDUP(H391/75,0))</f>
        <v>2</v>
      </c>
      <c r="J391" s="0" t="n">
        <f aca="false">IF(MOD(F391-1,3)=0,SUMPRODUCT(($A$2:$A$644=A391)*(ROW($A$2:$A$644)&gt;=ROW())*(ROW($A$2:$A$644)&lt;ROW()+3)*$C$2:$C$644),"")</f>
        <v>114</v>
      </c>
      <c r="K391" s="0" t="n">
        <f aca="false">IF(J391="","",ROUNDUP(J391/75,0))</f>
        <v>2</v>
      </c>
      <c r="L391" s="0" t="str">
        <f aca="false">IF(MOD(F391-1,5)=0,SUMPRODUCT(($A$2:$A$644=A391)*(ROW($A$2:$A$644)&gt;=ROW())*(ROW($A$2:$A$644)&lt;ROW()+5)*$C$2:$C$644),"")</f>
        <v/>
      </c>
      <c r="M391" s="0" t="str">
        <f aca="false">IF(L391="","",ROUNDUP(L391/75,0))</f>
        <v/>
      </c>
      <c r="N391" s="0" t="str">
        <f aca="false">IF(MOD(F391-1,7)=0,SUMPRODUCT(($A$2:$A$644=A391)*(ROW($A$2:$A$644)&gt;=ROW())*(ROW($A$2:$A$644)&lt;ROW()+7)*$C$2:$C$644),"")</f>
        <v/>
      </c>
      <c r="O391" s="0" t="str">
        <f aca="false">IF(N391="","",ROUNDUP(N391/75,0))</f>
        <v/>
      </c>
    </row>
    <row r="392" customFormat="false" ht="15" hidden="false" customHeight="false" outlineLevel="0" collapsed="false">
      <c r="A392" s="0" t="s">
        <v>249</v>
      </c>
      <c r="B392" s="0" t="s">
        <v>425</v>
      </c>
      <c r="C392" s="0" t="n">
        <v>66</v>
      </c>
      <c r="D392" s="0" t="n">
        <v>1</v>
      </c>
      <c r="E392" s="0" t="n">
        <v>9</v>
      </c>
      <c r="F392" s="0" t="n">
        <f aca="false">COUNTIF($A$2:A392,A392)</f>
        <v>176</v>
      </c>
      <c r="G392" s="0" t="n">
        <f aca="false">ROUNDUP(C392*1.236/75,0)</f>
        <v>2</v>
      </c>
      <c r="H392" s="0" t="str">
        <f aca="false">IF(MOD(F392-1,2)=0,SUMPRODUCT(($A$2:$A$644=A392)*(ROW($A$2:$A$644)&gt;=ROW())*(ROW($A$2:$A$644)&lt;ROW()+2)*$C$2:$C$644),"")</f>
        <v/>
      </c>
      <c r="I392" s="0" t="str">
        <f aca="false">IF(H392="","",ROUNDUP(H392/75,0))</f>
        <v/>
      </c>
      <c r="J392" s="0" t="str">
        <f aca="false">IF(MOD(F392-1,3)=0,SUMPRODUCT(($A$2:$A$644=A392)*(ROW($A$2:$A$644)&gt;=ROW())*(ROW($A$2:$A$644)&lt;ROW()+3)*$C$2:$C$644),"")</f>
        <v/>
      </c>
      <c r="K392" s="0" t="str">
        <f aca="false">IF(J392="","",ROUNDUP(J392/75,0))</f>
        <v/>
      </c>
      <c r="L392" s="0" t="n">
        <f aca="false">IF(MOD(F392-1,5)=0,SUMPRODUCT(($A$2:$A$644=A392)*(ROW($A$2:$A$644)&gt;=ROW())*(ROW($A$2:$A$644)&lt;ROW()+5)*$C$2:$C$644),"")</f>
        <v>270</v>
      </c>
      <c r="M392" s="0" t="n">
        <f aca="false">IF(L392="","",ROUNDUP(L392/75,0))</f>
        <v>4</v>
      </c>
      <c r="N392" s="0" t="n">
        <f aca="false">IF(MOD(F392-1,7)=0,SUMPRODUCT(($A$2:$A$644=A392)*(ROW($A$2:$A$644)&gt;=ROW())*(ROW($A$2:$A$644)&lt;ROW()+7)*$C$2:$C$644),"")</f>
        <v>348</v>
      </c>
      <c r="O392" s="0" t="n">
        <f aca="false">IF(N392="","",ROUNDUP(N392/75,0))</f>
        <v>5</v>
      </c>
    </row>
    <row r="393" customFormat="false" ht="15" hidden="false" customHeight="false" outlineLevel="0" collapsed="false">
      <c r="A393" s="0" t="s">
        <v>249</v>
      </c>
      <c r="B393" s="0" t="s">
        <v>426</v>
      </c>
      <c r="C393" s="0" t="n">
        <v>24</v>
      </c>
      <c r="D393" s="0" t="n">
        <v>1</v>
      </c>
      <c r="E393" s="0" t="n">
        <v>51</v>
      </c>
      <c r="F393" s="0" t="n">
        <f aca="false">COUNTIF($A$2:A393,A393)</f>
        <v>177</v>
      </c>
      <c r="G393" s="0" t="n">
        <f aca="false">ROUNDUP(C393*1.236/75,0)</f>
        <v>1</v>
      </c>
      <c r="H393" s="0" t="n">
        <f aca="false">IF(MOD(F393-1,2)=0,SUMPRODUCT(($A$2:$A$644=A393)*(ROW($A$2:$A$644)&gt;=ROW())*(ROW($A$2:$A$644)&lt;ROW()+2)*$C$2:$C$644),"")</f>
        <v>144</v>
      </c>
      <c r="I393" s="0" t="n">
        <f aca="false">IF(H393="","",ROUNDUP(H393/75,0))</f>
        <v>2</v>
      </c>
      <c r="J393" s="0" t="str">
        <f aca="false">IF(MOD(F393-1,3)=0,SUMPRODUCT(($A$2:$A$644=A393)*(ROW($A$2:$A$644)&gt;=ROW())*(ROW($A$2:$A$644)&lt;ROW()+3)*$C$2:$C$644),"")</f>
        <v/>
      </c>
      <c r="K393" s="0" t="str">
        <f aca="false">IF(J393="","",ROUNDUP(J393/75,0))</f>
        <v/>
      </c>
      <c r="L393" s="0" t="str">
        <f aca="false">IF(MOD(F393-1,5)=0,SUMPRODUCT(($A$2:$A$644=A393)*(ROW($A$2:$A$644)&gt;=ROW())*(ROW($A$2:$A$644)&lt;ROW()+5)*$C$2:$C$644),"")</f>
        <v/>
      </c>
      <c r="M393" s="0" t="str">
        <f aca="false">IF(L393="","",ROUNDUP(L393/75,0))</f>
        <v/>
      </c>
      <c r="N393" s="0" t="str">
        <f aca="false">IF(MOD(F393-1,7)=0,SUMPRODUCT(($A$2:$A$644=A393)*(ROW($A$2:$A$644)&gt;=ROW())*(ROW($A$2:$A$644)&lt;ROW()+7)*$C$2:$C$644),"")</f>
        <v/>
      </c>
      <c r="O393" s="0" t="str">
        <f aca="false">IF(N393="","",ROUNDUP(N393/75,0))</f>
        <v/>
      </c>
    </row>
    <row r="394" customFormat="false" ht="15" hidden="false" customHeight="false" outlineLevel="0" collapsed="false">
      <c r="A394" s="0" t="s">
        <v>249</v>
      </c>
      <c r="B394" s="0" t="s">
        <v>427</v>
      </c>
      <c r="C394" s="0" t="n">
        <v>120</v>
      </c>
      <c r="D394" s="0" t="n">
        <v>2</v>
      </c>
      <c r="E394" s="0" t="n">
        <v>30</v>
      </c>
      <c r="F394" s="0" t="n">
        <f aca="false">COUNTIF($A$2:A394,A394)</f>
        <v>178</v>
      </c>
      <c r="G394" s="0" t="n">
        <f aca="false">ROUNDUP(C394*1.236/75,0)</f>
        <v>2</v>
      </c>
      <c r="H394" s="0" t="str">
        <f aca="false">IF(MOD(F394-1,2)=0,SUMPRODUCT(($A$2:$A$644=A394)*(ROW($A$2:$A$644)&gt;=ROW())*(ROW($A$2:$A$644)&lt;ROW()+2)*$C$2:$C$644),"")</f>
        <v/>
      </c>
      <c r="I394" s="0" t="str">
        <f aca="false">IF(H394="","",ROUNDUP(H394/75,0))</f>
        <v/>
      </c>
      <c r="J394" s="0" t="n">
        <f aca="false">IF(MOD(F394-1,3)=0,SUMPRODUCT(($A$2:$A$644=A394)*(ROW($A$2:$A$644)&gt;=ROW())*(ROW($A$2:$A$644)&lt;ROW()+3)*$C$2:$C$644),"")</f>
        <v>180</v>
      </c>
      <c r="K394" s="0" t="n">
        <f aca="false">IF(J394="","",ROUNDUP(J394/75,0))</f>
        <v>3</v>
      </c>
      <c r="L394" s="0" t="str">
        <f aca="false">IF(MOD(F394-1,5)=0,SUMPRODUCT(($A$2:$A$644=A394)*(ROW($A$2:$A$644)&gt;=ROW())*(ROW($A$2:$A$644)&lt;ROW()+5)*$C$2:$C$644),"")</f>
        <v/>
      </c>
      <c r="M394" s="0" t="str">
        <f aca="false">IF(L394="","",ROUNDUP(L394/75,0))</f>
        <v/>
      </c>
      <c r="N394" s="0" t="str">
        <f aca="false">IF(MOD(F394-1,7)=0,SUMPRODUCT(($A$2:$A$644=A394)*(ROW($A$2:$A$644)&gt;=ROW())*(ROW($A$2:$A$644)&lt;ROW()+7)*$C$2:$C$644),"")</f>
        <v/>
      </c>
      <c r="O394" s="0" t="str">
        <f aca="false">IF(N394="","",ROUNDUP(N394/75,0))</f>
        <v/>
      </c>
    </row>
    <row r="395" customFormat="false" ht="15" hidden="false" customHeight="false" outlineLevel="0" collapsed="false">
      <c r="A395" s="0" t="s">
        <v>249</v>
      </c>
      <c r="B395" s="0" t="s">
        <v>428</v>
      </c>
      <c r="C395" s="0" t="n">
        <v>18</v>
      </c>
      <c r="D395" s="0" t="n">
        <v>1</v>
      </c>
      <c r="E395" s="0" t="n">
        <v>57</v>
      </c>
      <c r="F395" s="0" t="n">
        <f aca="false">COUNTIF($A$2:A395,A395)</f>
        <v>179</v>
      </c>
      <c r="G395" s="0" t="n">
        <f aca="false">ROUNDUP(C395*1.236/75,0)</f>
        <v>1</v>
      </c>
      <c r="H395" s="0" t="n">
        <f aca="false">IF(MOD(F395-1,2)=0,SUMPRODUCT(($A$2:$A$644=A395)*(ROW($A$2:$A$644)&gt;=ROW())*(ROW($A$2:$A$644)&lt;ROW()+2)*$C$2:$C$644),"")</f>
        <v>60</v>
      </c>
      <c r="I395" s="0" t="n">
        <f aca="false">IF(H395="","",ROUNDUP(H395/75,0))</f>
        <v>1</v>
      </c>
      <c r="J395" s="0" t="str">
        <f aca="false">IF(MOD(F395-1,3)=0,SUMPRODUCT(($A$2:$A$644=A395)*(ROW($A$2:$A$644)&gt;=ROW())*(ROW($A$2:$A$644)&lt;ROW()+3)*$C$2:$C$644),"")</f>
        <v/>
      </c>
      <c r="K395" s="0" t="str">
        <f aca="false">IF(J395="","",ROUNDUP(J395/75,0))</f>
        <v/>
      </c>
      <c r="L395" s="0" t="str">
        <f aca="false">IF(MOD(F395-1,5)=0,SUMPRODUCT(($A$2:$A$644=A395)*(ROW($A$2:$A$644)&gt;=ROW())*(ROW($A$2:$A$644)&lt;ROW()+5)*$C$2:$C$644),"")</f>
        <v/>
      </c>
      <c r="M395" s="0" t="str">
        <f aca="false">IF(L395="","",ROUNDUP(L395/75,0))</f>
        <v/>
      </c>
      <c r="N395" s="0" t="str">
        <f aca="false">IF(MOD(F395-1,7)=0,SUMPRODUCT(($A$2:$A$644=A395)*(ROW($A$2:$A$644)&gt;=ROW())*(ROW($A$2:$A$644)&lt;ROW()+7)*$C$2:$C$644),"")</f>
        <v/>
      </c>
      <c r="O395" s="0" t="str">
        <f aca="false">IF(N395="","",ROUNDUP(N395/75,0))</f>
        <v/>
      </c>
    </row>
    <row r="396" customFormat="false" ht="15" hidden="false" customHeight="false" outlineLevel="0" collapsed="false">
      <c r="A396" s="0" t="s">
        <v>249</v>
      </c>
      <c r="B396" s="0" t="s">
        <v>429</v>
      </c>
      <c r="C396" s="0" t="n">
        <v>42</v>
      </c>
      <c r="D396" s="0" t="n">
        <v>1</v>
      </c>
      <c r="E396" s="0" t="n">
        <v>33</v>
      </c>
      <c r="F396" s="0" t="n">
        <f aca="false">COUNTIF($A$2:A396,A396)</f>
        <v>180</v>
      </c>
      <c r="G396" s="0" t="n">
        <f aca="false">ROUNDUP(C396*1.236/75,0)</f>
        <v>1</v>
      </c>
      <c r="H396" s="0" t="str">
        <f aca="false">IF(MOD(F396-1,2)=0,SUMPRODUCT(($A$2:$A$644=A396)*(ROW($A$2:$A$644)&gt;=ROW())*(ROW($A$2:$A$644)&lt;ROW()+2)*$C$2:$C$644),"")</f>
        <v/>
      </c>
      <c r="I396" s="0" t="str">
        <f aca="false">IF(H396="","",ROUNDUP(H396/75,0))</f>
        <v/>
      </c>
      <c r="J396" s="0" t="str">
        <f aca="false">IF(MOD(F396-1,3)=0,SUMPRODUCT(($A$2:$A$644=A396)*(ROW($A$2:$A$644)&gt;=ROW())*(ROW($A$2:$A$644)&lt;ROW()+3)*$C$2:$C$644),"")</f>
        <v/>
      </c>
      <c r="K396" s="0" t="str">
        <f aca="false">IF(J396="","",ROUNDUP(J396/75,0))</f>
        <v/>
      </c>
      <c r="L396" s="0" t="str">
        <f aca="false">IF(MOD(F396-1,5)=0,SUMPRODUCT(($A$2:$A$644=A396)*(ROW($A$2:$A$644)&gt;=ROW())*(ROW($A$2:$A$644)&lt;ROW()+5)*$C$2:$C$644),"")</f>
        <v/>
      </c>
      <c r="M396" s="0" t="str">
        <f aca="false">IF(L396="","",ROUNDUP(L396/75,0))</f>
        <v/>
      </c>
      <c r="N396" s="0" t="str">
        <f aca="false">IF(MOD(F396-1,7)=0,SUMPRODUCT(($A$2:$A$644=A396)*(ROW($A$2:$A$644)&gt;=ROW())*(ROW($A$2:$A$644)&lt;ROW()+7)*$C$2:$C$644),"")</f>
        <v/>
      </c>
      <c r="O396" s="0" t="str">
        <f aca="false">IF(N396="","",ROUNDUP(N396/75,0))</f>
        <v/>
      </c>
    </row>
    <row r="397" customFormat="false" ht="15" hidden="false" customHeight="false" outlineLevel="0" collapsed="false">
      <c r="A397" s="0" t="s">
        <v>249</v>
      </c>
      <c r="B397" s="0" t="s">
        <v>430</v>
      </c>
      <c r="C397" s="0" t="n">
        <v>36</v>
      </c>
      <c r="D397" s="0" t="n">
        <v>1</v>
      </c>
      <c r="E397" s="0" t="n">
        <v>39</v>
      </c>
      <c r="F397" s="0" t="n">
        <f aca="false">COUNTIF($A$2:A397,A397)</f>
        <v>181</v>
      </c>
      <c r="G397" s="0" t="n">
        <f aca="false">ROUNDUP(C397*1.236/75,0)</f>
        <v>1</v>
      </c>
      <c r="H397" s="0" t="n">
        <f aca="false">IF(MOD(F397-1,2)=0,SUMPRODUCT(($A$2:$A$644=A397)*(ROW($A$2:$A$644)&gt;=ROW())*(ROW($A$2:$A$644)&lt;ROW()+2)*$C$2:$C$644),"")</f>
        <v>78</v>
      </c>
      <c r="I397" s="0" t="n">
        <f aca="false">IF(H397="","",ROUNDUP(H397/75,0))</f>
        <v>2</v>
      </c>
      <c r="J397" s="0" t="n">
        <f aca="false">IF(MOD(F397-1,3)=0,SUMPRODUCT(($A$2:$A$644=A397)*(ROW($A$2:$A$644)&gt;=ROW())*(ROW($A$2:$A$644)&lt;ROW()+3)*$C$2:$C$644),"")</f>
        <v>120</v>
      </c>
      <c r="K397" s="0" t="n">
        <f aca="false">IF(J397="","",ROUNDUP(J397/75,0))</f>
        <v>2</v>
      </c>
      <c r="L397" s="0" t="n">
        <f aca="false">IF(MOD(F397-1,5)=0,SUMPRODUCT(($A$2:$A$644=A397)*(ROW($A$2:$A$644)&gt;=ROW())*(ROW($A$2:$A$644)&lt;ROW()+5)*$C$2:$C$644),"")</f>
        <v>192</v>
      </c>
      <c r="M397" s="0" t="n">
        <f aca="false">IF(L397="","",ROUNDUP(L397/75,0))</f>
        <v>3</v>
      </c>
      <c r="N397" s="0" t="str">
        <f aca="false">IF(MOD(F397-1,7)=0,SUMPRODUCT(($A$2:$A$644=A397)*(ROW($A$2:$A$644)&gt;=ROW())*(ROW($A$2:$A$644)&lt;ROW()+7)*$C$2:$C$644),"")</f>
        <v/>
      </c>
      <c r="O397" s="0" t="str">
        <f aca="false">IF(N397="","",ROUNDUP(N397/75,0))</f>
        <v/>
      </c>
    </row>
    <row r="398" customFormat="false" ht="15" hidden="false" customHeight="false" outlineLevel="0" collapsed="false">
      <c r="A398" s="0" t="s">
        <v>249</v>
      </c>
      <c r="B398" s="0" t="s">
        <v>431</v>
      </c>
      <c r="C398" s="0" t="n">
        <v>42</v>
      </c>
      <c r="D398" s="0" t="n">
        <v>1</v>
      </c>
      <c r="E398" s="0" t="n">
        <v>33</v>
      </c>
      <c r="F398" s="0" t="n">
        <f aca="false">COUNTIF($A$2:A398,A398)</f>
        <v>182</v>
      </c>
      <c r="G398" s="0" t="n">
        <f aca="false">ROUNDUP(C398*1.236/75,0)</f>
        <v>1</v>
      </c>
      <c r="H398" s="0" t="str">
        <f aca="false">IF(MOD(F398-1,2)=0,SUMPRODUCT(($A$2:$A$644=A398)*(ROW($A$2:$A$644)&gt;=ROW())*(ROW($A$2:$A$644)&lt;ROW()+2)*$C$2:$C$644),"")</f>
        <v/>
      </c>
      <c r="I398" s="0" t="str">
        <f aca="false">IF(H398="","",ROUNDUP(H398/75,0))</f>
        <v/>
      </c>
      <c r="J398" s="0" t="str">
        <f aca="false">IF(MOD(F398-1,3)=0,SUMPRODUCT(($A$2:$A$644=A398)*(ROW($A$2:$A$644)&gt;=ROW())*(ROW($A$2:$A$644)&lt;ROW()+3)*$C$2:$C$644),"")</f>
        <v/>
      </c>
      <c r="K398" s="0" t="str">
        <f aca="false">IF(J398="","",ROUNDUP(J398/75,0))</f>
        <v/>
      </c>
      <c r="L398" s="0" t="str">
        <f aca="false">IF(MOD(F398-1,5)=0,SUMPRODUCT(($A$2:$A$644=A398)*(ROW($A$2:$A$644)&gt;=ROW())*(ROW($A$2:$A$644)&lt;ROW()+5)*$C$2:$C$644),"")</f>
        <v/>
      </c>
      <c r="M398" s="0" t="str">
        <f aca="false">IF(L398="","",ROUNDUP(L398/75,0))</f>
        <v/>
      </c>
      <c r="N398" s="0" t="str">
        <f aca="false">IF(MOD(F398-1,7)=0,SUMPRODUCT(($A$2:$A$644=A398)*(ROW($A$2:$A$644)&gt;=ROW())*(ROW($A$2:$A$644)&lt;ROW()+7)*$C$2:$C$644),"")</f>
        <v/>
      </c>
      <c r="O398" s="0" t="str">
        <f aca="false">IF(N398="","",ROUNDUP(N398/75,0))</f>
        <v/>
      </c>
    </row>
    <row r="399" customFormat="false" ht="15" hidden="false" customHeight="false" outlineLevel="0" collapsed="false">
      <c r="A399" s="0" t="s">
        <v>249</v>
      </c>
      <c r="B399" s="0" t="s">
        <v>432</v>
      </c>
      <c r="C399" s="0" t="n">
        <v>42</v>
      </c>
      <c r="D399" s="0" t="n">
        <v>1</v>
      </c>
      <c r="E399" s="0" t="n">
        <v>33</v>
      </c>
      <c r="F399" s="0" t="n">
        <f aca="false">COUNTIF($A$2:A399,A399)</f>
        <v>183</v>
      </c>
      <c r="G399" s="0" t="n">
        <f aca="false">ROUNDUP(C399*1.236/75,0)</f>
        <v>1</v>
      </c>
      <c r="H399" s="0" t="n">
        <f aca="false">IF(MOD(F399-1,2)=0,SUMPRODUCT(($A$2:$A$644=A399)*(ROW($A$2:$A$644)&gt;=ROW())*(ROW($A$2:$A$644)&lt;ROW()+2)*$C$2:$C$644),"")</f>
        <v>78</v>
      </c>
      <c r="I399" s="0" t="n">
        <f aca="false">IF(H399="","",ROUNDUP(H399/75,0))</f>
        <v>2</v>
      </c>
      <c r="J399" s="0" t="str">
        <f aca="false">IF(MOD(F399-1,3)=0,SUMPRODUCT(($A$2:$A$644=A399)*(ROW($A$2:$A$644)&gt;=ROW())*(ROW($A$2:$A$644)&lt;ROW()+3)*$C$2:$C$644),"")</f>
        <v/>
      </c>
      <c r="K399" s="0" t="str">
        <f aca="false">IF(J399="","",ROUNDUP(J399/75,0))</f>
        <v/>
      </c>
      <c r="L399" s="0" t="str">
        <f aca="false">IF(MOD(F399-1,5)=0,SUMPRODUCT(($A$2:$A$644=A399)*(ROW($A$2:$A$644)&gt;=ROW())*(ROW($A$2:$A$644)&lt;ROW()+5)*$C$2:$C$644),"")</f>
        <v/>
      </c>
      <c r="M399" s="0" t="str">
        <f aca="false">IF(L399="","",ROUNDUP(L399/75,0))</f>
        <v/>
      </c>
      <c r="N399" s="0" t="n">
        <f aca="false">IF(MOD(F399-1,7)=0,SUMPRODUCT(($A$2:$A$644=A399)*(ROW($A$2:$A$644)&gt;=ROW())*(ROW($A$2:$A$644)&lt;ROW()+7)*$C$2:$C$644),"")</f>
        <v>228</v>
      </c>
      <c r="O399" s="0" t="n">
        <f aca="false">IF(N399="","",ROUNDUP(N399/75,0))</f>
        <v>4</v>
      </c>
    </row>
    <row r="400" customFormat="false" ht="15" hidden="false" customHeight="false" outlineLevel="0" collapsed="false">
      <c r="A400" s="0" t="s">
        <v>249</v>
      </c>
      <c r="B400" s="0" t="s">
        <v>433</v>
      </c>
      <c r="C400" s="0" t="n">
        <v>36</v>
      </c>
      <c r="D400" s="0" t="n">
        <v>1</v>
      </c>
      <c r="E400" s="0" t="n">
        <v>39</v>
      </c>
      <c r="F400" s="0" t="n">
        <f aca="false">COUNTIF($A$2:A400,A400)</f>
        <v>184</v>
      </c>
      <c r="G400" s="0" t="n">
        <f aca="false">ROUNDUP(C400*1.236/75,0)</f>
        <v>1</v>
      </c>
      <c r="H400" s="0" t="str">
        <f aca="false">IF(MOD(F400-1,2)=0,SUMPRODUCT(($A$2:$A$644=A400)*(ROW($A$2:$A$644)&gt;=ROW())*(ROW($A$2:$A$644)&lt;ROW()+2)*$C$2:$C$644),"")</f>
        <v/>
      </c>
      <c r="I400" s="0" t="str">
        <f aca="false">IF(H400="","",ROUNDUP(H400/75,0))</f>
        <v/>
      </c>
      <c r="J400" s="0" t="n">
        <f aca="false">IF(MOD(F400-1,3)=0,SUMPRODUCT(($A$2:$A$644=A400)*(ROW($A$2:$A$644)&gt;=ROW())*(ROW($A$2:$A$644)&lt;ROW()+3)*$C$2:$C$644),"")</f>
        <v>126</v>
      </c>
      <c r="K400" s="0" t="n">
        <f aca="false">IF(J400="","",ROUNDUP(J400/75,0))</f>
        <v>2</v>
      </c>
      <c r="L400" s="0" t="str">
        <f aca="false">IF(MOD(F400-1,5)=0,SUMPRODUCT(($A$2:$A$644=A400)*(ROW($A$2:$A$644)&gt;=ROW())*(ROW($A$2:$A$644)&lt;ROW()+5)*$C$2:$C$644),"")</f>
        <v/>
      </c>
      <c r="M400" s="0" t="str">
        <f aca="false">IF(L400="","",ROUNDUP(L400/75,0))</f>
        <v/>
      </c>
      <c r="N400" s="0" t="str">
        <f aca="false">IF(MOD(F400-1,7)=0,SUMPRODUCT(($A$2:$A$644=A400)*(ROW($A$2:$A$644)&gt;=ROW())*(ROW($A$2:$A$644)&lt;ROW()+7)*$C$2:$C$644),"")</f>
        <v/>
      </c>
      <c r="O400" s="0" t="str">
        <f aca="false">IF(N400="","",ROUNDUP(N400/75,0))</f>
        <v/>
      </c>
    </row>
    <row r="401" customFormat="false" ht="15" hidden="false" customHeight="false" outlineLevel="0" collapsed="false">
      <c r="A401" s="0" t="s">
        <v>249</v>
      </c>
      <c r="B401" s="0" t="s">
        <v>434</v>
      </c>
      <c r="C401" s="0" t="n">
        <v>36</v>
      </c>
      <c r="D401" s="0" t="n">
        <v>1</v>
      </c>
      <c r="E401" s="0" t="n">
        <v>39</v>
      </c>
      <c r="F401" s="0" t="n">
        <f aca="false">COUNTIF($A$2:A401,A401)</f>
        <v>185</v>
      </c>
      <c r="G401" s="0" t="n">
        <f aca="false">ROUNDUP(C401*1.236/75,0)</f>
        <v>1</v>
      </c>
      <c r="H401" s="0" t="n">
        <f aca="false">IF(MOD(F401-1,2)=0,SUMPRODUCT(($A$2:$A$644=A401)*(ROW($A$2:$A$644)&gt;=ROW())*(ROW($A$2:$A$644)&lt;ROW()+2)*$C$2:$C$644),"")</f>
        <v>90</v>
      </c>
      <c r="I401" s="0" t="n">
        <f aca="false">IF(H401="","",ROUNDUP(H401/75,0))</f>
        <v>2</v>
      </c>
      <c r="J401" s="0" t="str">
        <f aca="false">IF(MOD(F401-1,3)=0,SUMPRODUCT(($A$2:$A$644=A401)*(ROW($A$2:$A$644)&gt;=ROW())*(ROW($A$2:$A$644)&lt;ROW()+3)*$C$2:$C$644),"")</f>
        <v/>
      </c>
      <c r="K401" s="0" t="str">
        <f aca="false">IF(J401="","",ROUNDUP(J401/75,0))</f>
        <v/>
      </c>
      <c r="L401" s="0" t="str">
        <f aca="false">IF(MOD(F401-1,5)=0,SUMPRODUCT(($A$2:$A$644=A401)*(ROW($A$2:$A$644)&gt;=ROW())*(ROW($A$2:$A$644)&lt;ROW()+5)*$C$2:$C$644),"")</f>
        <v/>
      </c>
      <c r="M401" s="0" t="str">
        <f aca="false">IF(L401="","",ROUNDUP(L401/75,0))</f>
        <v/>
      </c>
      <c r="N401" s="0" t="str">
        <f aca="false">IF(MOD(F401-1,7)=0,SUMPRODUCT(($A$2:$A$644=A401)*(ROW($A$2:$A$644)&gt;=ROW())*(ROW($A$2:$A$644)&lt;ROW()+7)*$C$2:$C$644),"")</f>
        <v/>
      </c>
      <c r="O401" s="0" t="str">
        <f aca="false">IF(N401="","",ROUNDUP(N401/75,0))</f>
        <v/>
      </c>
    </row>
    <row r="402" customFormat="false" ht="15" hidden="false" customHeight="false" outlineLevel="0" collapsed="false">
      <c r="A402" s="0" t="s">
        <v>249</v>
      </c>
      <c r="B402" s="0" t="s">
        <v>435</v>
      </c>
      <c r="C402" s="0" t="n">
        <v>54</v>
      </c>
      <c r="D402" s="0" t="n">
        <v>1</v>
      </c>
      <c r="E402" s="0" t="n">
        <v>21</v>
      </c>
      <c r="F402" s="0" t="n">
        <f aca="false">COUNTIF($A$2:A402,A402)</f>
        <v>186</v>
      </c>
      <c r="G402" s="0" t="n">
        <f aca="false">ROUNDUP(C402*1.236/75,0)</f>
        <v>1</v>
      </c>
      <c r="H402" s="0" t="str">
        <f aca="false">IF(MOD(F402-1,2)=0,SUMPRODUCT(($A$2:$A$644=A402)*(ROW($A$2:$A$644)&gt;=ROW())*(ROW($A$2:$A$644)&lt;ROW()+2)*$C$2:$C$644),"")</f>
        <v/>
      </c>
      <c r="I402" s="0" t="str">
        <f aca="false">IF(H402="","",ROUNDUP(H402/75,0))</f>
        <v/>
      </c>
      <c r="J402" s="0" t="str">
        <f aca="false">IF(MOD(F402-1,3)=0,SUMPRODUCT(($A$2:$A$644=A402)*(ROW($A$2:$A$644)&gt;=ROW())*(ROW($A$2:$A$644)&lt;ROW()+3)*$C$2:$C$644),"")</f>
        <v/>
      </c>
      <c r="K402" s="0" t="str">
        <f aca="false">IF(J402="","",ROUNDUP(J402/75,0))</f>
        <v/>
      </c>
      <c r="L402" s="0" t="n">
        <f aca="false">IF(MOD(F402-1,5)=0,SUMPRODUCT(($A$2:$A$644=A402)*(ROW($A$2:$A$644)&gt;=ROW())*(ROW($A$2:$A$644)&lt;ROW()+5)*$C$2:$C$644),"")</f>
        <v>168</v>
      </c>
      <c r="M402" s="0" t="n">
        <f aca="false">IF(L402="","",ROUNDUP(L402/75,0))</f>
        <v>3</v>
      </c>
      <c r="N402" s="0" t="str">
        <f aca="false">IF(MOD(F402-1,7)=0,SUMPRODUCT(($A$2:$A$644=A402)*(ROW($A$2:$A$644)&gt;=ROW())*(ROW($A$2:$A$644)&lt;ROW()+7)*$C$2:$C$644),"")</f>
        <v/>
      </c>
      <c r="O402" s="0" t="str">
        <f aca="false">IF(N402="","",ROUNDUP(N402/75,0))</f>
        <v/>
      </c>
    </row>
    <row r="403" customFormat="false" ht="15" hidden="false" customHeight="false" outlineLevel="0" collapsed="false">
      <c r="A403" s="0" t="s">
        <v>249</v>
      </c>
      <c r="B403" s="0" t="s">
        <v>436</v>
      </c>
      <c r="C403" s="0" t="n">
        <v>12</v>
      </c>
      <c r="D403" s="0" t="n">
        <v>1</v>
      </c>
      <c r="E403" s="0" t="n">
        <v>63</v>
      </c>
      <c r="F403" s="0" t="n">
        <f aca="false">COUNTIF($A$2:A403,A403)</f>
        <v>187</v>
      </c>
      <c r="G403" s="0" t="n">
        <f aca="false">ROUNDUP(C403*1.236/75,0)</f>
        <v>1</v>
      </c>
      <c r="H403" s="0" t="n">
        <f aca="false">IF(MOD(F403-1,2)=0,SUMPRODUCT(($A$2:$A$644=A403)*(ROW($A$2:$A$644)&gt;=ROW())*(ROW($A$2:$A$644)&lt;ROW()+2)*$C$2:$C$644),"")</f>
        <v>18</v>
      </c>
      <c r="I403" s="0" t="n">
        <f aca="false">IF(H403="","",ROUNDUP(H403/75,0))</f>
        <v>1</v>
      </c>
      <c r="J403" s="0" t="n">
        <f aca="false">IF(MOD(F403-1,3)=0,SUMPRODUCT(($A$2:$A$644=A403)*(ROW($A$2:$A$644)&gt;=ROW())*(ROW($A$2:$A$644)&lt;ROW()+3)*$C$2:$C$644),"")</f>
        <v>60</v>
      </c>
      <c r="K403" s="0" t="n">
        <f aca="false">IF(J403="","",ROUNDUP(J403/75,0))</f>
        <v>1</v>
      </c>
      <c r="L403" s="0" t="str">
        <f aca="false">IF(MOD(F403-1,5)=0,SUMPRODUCT(($A$2:$A$644=A403)*(ROW($A$2:$A$644)&gt;=ROW())*(ROW($A$2:$A$644)&lt;ROW()+5)*$C$2:$C$644),"")</f>
        <v/>
      </c>
      <c r="M403" s="0" t="str">
        <f aca="false">IF(L403="","",ROUNDUP(L403/75,0))</f>
        <v/>
      </c>
      <c r="N403" s="0" t="str">
        <f aca="false">IF(MOD(F403-1,7)=0,SUMPRODUCT(($A$2:$A$644=A403)*(ROW($A$2:$A$644)&gt;=ROW())*(ROW($A$2:$A$644)&lt;ROW()+7)*$C$2:$C$644),"")</f>
        <v/>
      </c>
      <c r="O403" s="0" t="str">
        <f aca="false">IF(N403="","",ROUNDUP(N403/75,0))</f>
        <v/>
      </c>
    </row>
    <row r="404" customFormat="false" ht="15" hidden="false" customHeight="false" outlineLevel="0" collapsed="false">
      <c r="A404" s="0" t="s">
        <v>249</v>
      </c>
      <c r="B404" s="0" t="s">
        <v>437</v>
      </c>
      <c r="C404" s="0" t="n">
        <v>6</v>
      </c>
      <c r="D404" s="0" t="n">
        <v>1</v>
      </c>
      <c r="E404" s="0" t="n">
        <v>69</v>
      </c>
      <c r="F404" s="0" t="n">
        <f aca="false">COUNTIF($A$2:A404,A404)</f>
        <v>188</v>
      </c>
      <c r="G404" s="0" t="n">
        <f aca="false">ROUNDUP(C404*1.236/75,0)</f>
        <v>1</v>
      </c>
      <c r="H404" s="0" t="str">
        <f aca="false">IF(MOD(F404-1,2)=0,SUMPRODUCT(($A$2:$A$644=A404)*(ROW($A$2:$A$644)&gt;=ROW())*(ROW($A$2:$A$644)&lt;ROW()+2)*$C$2:$C$644),"")</f>
        <v/>
      </c>
      <c r="I404" s="0" t="str">
        <f aca="false">IF(H404="","",ROUNDUP(H404/75,0))</f>
        <v/>
      </c>
      <c r="J404" s="0" t="str">
        <f aca="false">IF(MOD(F404-1,3)=0,SUMPRODUCT(($A$2:$A$644=A404)*(ROW($A$2:$A$644)&gt;=ROW())*(ROW($A$2:$A$644)&lt;ROW()+3)*$C$2:$C$644),"")</f>
        <v/>
      </c>
      <c r="K404" s="0" t="str">
        <f aca="false">IF(J404="","",ROUNDUP(J404/75,0))</f>
        <v/>
      </c>
      <c r="L404" s="0" t="str">
        <f aca="false">IF(MOD(F404-1,5)=0,SUMPRODUCT(($A$2:$A$644=A404)*(ROW($A$2:$A$644)&gt;=ROW())*(ROW($A$2:$A$644)&lt;ROW()+5)*$C$2:$C$644),"")</f>
        <v/>
      </c>
      <c r="M404" s="0" t="str">
        <f aca="false">IF(L404="","",ROUNDUP(L404/75,0))</f>
        <v/>
      </c>
      <c r="N404" s="0" t="str">
        <f aca="false">IF(MOD(F404-1,7)=0,SUMPRODUCT(($A$2:$A$644=A404)*(ROW($A$2:$A$644)&gt;=ROW())*(ROW($A$2:$A$644)&lt;ROW()+7)*$C$2:$C$644),"")</f>
        <v/>
      </c>
      <c r="O404" s="0" t="str">
        <f aca="false">IF(N404="","",ROUNDUP(N404/75,0))</f>
        <v/>
      </c>
    </row>
    <row r="405" customFormat="false" ht="15" hidden="false" customHeight="false" outlineLevel="0" collapsed="false">
      <c r="A405" s="0" t="s">
        <v>249</v>
      </c>
      <c r="B405" s="0" t="s">
        <v>438</v>
      </c>
      <c r="C405" s="0" t="n">
        <v>42</v>
      </c>
      <c r="D405" s="0" t="n">
        <v>1</v>
      </c>
      <c r="E405" s="0" t="n">
        <v>33</v>
      </c>
      <c r="F405" s="0" t="n">
        <f aca="false">COUNTIF($A$2:A405,A405)</f>
        <v>189</v>
      </c>
      <c r="G405" s="0" t="n">
        <f aca="false">ROUNDUP(C405*1.236/75,0)</f>
        <v>1</v>
      </c>
      <c r="H405" s="0" t="n">
        <f aca="false">IF(MOD(F405-1,2)=0,SUMPRODUCT(($A$2:$A$644=A405)*(ROW($A$2:$A$644)&gt;=ROW())*(ROW($A$2:$A$644)&lt;ROW()+2)*$C$2:$C$644),"")</f>
        <v>96</v>
      </c>
      <c r="I405" s="0" t="n">
        <f aca="false">IF(H405="","",ROUNDUP(H405/75,0))</f>
        <v>2</v>
      </c>
      <c r="J405" s="0" t="str">
        <f aca="false">IF(MOD(F405-1,3)=0,SUMPRODUCT(($A$2:$A$644=A405)*(ROW($A$2:$A$644)&gt;=ROW())*(ROW($A$2:$A$644)&lt;ROW()+3)*$C$2:$C$644),"")</f>
        <v/>
      </c>
      <c r="K405" s="0" t="str">
        <f aca="false">IF(J405="","",ROUNDUP(J405/75,0))</f>
        <v/>
      </c>
      <c r="L405" s="0" t="str">
        <f aca="false">IF(MOD(F405-1,5)=0,SUMPRODUCT(($A$2:$A$644=A405)*(ROW($A$2:$A$644)&gt;=ROW())*(ROW($A$2:$A$644)&lt;ROW()+5)*$C$2:$C$644),"")</f>
        <v/>
      </c>
      <c r="M405" s="0" t="str">
        <f aca="false">IF(L405="","",ROUNDUP(L405/75,0))</f>
        <v/>
      </c>
      <c r="N405" s="0" t="str">
        <f aca="false">IF(MOD(F405-1,7)=0,SUMPRODUCT(($A$2:$A$644=A405)*(ROW($A$2:$A$644)&gt;=ROW())*(ROW($A$2:$A$644)&lt;ROW()+7)*$C$2:$C$644),"")</f>
        <v/>
      </c>
      <c r="O405" s="0" t="str">
        <f aca="false">IF(N405="","",ROUNDUP(N405/75,0))</f>
        <v/>
      </c>
    </row>
    <row r="406" customFormat="false" ht="15" hidden="false" customHeight="false" outlineLevel="0" collapsed="false">
      <c r="A406" s="0" t="s">
        <v>249</v>
      </c>
      <c r="B406" s="0" t="s">
        <v>439</v>
      </c>
      <c r="C406" s="0" t="n">
        <v>54</v>
      </c>
      <c r="D406" s="0" t="n">
        <v>1</v>
      </c>
      <c r="E406" s="0" t="n">
        <v>21</v>
      </c>
      <c r="F406" s="0" t="n">
        <f aca="false">COUNTIF($A$2:A406,A406)</f>
        <v>190</v>
      </c>
      <c r="G406" s="0" t="n">
        <f aca="false">ROUNDUP(C406*1.236/75,0)</f>
        <v>1</v>
      </c>
      <c r="H406" s="0" t="str">
        <f aca="false">IF(MOD(F406-1,2)=0,SUMPRODUCT(($A$2:$A$644=A406)*(ROW($A$2:$A$644)&gt;=ROW())*(ROW($A$2:$A$644)&lt;ROW()+2)*$C$2:$C$644),"")</f>
        <v/>
      </c>
      <c r="I406" s="0" t="str">
        <f aca="false">IF(H406="","",ROUNDUP(H406/75,0))</f>
        <v/>
      </c>
      <c r="J406" s="0" t="n">
        <f aca="false">IF(MOD(F406-1,3)=0,SUMPRODUCT(($A$2:$A$644=A406)*(ROW($A$2:$A$644)&gt;=ROW())*(ROW($A$2:$A$644)&lt;ROW()+3)*$C$2:$C$644),"")</f>
        <v>132</v>
      </c>
      <c r="K406" s="0" t="n">
        <f aca="false">IF(J406="","",ROUNDUP(J406/75,0))</f>
        <v>2</v>
      </c>
      <c r="L406" s="0" t="str">
        <f aca="false">IF(MOD(F406-1,5)=0,SUMPRODUCT(($A$2:$A$644=A406)*(ROW($A$2:$A$644)&gt;=ROW())*(ROW($A$2:$A$644)&lt;ROW()+5)*$C$2:$C$644),"")</f>
        <v/>
      </c>
      <c r="M406" s="0" t="str">
        <f aca="false">IF(L406="","",ROUNDUP(L406/75,0))</f>
        <v/>
      </c>
      <c r="N406" s="0" t="n">
        <f aca="false">IF(MOD(F406-1,7)=0,SUMPRODUCT(($A$2:$A$644=A406)*(ROW($A$2:$A$644)&gt;=ROW())*(ROW($A$2:$A$644)&lt;ROW()+7)*$C$2:$C$644),"")</f>
        <v>288</v>
      </c>
      <c r="O406" s="0" t="n">
        <f aca="false">IF(N406="","",ROUNDUP(N406/75,0))</f>
        <v>4</v>
      </c>
    </row>
    <row r="407" customFormat="false" ht="15" hidden="false" customHeight="false" outlineLevel="0" collapsed="false">
      <c r="A407" s="0" t="s">
        <v>249</v>
      </c>
      <c r="B407" s="0" t="s">
        <v>440</v>
      </c>
      <c r="C407" s="0" t="n">
        <v>12</v>
      </c>
      <c r="D407" s="0" t="n">
        <v>1</v>
      </c>
      <c r="E407" s="0" t="n">
        <v>63</v>
      </c>
      <c r="F407" s="0" t="n">
        <f aca="false">COUNTIF($A$2:A407,A407)</f>
        <v>191</v>
      </c>
      <c r="G407" s="0" t="n">
        <f aca="false">ROUNDUP(C407*1.236/75,0)</f>
        <v>1</v>
      </c>
      <c r="H407" s="0" t="n">
        <f aca="false">IF(MOD(F407-1,2)=0,SUMPRODUCT(($A$2:$A$644=A407)*(ROW($A$2:$A$644)&gt;=ROW())*(ROW($A$2:$A$644)&lt;ROW()+2)*$C$2:$C$644),"")</f>
        <v>78</v>
      </c>
      <c r="I407" s="0" t="n">
        <f aca="false">IF(H407="","",ROUNDUP(H407/75,0))</f>
        <v>2</v>
      </c>
      <c r="J407" s="0" t="str">
        <f aca="false">IF(MOD(F407-1,3)=0,SUMPRODUCT(($A$2:$A$644=A407)*(ROW($A$2:$A$644)&gt;=ROW())*(ROW($A$2:$A$644)&lt;ROW()+3)*$C$2:$C$644),"")</f>
        <v/>
      </c>
      <c r="K407" s="0" t="str">
        <f aca="false">IF(J407="","",ROUNDUP(J407/75,0))</f>
        <v/>
      </c>
      <c r="L407" s="0" t="n">
        <f aca="false">IF(MOD(F407-1,5)=0,SUMPRODUCT(($A$2:$A$644=A407)*(ROW($A$2:$A$644)&gt;=ROW())*(ROW($A$2:$A$644)&lt;ROW()+5)*$C$2:$C$644),"")</f>
        <v>228</v>
      </c>
      <c r="M407" s="0" t="n">
        <f aca="false">IF(L407="","",ROUNDUP(L407/75,0))</f>
        <v>4</v>
      </c>
      <c r="N407" s="0" t="str">
        <f aca="false">IF(MOD(F407-1,7)=0,SUMPRODUCT(($A$2:$A$644=A407)*(ROW($A$2:$A$644)&gt;=ROW())*(ROW($A$2:$A$644)&lt;ROW()+7)*$C$2:$C$644),"")</f>
        <v/>
      </c>
      <c r="O407" s="0" t="str">
        <f aca="false">IF(N407="","",ROUNDUP(N407/75,0))</f>
        <v/>
      </c>
    </row>
    <row r="408" customFormat="false" ht="15" hidden="false" customHeight="false" outlineLevel="0" collapsed="false">
      <c r="A408" s="0" t="s">
        <v>249</v>
      </c>
      <c r="B408" s="0" t="s">
        <v>441</v>
      </c>
      <c r="C408" s="0" t="n">
        <v>66</v>
      </c>
      <c r="D408" s="0" t="n">
        <v>1</v>
      </c>
      <c r="E408" s="0" t="n">
        <v>9</v>
      </c>
      <c r="F408" s="0" t="n">
        <f aca="false">COUNTIF($A$2:A408,A408)</f>
        <v>192</v>
      </c>
      <c r="G408" s="0" t="n">
        <f aca="false">ROUNDUP(C408*1.236/75,0)</f>
        <v>2</v>
      </c>
      <c r="H408" s="0" t="str">
        <f aca="false">IF(MOD(F408-1,2)=0,SUMPRODUCT(($A$2:$A$644=A408)*(ROW($A$2:$A$644)&gt;=ROW())*(ROW($A$2:$A$644)&lt;ROW()+2)*$C$2:$C$644),"")</f>
        <v/>
      </c>
      <c r="I408" s="0" t="str">
        <f aca="false">IF(H408="","",ROUNDUP(H408/75,0))</f>
        <v/>
      </c>
      <c r="J408" s="0" t="str">
        <f aca="false">IF(MOD(F408-1,3)=0,SUMPRODUCT(($A$2:$A$644=A408)*(ROW($A$2:$A$644)&gt;=ROW())*(ROW($A$2:$A$644)&lt;ROW()+3)*$C$2:$C$644),"")</f>
        <v/>
      </c>
      <c r="K408" s="0" t="str">
        <f aca="false">IF(J408="","",ROUNDUP(J408/75,0))</f>
        <v/>
      </c>
      <c r="L408" s="0" t="str">
        <f aca="false">IF(MOD(F408-1,5)=0,SUMPRODUCT(($A$2:$A$644=A408)*(ROW($A$2:$A$644)&gt;=ROW())*(ROW($A$2:$A$644)&lt;ROW()+5)*$C$2:$C$644),"")</f>
        <v/>
      </c>
      <c r="M408" s="0" t="str">
        <f aca="false">IF(L408="","",ROUNDUP(L408/75,0))</f>
        <v/>
      </c>
      <c r="N408" s="0" t="str">
        <f aca="false">IF(MOD(F408-1,7)=0,SUMPRODUCT(($A$2:$A$644=A408)*(ROW($A$2:$A$644)&gt;=ROW())*(ROW($A$2:$A$644)&lt;ROW()+7)*$C$2:$C$644),"")</f>
        <v/>
      </c>
      <c r="O408" s="0" t="str">
        <f aca="false">IF(N408="","",ROUNDUP(N408/75,0))</f>
        <v/>
      </c>
    </row>
    <row r="409" customFormat="false" ht="15" hidden="false" customHeight="false" outlineLevel="0" collapsed="false">
      <c r="A409" s="0" t="s">
        <v>249</v>
      </c>
      <c r="B409" s="0" t="s">
        <v>442</v>
      </c>
      <c r="C409" s="0" t="n">
        <v>42</v>
      </c>
      <c r="D409" s="0" t="n">
        <v>1</v>
      </c>
      <c r="E409" s="0" t="n">
        <v>33</v>
      </c>
      <c r="F409" s="0" t="n">
        <f aca="false">COUNTIF($A$2:A409,A409)</f>
        <v>193</v>
      </c>
      <c r="G409" s="0" t="n">
        <f aca="false">ROUNDUP(C409*1.236/75,0)</f>
        <v>1</v>
      </c>
      <c r="H409" s="0" t="n">
        <f aca="false">IF(MOD(F409-1,2)=0,SUMPRODUCT(($A$2:$A$644=A409)*(ROW($A$2:$A$644)&gt;=ROW())*(ROW($A$2:$A$644)&lt;ROW()+2)*$C$2:$C$644),"")</f>
        <v>78</v>
      </c>
      <c r="I409" s="0" t="n">
        <f aca="false">IF(H409="","",ROUNDUP(H409/75,0))</f>
        <v>2</v>
      </c>
      <c r="J409" s="0" t="n">
        <f aca="false">IF(MOD(F409-1,3)=0,SUMPRODUCT(($A$2:$A$644=A409)*(ROW($A$2:$A$644)&gt;=ROW())*(ROW($A$2:$A$644)&lt;ROW()+3)*$C$2:$C$644),"")</f>
        <v>150</v>
      </c>
      <c r="K409" s="0" t="n">
        <f aca="false">IF(J409="","",ROUNDUP(J409/75,0))</f>
        <v>2</v>
      </c>
      <c r="L409" s="0" t="str">
        <f aca="false">IF(MOD(F409-1,5)=0,SUMPRODUCT(($A$2:$A$644=A409)*(ROW($A$2:$A$644)&gt;=ROW())*(ROW($A$2:$A$644)&lt;ROW()+5)*$C$2:$C$644),"")</f>
        <v/>
      </c>
      <c r="M409" s="0" t="str">
        <f aca="false">IF(L409="","",ROUNDUP(L409/75,0))</f>
        <v/>
      </c>
      <c r="N409" s="0" t="str">
        <f aca="false">IF(MOD(F409-1,7)=0,SUMPRODUCT(($A$2:$A$644=A409)*(ROW($A$2:$A$644)&gt;=ROW())*(ROW($A$2:$A$644)&lt;ROW()+7)*$C$2:$C$644),"")</f>
        <v/>
      </c>
      <c r="O409" s="0" t="str">
        <f aca="false">IF(N409="","",ROUNDUP(N409/75,0))</f>
        <v/>
      </c>
    </row>
    <row r="410" customFormat="false" ht="15" hidden="false" customHeight="false" outlineLevel="0" collapsed="false">
      <c r="A410" s="0" t="s">
        <v>249</v>
      </c>
      <c r="B410" s="0" t="s">
        <v>443</v>
      </c>
      <c r="C410" s="0" t="n">
        <v>36</v>
      </c>
      <c r="D410" s="0" t="n">
        <v>1</v>
      </c>
      <c r="E410" s="0" t="n">
        <v>39</v>
      </c>
      <c r="F410" s="0" t="n">
        <f aca="false">COUNTIF($A$2:A410,A410)</f>
        <v>194</v>
      </c>
      <c r="G410" s="0" t="n">
        <f aca="false">ROUNDUP(C410*1.236/75,0)</f>
        <v>1</v>
      </c>
      <c r="H410" s="0" t="str">
        <f aca="false">IF(MOD(F410-1,2)=0,SUMPRODUCT(($A$2:$A$644=A410)*(ROW($A$2:$A$644)&gt;=ROW())*(ROW($A$2:$A$644)&lt;ROW()+2)*$C$2:$C$644),"")</f>
        <v/>
      </c>
      <c r="I410" s="0" t="str">
        <f aca="false">IF(H410="","",ROUNDUP(H410/75,0))</f>
        <v/>
      </c>
      <c r="J410" s="0" t="str">
        <f aca="false">IF(MOD(F410-1,3)=0,SUMPRODUCT(($A$2:$A$644=A410)*(ROW($A$2:$A$644)&gt;=ROW())*(ROW($A$2:$A$644)&lt;ROW()+3)*$C$2:$C$644),"")</f>
        <v/>
      </c>
      <c r="K410" s="0" t="str">
        <f aca="false">IF(J410="","",ROUNDUP(J410/75,0))</f>
        <v/>
      </c>
      <c r="L410" s="0" t="str">
        <f aca="false">IF(MOD(F410-1,5)=0,SUMPRODUCT(($A$2:$A$644=A410)*(ROW($A$2:$A$644)&gt;=ROW())*(ROW($A$2:$A$644)&lt;ROW()+5)*$C$2:$C$644),"")</f>
        <v/>
      </c>
      <c r="M410" s="0" t="str">
        <f aca="false">IF(L410="","",ROUNDUP(L410/75,0))</f>
        <v/>
      </c>
      <c r="N410" s="0" t="str">
        <f aca="false">IF(MOD(F410-1,7)=0,SUMPRODUCT(($A$2:$A$644=A410)*(ROW($A$2:$A$644)&gt;=ROW())*(ROW($A$2:$A$644)&lt;ROW()+7)*$C$2:$C$644),"")</f>
        <v/>
      </c>
      <c r="O410" s="0" t="str">
        <f aca="false">IF(N410="","",ROUNDUP(N410/75,0))</f>
        <v/>
      </c>
    </row>
    <row r="411" customFormat="false" ht="15" hidden="false" customHeight="false" outlineLevel="0" collapsed="false">
      <c r="A411" s="0" t="s">
        <v>249</v>
      </c>
      <c r="B411" s="0" t="s">
        <v>444</v>
      </c>
      <c r="C411" s="0" t="n">
        <v>72</v>
      </c>
      <c r="D411" s="0" t="n">
        <v>1</v>
      </c>
      <c r="E411" s="0" t="n">
        <v>3</v>
      </c>
      <c r="F411" s="0" t="n">
        <f aca="false">COUNTIF($A$2:A411,A411)</f>
        <v>195</v>
      </c>
      <c r="G411" s="0" t="n">
        <f aca="false">ROUNDUP(C411*1.236/75,0)</f>
        <v>2</v>
      </c>
      <c r="H411" s="0" t="n">
        <f aca="false">IF(MOD(F411-1,2)=0,SUMPRODUCT(($A$2:$A$644=A411)*(ROW($A$2:$A$644)&gt;=ROW())*(ROW($A$2:$A$644)&lt;ROW()+2)*$C$2:$C$644),"")</f>
        <v>78</v>
      </c>
      <c r="I411" s="0" t="n">
        <f aca="false">IF(H411="","",ROUNDUP(H411/75,0))</f>
        <v>2</v>
      </c>
      <c r="J411" s="0" t="str">
        <f aca="false">IF(MOD(F411-1,3)=0,SUMPRODUCT(($A$2:$A$644=A411)*(ROW($A$2:$A$644)&gt;=ROW())*(ROW($A$2:$A$644)&lt;ROW()+3)*$C$2:$C$644),"")</f>
        <v/>
      </c>
      <c r="K411" s="0" t="str">
        <f aca="false">IF(J411="","",ROUNDUP(J411/75,0))</f>
        <v/>
      </c>
      <c r="L411" s="0" t="str">
        <f aca="false">IF(MOD(F411-1,5)=0,SUMPRODUCT(($A$2:$A$644=A411)*(ROW($A$2:$A$644)&gt;=ROW())*(ROW($A$2:$A$644)&lt;ROW()+5)*$C$2:$C$644),"")</f>
        <v/>
      </c>
      <c r="M411" s="0" t="str">
        <f aca="false">IF(L411="","",ROUNDUP(L411/75,0))</f>
        <v/>
      </c>
      <c r="N411" s="0" t="str">
        <f aca="false">IF(MOD(F411-1,7)=0,SUMPRODUCT(($A$2:$A$644=A411)*(ROW($A$2:$A$644)&gt;=ROW())*(ROW($A$2:$A$644)&lt;ROW()+7)*$C$2:$C$644),"")</f>
        <v/>
      </c>
      <c r="O411" s="0" t="str">
        <f aca="false">IF(N411="","",ROUNDUP(N411/75,0))</f>
        <v/>
      </c>
    </row>
    <row r="412" customFormat="false" ht="15" hidden="false" customHeight="false" outlineLevel="0" collapsed="false">
      <c r="A412" s="0" t="s">
        <v>249</v>
      </c>
      <c r="B412" s="0" t="s">
        <v>445</v>
      </c>
      <c r="C412" s="0" t="n">
        <v>6</v>
      </c>
      <c r="D412" s="0" t="n">
        <v>1</v>
      </c>
      <c r="E412" s="0" t="n">
        <v>69</v>
      </c>
      <c r="F412" s="0" t="n">
        <f aca="false">COUNTIF($A$2:A412,A412)</f>
        <v>196</v>
      </c>
      <c r="G412" s="0" t="n">
        <f aca="false">ROUNDUP(C412*1.236/75,0)</f>
        <v>1</v>
      </c>
      <c r="H412" s="0" t="str">
        <f aca="false">IF(MOD(F412-1,2)=0,SUMPRODUCT(($A$2:$A$644=A412)*(ROW($A$2:$A$644)&gt;=ROW())*(ROW($A$2:$A$644)&lt;ROW()+2)*$C$2:$C$644),"")</f>
        <v/>
      </c>
      <c r="I412" s="0" t="str">
        <f aca="false">IF(H412="","",ROUNDUP(H412/75,0))</f>
        <v/>
      </c>
      <c r="J412" s="0" t="n">
        <f aca="false">IF(MOD(F412-1,3)=0,SUMPRODUCT(($A$2:$A$644=A412)*(ROW($A$2:$A$644)&gt;=ROW())*(ROW($A$2:$A$644)&lt;ROW()+3)*$C$2:$C$644),"")</f>
        <v>90</v>
      </c>
      <c r="K412" s="0" t="n">
        <f aca="false">IF(J412="","",ROUNDUP(J412/75,0))</f>
        <v>2</v>
      </c>
      <c r="L412" s="0" t="n">
        <f aca="false">IF(MOD(F412-1,5)=0,SUMPRODUCT(($A$2:$A$644=A412)*(ROW($A$2:$A$644)&gt;=ROW())*(ROW($A$2:$A$644)&lt;ROW()+5)*$C$2:$C$644),"")</f>
        <v>150</v>
      </c>
      <c r="M412" s="0" t="n">
        <f aca="false">IF(L412="","",ROUNDUP(L412/75,0))</f>
        <v>2</v>
      </c>
      <c r="N412" s="0" t="str">
        <f aca="false">IF(MOD(F412-1,7)=0,SUMPRODUCT(($A$2:$A$644=A412)*(ROW($A$2:$A$644)&gt;=ROW())*(ROW($A$2:$A$644)&lt;ROW()+7)*$C$2:$C$644),"")</f>
        <v/>
      </c>
      <c r="O412" s="0" t="str">
        <f aca="false">IF(N412="","",ROUNDUP(N412/75,0))</f>
        <v/>
      </c>
    </row>
    <row r="413" customFormat="false" ht="15" hidden="false" customHeight="false" outlineLevel="0" collapsed="false">
      <c r="A413" s="0" t="s">
        <v>249</v>
      </c>
      <c r="B413" s="0" t="s">
        <v>446</v>
      </c>
      <c r="C413" s="0" t="n">
        <v>24</v>
      </c>
      <c r="D413" s="0" t="n">
        <v>1</v>
      </c>
      <c r="E413" s="0" t="n">
        <v>51</v>
      </c>
      <c r="F413" s="0" t="n">
        <f aca="false">COUNTIF($A$2:A413,A413)</f>
        <v>197</v>
      </c>
      <c r="G413" s="0" t="n">
        <f aca="false">ROUNDUP(C413*1.236/75,0)</f>
        <v>1</v>
      </c>
      <c r="H413" s="0" t="n">
        <f aca="false">IF(MOD(F413-1,2)=0,SUMPRODUCT(($A$2:$A$644=A413)*(ROW($A$2:$A$644)&gt;=ROW())*(ROW($A$2:$A$644)&lt;ROW()+2)*$C$2:$C$644),"")</f>
        <v>84</v>
      </c>
      <c r="I413" s="0" t="n">
        <f aca="false">IF(H413="","",ROUNDUP(H413/75,0))</f>
        <v>2</v>
      </c>
      <c r="J413" s="0" t="str">
        <f aca="false">IF(MOD(F413-1,3)=0,SUMPRODUCT(($A$2:$A$644=A413)*(ROW($A$2:$A$644)&gt;=ROW())*(ROW($A$2:$A$644)&lt;ROW()+3)*$C$2:$C$644),"")</f>
        <v/>
      </c>
      <c r="K413" s="0" t="str">
        <f aca="false">IF(J413="","",ROUNDUP(J413/75,0))</f>
        <v/>
      </c>
      <c r="L413" s="0" t="str">
        <f aca="false">IF(MOD(F413-1,5)=0,SUMPRODUCT(($A$2:$A$644=A413)*(ROW($A$2:$A$644)&gt;=ROW())*(ROW($A$2:$A$644)&lt;ROW()+5)*$C$2:$C$644),"")</f>
        <v/>
      </c>
      <c r="M413" s="0" t="str">
        <f aca="false">IF(L413="","",ROUNDUP(L413/75,0))</f>
        <v/>
      </c>
      <c r="N413" s="0" t="n">
        <f aca="false">IF(MOD(F413-1,7)=0,SUMPRODUCT(($A$2:$A$644=A413)*(ROW($A$2:$A$644)&gt;=ROW())*(ROW($A$2:$A$644)&lt;ROW()+7)*$C$2:$C$644),"")</f>
        <v>360</v>
      </c>
      <c r="O413" s="0" t="n">
        <f aca="false">IF(N413="","",ROUNDUP(N413/75,0))</f>
        <v>5</v>
      </c>
    </row>
    <row r="414" customFormat="false" ht="15" hidden="false" customHeight="false" outlineLevel="0" collapsed="false">
      <c r="A414" s="0" t="s">
        <v>249</v>
      </c>
      <c r="B414" s="0" t="s">
        <v>447</v>
      </c>
      <c r="C414" s="0" t="n">
        <v>60</v>
      </c>
      <c r="D414" s="0" t="n">
        <v>1</v>
      </c>
      <c r="E414" s="0" t="n">
        <v>15</v>
      </c>
      <c r="F414" s="0" t="n">
        <f aca="false">COUNTIF($A$2:A414,A414)</f>
        <v>198</v>
      </c>
      <c r="G414" s="0" t="n">
        <f aca="false">ROUNDUP(C414*1.236/75,0)</f>
        <v>1</v>
      </c>
      <c r="H414" s="0" t="str">
        <f aca="false">IF(MOD(F414-1,2)=0,SUMPRODUCT(($A$2:$A$644=A414)*(ROW($A$2:$A$644)&gt;=ROW())*(ROW($A$2:$A$644)&lt;ROW()+2)*$C$2:$C$644),"")</f>
        <v/>
      </c>
      <c r="I414" s="0" t="str">
        <f aca="false">IF(H414="","",ROUNDUP(H414/75,0))</f>
        <v/>
      </c>
      <c r="J414" s="0" t="str">
        <f aca="false">IF(MOD(F414-1,3)=0,SUMPRODUCT(($A$2:$A$644=A414)*(ROW($A$2:$A$644)&gt;=ROW())*(ROW($A$2:$A$644)&lt;ROW()+3)*$C$2:$C$644),"")</f>
        <v/>
      </c>
      <c r="K414" s="0" t="str">
        <f aca="false">IF(J414="","",ROUNDUP(J414/75,0))</f>
        <v/>
      </c>
      <c r="L414" s="0" t="str">
        <f aca="false">IF(MOD(F414-1,5)=0,SUMPRODUCT(($A$2:$A$644=A414)*(ROW($A$2:$A$644)&gt;=ROW())*(ROW($A$2:$A$644)&lt;ROW()+5)*$C$2:$C$644),"")</f>
        <v/>
      </c>
      <c r="M414" s="0" t="str">
        <f aca="false">IF(L414="","",ROUNDUP(L414/75,0))</f>
        <v/>
      </c>
      <c r="N414" s="0" t="str">
        <f aca="false">IF(MOD(F414-1,7)=0,SUMPRODUCT(($A$2:$A$644=A414)*(ROW($A$2:$A$644)&gt;=ROW())*(ROW($A$2:$A$644)&lt;ROW()+7)*$C$2:$C$644),"")</f>
        <v/>
      </c>
      <c r="O414" s="0" t="str">
        <f aca="false">IF(N414="","",ROUNDUP(N414/75,0))</f>
        <v/>
      </c>
    </row>
    <row r="415" customFormat="false" ht="15" hidden="false" customHeight="false" outlineLevel="0" collapsed="false">
      <c r="A415" s="0" t="s">
        <v>249</v>
      </c>
      <c r="B415" s="0" t="s">
        <v>448</v>
      </c>
      <c r="C415" s="0" t="n">
        <v>48</v>
      </c>
      <c r="D415" s="0" t="n">
        <v>1</v>
      </c>
      <c r="E415" s="0" t="n">
        <v>27</v>
      </c>
      <c r="F415" s="0" t="n">
        <f aca="false">COUNTIF($A$2:A415,A415)</f>
        <v>199</v>
      </c>
      <c r="G415" s="0" t="n">
        <f aca="false">ROUNDUP(C415*1.236/75,0)</f>
        <v>1</v>
      </c>
      <c r="H415" s="0" t="n">
        <f aca="false">IF(MOD(F415-1,2)=0,SUMPRODUCT(($A$2:$A$644=A415)*(ROW($A$2:$A$644)&gt;=ROW())*(ROW($A$2:$A$644)&lt;ROW()+2)*$C$2:$C$644),"")</f>
        <v>60</v>
      </c>
      <c r="I415" s="0" t="n">
        <f aca="false">IF(H415="","",ROUNDUP(H415/75,0))</f>
        <v>1</v>
      </c>
      <c r="J415" s="0" t="n">
        <f aca="false">IF(MOD(F415-1,3)=0,SUMPRODUCT(($A$2:$A$644=A415)*(ROW($A$2:$A$644)&gt;=ROW())*(ROW($A$2:$A$644)&lt;ROW()+3)*$C$2:$C$644),"")</f>
        <v>78</v>
      </c>
      <c r="K415" s="0" t="n">
        <f aca="false">IF(J415="","",ROUNDUP(J415/75,0))</f>
        <v>2</v>
      </c>
      <c r="L415" s="0" t="str">
        <f aca="false">IF(MOD(F415-1,5)=0,SUMPRODUCT(($A$2:$A$644=A415)*(ROW($A$2:$A$644)&gt;=ROW())*(ROW($A$2:$A$644)&lt;ROW()+5)*$C$2:$C$644),"")</f>
        <v/>
      </c>
      <c r="M415" s="0" t="str">
        <f aca="false">IF(L415="","",ROUNDUP(L415/75,0))</f>
        <v/>
      </c>
      <c r="N415" s="0" t="str">
        <f aca="false">IF(MOD(F415-1,7)=0,SUMPRODUCT(($A$2:$A$644=A415)*(ROW($A$2:$A$644)&gt;=ROW())*(ROW($A$2:$A$644)&lt;ROW()+7)*$C$2:$C$644),"")</f>
        <v/>
      </c>
      <c r="O415" s="0" t="str">
        <f aca="false">IF(N415="","",ROUNDUP(N415/75,0))</f>
        <v/>
      </c>
    </row>
    <row r="416" customFormat="false" ht="15" hidden="false" customHeight="false" outlineLevel="0" collapsed="false">
      <c r="A416" s="0" t="s">
        <v>249</v>
      </c>
      <c r="B416" s="0" t="s">
        <v>449</v>
      </c>
      <c r="C416" s="0" t="n">
        <v>12</v>
      </c>
      <c r="D416" s="0" t="n">
        <v>1</v>
      </c>
      <c r="E416" s="0" t="n">
        <v>63</v>
      </c>
      <c r="F416" s="0" t="n">
        <f aca="false">COUNTIF($A$2:A416,A416)</f>
        <v>200</v>
      </c>
      <c r="G416" s="0" t="n">
        <f aca="false">ROUNDUP(C416*1.236/75,0)</f>
        <v>1</v>
      </c>
      <c r="H416" s="0" t="str">
        <f aca="false">IF(MOD(F416-1,2)=0,SUMPRODUCT(($A$2:$A$644=A416)*(ROW($A$2:$A$644)&gt;=ROW())*(ROW($A$2:$A$644)&lt;ROW()+2)*$C$2:$C$644),"")</f>
        <v/>
      </c>
      <c r="I416" s="0" t="str">
        <f aca="false">IF(H416="","",ROUNDUP(H416/75,0))</f>
        <v/>
      </c>
      <c r="J416" s="0" t="str">
        <f aca="false">IF(MOD(F416-1,3)=0,SUMPRODUCT(($A$2:$A$644=A416)*(ROW($A$2:$A$644)&gt;=ROW())*(ROW($A$2:$A$644)&lt;ROW()+3)*$C$2:$C$644),"")</f>
        <v/>
      </c>
      <c r="K416" s="0" t="str">
        <f aca="false">IF(J416="","",ROUNDUP(J416/75,0))</f>
        <v/>
      </c>
      <c r="L416" s="0" t="str">
        <f aca="false">IF(MOD(F416-1,5)=0,SUMPRODUCT(($A$2:$A$644=A416)*(ROW($A$2:$A$644)&gt;=ROW())*(ROW($A$2:$A$644)&lt;ROW()+5)*$C$2:$C$644),"")</f>
        <v/>
      </c>
      <c r="M416" s="0" t="str">
        <f aca="false">IF(L416="","",ROUNDUP(L416/75,0))</f>
        <v/>
      </c>
      <c r="N416" s="0" t="str">
        <f aca="false">IF(MOD(F416-1,7)=0,SUMPRODUCT(($A$2:$A$644=A416)*(ROW($A$2:$A$644)&gt;=ROW())*(ROW($A$2:$A$644)&lt;ROW()+7)*$C$2:$C$644),"")</f>
        <v/>
      </c>
      <c r="O416" s="0" t="str">
        <f aca="false">IF(N416="","",ROUNDUP(N416/75,0))</f>
        <v/>
      </c>
    </row>
    <row r="417" customFormat="false" ht="15" hidden="false" customHeight="false" outlineLevel="0" collapsed="false">
      <c r="A417" s="0" t="s">
        <v>249</v>
      </c>
      <c r="B417" s="0" t="s">
        <v>450</v>
      </c>
      <c r="C417" s="0" t="n">
        <v>18</v>
      </c>
      <c r="D417" s="0" t="n">
        <v>1</v>
      </c>
      <c r="E417" s="0" t="n">
        <v>57</v>
      </c>
      <c r="F417" s="0" t="n">
        <f aca="false">COUNTIF($A$2:A417,A417)</f>
        <v>201</v>
      </c>
      <c r="G417" s="0" t="n">
        <f aca="false">ROUNDUP(C417*1.236/75,0)</f>
        <v>1</v>
      </c>
      <c r="H417" s="0" t="n">
        <f aca="false">IF(MOD(F417-1,2)=0,SUMPRODUCT(($A$2:$A$644=A417)*(ROW($A$2:$A$644)&gt;=ROW())*(ROW($A$2:$A$644)&lt;ROW()+2)*$C$2:$C$644),"")</f>
        <v>132</v>
      </c>
      <c r="I417" s="0" t="n">
        <f aca="false">IF(H417="","",ROUNDUP(H417/75,0))</f>
        <v>2</v>
      </c>
      <c r="J417" s="0" t="str">
        <f aca="false">IF(MOD(F417-1,3)=0,SUMPRODUCT(($A$2:$A$644=A417)*(ROW($A$2:$A$644)&gt;=ROW())*(ROW($A$2:$A$644)&lt;ROW()+3)*$C$2:$C$644),"")</f>
        <v/>
      </c>
      <c r="K417" s="0" t="str">
        <f aca="false">IF(J417="","",ROUNDUP(J417/75,0))</f>
        <v/>
      </c>
      <c r="L417" s="0" t="n">
        <f aca="false">IF(MOD(F417-1,5)=0,SUMPRODUCT(($A$2:$A$644=A417)*(ROW($A$2:$A$644)&gt;=ROW())*(ROW($A$2:$A$644)&lt;ROW()+5)*$C$2:$C$644),"")</f>
        <v>264</v>
      </c>
      <c r="M417" s="0" t="n">
        <f aca="false">IF(L417="","",ROUNDUP(L417/75,0))</f>
        <v>4</v>
      </c>
      <c r="N417" s="0" t="str">
        <f aca="false">IF(MOD(F417-1,7)=0,SUMPRODUCT(($A$2:$A$644=A417)*(ROW($A$2:$A$644)&gt;=ROW())*(ROW($A$2:$A$644)&lt;ROW()+7)*$C$2:$C$644),"")</f>
        <v/>
      </c>
      <c r="O417" s="0" t="str">
        <f aca="false">IF(N417="","",ROUNDUP(N417/75,0))</f>
        <v/>
      </c>
    </row>
    <row r="418" customFormat="false" ht="15" hidden="false" customHeight="false" outlineLevel="0" collapsed="false">
      <c r="A418" s="0" t="s">
        <v>249</v>
      </c>
      <c r="B418" s="0" t="s">
        <v>451</v>
      </c>
      <c r="C418" s="0" t="n">
        <v>114</v>
      </c>
      <c r="D418" s="0" t="n">
        <v>2</v>
      </c>
      <c r="E418" s="0" t="n">
        <v>36</v>
      </c>
      <c r="F418" s="0" t="n">
        <f aca="false">COUNTIF($A$2:A418,A418)</f>
        <v>202</v>
      </c>
      <c r="G418" s="0" t="n">
        <f aca="false">ROUNDUP(C418*1.236/75,0)</f>
        <v>2</v>
      </c>
      <c r="H418" s="0" t="str">
        <f aca="false">IF(MOD(F418-1,2)=0,SUMPRODUCT(($A$2:$A$644=A418)*(ROW($A$2:$A$644)&gt;=ROW())*(ROW($A$2:$A$644)&lt;ROW()+2)*$C$2:$C$644),"")</f>
        <v/>
      </c>
      <c r="I418" s="0" t="str">
        <f aca="false">IF(H418="","",ROUNDUP(H418/75,0))</f>
        <v/>
      </c>
      <c r="J418" s="0" t="n">
        <f aca="false">IF(MOD(F418-1,3)=0,SUMPRODUCT(($A$2:$A$644=A418)*(ROW($A$2:$A$644)&gt;=ROW())*(ROW($A$2:$A$644)&lt;ROW()+3)*$C$2:$C$644),"")</f>
        <v>210</v>
      </c>
      <c r="K418" s="0" t="n">
        <f aca="false">IF(J418="","",ROUNDUP(J418/75,0))</f>
        <v>3</v>
      </c>
      <c r="L418" s="0" t="str">
        <f aca="false">IF(MOD(F418-1,5)=0,SUMPRODUCT(($A$2:$A$644=A418)*(ROW($A$2:$A$644)&gt;=ROW())*(ROW($A$2:$A$644)&lt;ROW()+5)*$C$2:$C$644),"")</f>
        <v/>
      </c>
      <c r="M418" s="0" t="str">
        <f aca="false">IF(L418="","",ROUNDUP(L418/75,0))</f>
        <v/>
      </c>
      <c r="N418" s="0" t="str">
        <f aca="false">IF(MOD(F418-1,7)=0,SUMPRODUCT(($A$2:$A$644=A418)*(ROW($A$2:$A$644)&gt;=ROW())*(ROW($A$2:$A$644)&lt;ROW()+7)*$C$2:$C$644),"")</f>
        <v/>
      </c>
      <c r="O418" s="0" t="str">
        <f aca="false">IF(N418="","",ROUNDUP(N418/75,0))</f>
        <v/>
      </c>
    </row>
    <row r="419" customFormat="false" ht="15" hidden="false" customHeight="false" outlineLevel="0" collapsed="false">
      <c r="A419" s="0" t="s">
        <v>249</v>
      </c>
      <c r="B419" s="0" t="s">
        <v>452</v>
      </c>
      <c r="C419" s="0" t="n">
        <v>84</v>
      </c>
      <c r="D419" s="0" t="n">
        <v>2</v>
      </c>
      <c r="E419" s="0" t="n">
        <v>66</v>
      </c>
      <c r="F419" s="0" t="n">
        <f aca="false">COUNTIF($A$2:A419,A419)</f>
        <v>203</v>
      </c>
      <c r="G419" s="0" t="n">
        <f aca="false">ROUNDUP(C419*1.236/75,0)</f>
        <v>2</v>
      </c>
      <c r="H419" s="0" t="n">
        <f aca="false">IF(MOD(F419-1,2)=0,SUMPRODUCT(($A$2:$A$644=A419)*(ROW($A$2:$A$644)&gt;=ROW())*(ROW($A$2:$A$644)&lt;ROW()+2)*$C$2:$C$644),"")</f>
        <v>96</v>
      </c>
      <c r="I419" s="0" t="n">
        <f aca="false">IF(H419="","",ROUNDUP(H419/75,0))</f>
        <v>2</v>
      </c>
      <c r="J419" s="0" t="str">
        <f aca="false">IF(MOD(F419-1,3)=0,SUMPRODUCT(($A$2:$A$644=A419)*(ROW($A$2:$A$644)&gt;=ROW())*(ROW($A$2:$A$644)&lt;ROW()+3)*$C$2:$C$644),"")</f>
        <v/>
      </c>
      <c r="K419" s="0" t="str">
        <f aca="false">IF(J419="","",ROUNDUP(J419/75,0))</f>
        <v/>
      </c>
      <c r="L419" s="0" t="str">
        <f aca="false">IF(MOD(F419-1,5)=0,SUMPRODUCT(($A$2:$A$644=A419)*(ROW($A$2:$A$644)&gt;=ROW())*(ROW($A$2:$A$644)&lt;ROW()+5)*$C$2:$C$644),"")</f>
        <v/>
      </c>
      <c r="M419" s="0" t="str">
        <f aca="false">IF(L419="","",ROUNDUP(L419/75,0))</f>
        <v/>
      </c>
      <c r="N419" s="0" t="str">
        <f aca="false">IF(MOD(F419-1,7)=0,SUMPRODUCT(($A$2:$A$644=A419)*(ROW($A$2:$A$644)&gt;=ROW())*(ROW($A$2:$A$644)&lt;ROW()+7)*$C$2:$C$644),"")</f>
        <v/>
      </c>
      <c r="O419" s="0" t="str">
        <f aca="false">IF(N419="","",ROUNDUP(N419/75,0))</f>
        <v/>
      </c>
    </row>
    <row r="420" customFormat="false" ht="15" hidden="false" customHeight="false" outlineLevel="0" collapsed="false">
      <c r="A420" s="0" t="s">
        <v>249</v>
      </c>
      <c r="B420" s="0" t="s">
        <v>453</v>
      </c>
      <c r="C420" s="0" t="n">
        <v>12</v>
      </c>
      <c r="D420" s="0" t="n">
        <v>1</v>
      </c>
      <c r="E420" s="0" t="n">
        <v>63</v>
      </c>
      <c r="F420" s="0" t="n">
        <f aca="false">COUNTIF($A$2:A420,A420)</f>
        <v>204</v>
      </c>
      <c r="G420" s="0" t="n">
        <f aca="false">ROUNDUP(C420*1.236/75,0)</f>
        <v>1</v>
      </c>
      <c r="H420" s="0" t="str">
        <f aca="false">IF(MOD(F420-1,2)=0,SUMPRODUCT(($A$2:$A$644=A420)*(ROW($A$2:$A$644)&gt;=ROW())*(ROW($A$2:$A$644)&lt;ROW()+2)*$C$2:$C$644),"")</f>
        <v/>
      </c>
      <c r="I420" s="0" t="str">
        <f aca="false">IF(H420="","",ROUNDUP(H420/75,0))</f>
        <v/>
      </c>
      <c r="J420" s="0" t="str">
        <f aca="false">IF(MOD(F420-1,3)=0,SUMPRODUCT(($A$2:$A$644=A420)*(ROW($A$2:$A$644)&gt;=ROW())*(ROW($A$2:$A$644)&lt;ROW()+3)*$C$2:$C$644),"")</f>
        <v/>
      </c>
      <c r="K420" s="0" t="str">
        <f aca="false">IF(J420="","",ROUNDUP(J420/75,0))</f>
        <v/>
      </c>
      <c r="L420" s="0" t="str">
        <f aca="false">IF(MOD(F420-1,5)=0,SUMPRODUCT(($A$2:$A$644=A420)*(ROW($A$2:$A$644)&gt;=ROW())*(ROW($A$2:$A$644)&lt;ROW()+5)*$C$2:$C$644),"")</f>
        <v/>
      </c>
      <c r="M420" s="0" t="str">
        <f aca="false">IF(L420="","",ROUNDUP(L420/75,0))</f>
        <v/>
      </c>
      <c r="N420" s="0" t="n">
        <f aca="false">IF(MOD(F420-1,7)=0,SUMPRODUCT(($A$2:$A$644=A420)*(ROW($A$2:$A$644)&gt;=ROW())*(ROW($A$2:$A$644)&lt;ROW()+7)*$C$2:$C$644),"")</f>
        <v>288</v>
      </c>
      <c r="O420" s="0" t="n">
        <f aca="false">IF(N420="","",ROUNDUP(N420/75,0))</f>
        <v>4</v>
      </c>
    </row>
    <row r="421" customFormat="false" ht="15" hidden="false" customHeight="false" outlineLevel="0" collapsed="false">
      <c r="A421" s="0" t="s">
        <v>249</v>
      </c>
      <c r="B421" s="0" t="s">
        <v>454</v>
      </c>
      <c r="C421" s="0" t="n">
        <v>36</v>
      </c>
      <c r="D421" s="0" t="n">
        <v>1</v>
      </c>
      <c r="E421" s="0" t="n">
        <v>39</v>
      </c>
      <c r="F421" s="0" t="n">
        <f aca="false">COUNTIF($A$2:A421,A421)</f>
        <v>205</v>
      </c>
      <c r="G421" s="0" t="n">
        <f aca="false">ROUNDUP(C421*1.236/75,0)</f>
        <v>1</v>
      </c>
      <c r="H421" s="0" t="n">
        <f aca="false">IF(MOD(F421-1,2)=0,SUMPRODUCT(($A$2:$A$644=A421)*(ROW($A$2:$A$644)&gt;=ROW())*(ROW($A$2:$A$644)&lt;ROW()+2)*$C$2:$C$644),"")</f>
        <v>66</v>
      </c>
      <c r="I421" s="0" t="n">
        <f aca="false">IF(H421="","",ROUNDUP(H421/75,0))</f>
        <v>1</v>
      </c>
      <c r="J421" s="0" t="n">
        <f aca="false">IF(MOD(F421-1,3)=0,SUMPRODUCT(($A$2:$A$644=A421)*(ROW($A$2:$A$644)&gt;=ROW())*(ROW($A$2:$A$644)&lt;ROW()+3)*$C$2:$C$644),"")</f>
        <v>108</v>
      </c>
      <c r="K421" s="0" t="n">
        <f aca="false">IF(J421="","",ROUNDUP(J421/75,0))</f>
        <v>2</v>
      </c>
      <c r="L421" s="0" t="str">
        <f aca="false">IF(MOD(F421-1,5)=0,SUMPRODUCT(($A$2:$A$644=A421)*(ROW($A$2:$A$644)&gt;=ROW())*(ROW($A$2:$A$644)&lt;ROW()+5)*$C$2:$C$644),"")</f>
        <v/>
      </c>
      <c r="M421" s="0" t="str">
        <f aca="false">IF(L421="","",ROUNDUP(L421/75,0))</f>
        <v/>
      </c>
      <c r="N421" s="0" t="str">
        <f aca="false">IF(MOD(F421-1,7)=0,SUMPRODUCT(($A$2:$A$644=A421)*(ROW($A$2:$A$644)&gt;=ROW())*(ROW($A$2:$A$644)&lt;ROW()+7)*$C$2:$C$644),"")</f>
        <v/>
      </c>
      <c r="O421" s="0" t="str">
        <f aca="false">IF(N421="","",ROUNDUP(N421/75,0))</f>
        <v/>
      </c>
    </row>
    <row r="422" customFormat="false" ht="15" hidden="false" customHeight="false" outlineLevel="0" collapsed="false">
      <c r="A422" s="0" t="s">
        <v>249</v>
      </c>
      <c r="B422" s="0" t="s">
        <v>455</v>
      </c>
      <c r="C422" s="0" t="n">
        <v>30</v>
      </c>
      <c r="D422" s="0" t="n">
        <v>1</v>
      </c>
      <c r="E422" s="0" t="n">
        <v>45</v>
      </c>
      <c r="F422" s="0" t="n">
        <f aca="false">COUNTIF($A$2:A422,A422)</f>
        <v>206</v>
      </c>
      <c r="G422" s="0" t="n">
        <f aca="false">ROUNDUP(C422*1.236/75,0)</f>
        <v>1</v>
      </c>
      <c r="H422" s="0" t="str">
        <f aca="false">IF(MOD(F422-1,2)=0,SUMPRODUCT(($A$2:$A$644=A422)*(ROW($A$2:$A$644)&gt;=ROW())*(ROW($A$2:$A$644)&lt;ROW()+2)*$C$2:$C$644),"")</f>
        <v/>
      </c>
      <c r="I422" s="0" t="str">
        <f aca="false">IF(H422="","",ROUNDUP(H422/75,0))</f>
        <v/>
      </c>
      <c r="J422" s="0" t="str">
        <f aca="false">IF(MOD(F422-1,3)=0,SUMPRODUCT(($A$2:$A$644=A422)*(ROW($A$2:$A$644)&gt;=ROW())*(ROW($A$2:$A$644)&lt;ROW()+3)*$C$2:$C$644),"")</f>
        <v/>
      </c>
      <c r="K422" s="0" t="str">
        <f aca="false">IF(J422="","",ROUNDUP(J422/75,0))</f>
        <v/>
      </c>
      <c r="L422" s="0" t="n">
        <f aca="false">IF(MOD(F422-1,5)=0,SUMPRODUCT(($A$2:$A$644=A422)*(ROW($A$2:$A$644)&gt;=ROW())*(ROW($A$2:$A$644)&lt;ROW()+5)*$C$2:$C$644),"")</f>
        <v>240</v>
      </c>
      <c r="M422" s="0" t="n">
        <f aca="false">IF(L422="","",ROUNDUP(L422/75,0))</f>
        <v>4</v>
      </c>
      <c r="N422" s="0" t="str">
        <f aca="false">IF(MOD(F422-1,7)=0,SUMPRODUCT(($A$2:$A$644=A422)*(ROW($A$2:$A$644)&gt;=ROW())*(ROW($A$2:$A$644)&lt;ROW()+7)*$C$2:$C$644),"")</f>
        <v/>
      </c>
      <c r="O422" s="0" t="str">
        <f aca="false">IF(N422="","",ROUNDUP(N422/75,0))</f>
        <v/>
      </c>
    </row>
    <row r="423" customFormat="false" ht="15" hidden="false" customHeight="false" outlineLevel="0" collapsed="false">
      <c r="A423" s="0" t="s">
        <v>249</v>
      </c>
      <c r="B423" s="0" t="s">
        <v>456</v>
      </c>
      <c r="C423" s="0" t="n">
        <v>42</v>
      </c>
      <c r="D423" s="0" t="n">
        <v>1</v>
      </c>
      <c r="E423" s="0" t="n">
        <v>33</v>
      </c>
      <c r="F423" s="0" t="n">
        <f aca="false">COUNTIF($A$2:A423,A423)</f>
        <v>207</v>
      </c>
      <c r="G423" s="0" t="n">
        <f aca="false">ROUNDUP(C423*1.236/75,0)</f>
        <v>1</v>
      </c>
      <c r="H423" s="0" t="n">
        <f aca="false">IF(MOD(F423-1,2)=0,SUMPRODUCT(($A$2:$A$644=A423)*(ROW($A$2:$A$644)&gt;=ROW())*(ROW($A$2:$A$644)&lt;ROW()+2)*$C$2:$C$644),"")</f>
        <v>108</v>
      </c>
      <c r="I423" s="0" t="n">
        <f aca="false">IF(H423="","",ROUNDUP(H423/75,0))</f>
        <v>2</v>
      </c>
      <c r="J423" s="0" t="str">
        <f aca="false">IF(MOD(F423-1,3)=0,SUMPRODUCT(($A$2:$A$644=A423)*(ROW($A$2:$A$644)&gt;=ROW())*(ROW($A$2:$A$644)&lt;ROW()+3)*$C$2:$C$644),"")</f>
        <v/>
      </c>
      <c r="K423" s="0" t="str">
        <f aca="false">IF(J423="","",ROUNDUP(J423/75,0))</f>
        <v/>
      </c>
      <c r="L423" s="0" t="str">
        <f aca="false">IF(MOD(F423-1,5)=0,SUMPRODUCT(($A$2:$A$644=A423)*(ROW($A$2:$A$644)&gt;=ROW())*(ROW($A$2:$A$644)&lt;ROW()+5)*$C$2:$C$644),"")</f>
        <v/>
      </c>
      <c r="M423" s="0" t="str">
        <f aca="false">IF(L423="","",ROUNDUP(L423/75,0))</f>
        <v/>
      </c>
      <c r="N423" s="0" t="str">
        <f aca="false">IF(MOD(F423-1,7)=0,SUMPRODUCT(($A$2:$A$644=A423)*(ROW($A$2:$A$644)&gt;=ROW())*(ROW($A$2:$A$644)&lt;ROW()+7)*$C$2:$C$644),"")</f>
        <v/>
      </c>
      <c r="O423" s="0" t="str">
        <f aca="false">IF(N423="","",ROUNDUP(N423/75,0))</f>
        <v/>
      </c>
    </row>
    <row r="424" customFormat="false" ht="15" hidden="false" customHeight="false" outlineLevel="0" collapsed="false">
      <c r="A424" s="0" t="s">
        <v>249</v>
      </c>
      <c r="B424" s="0" t="s">
        <v>457</v>
      </c>
      <c r="C424" s="0" t="n">
        <v>66</v>
      </c>
      <c r="D424" s="0" t="n">
        <v>1</v>
      </c>
      <c r="E424" s="0" t="n">
        <v>9</v>
      </c>
      <c r="F424" s="0" t="n">
        <f aca="false">COUNTIF($A$2:A424,A424)</f>
        <v>208</v>
      </c>
      <c r="G424" s="0" t="n">
        <f aca="false">ROUNDUP(C424*1.236/75,0)</f>
        <v>2</v>
      </c>
      <c r="H424" s="0" t="str">
        <f aca="false">IF(MOD(F424-1,2)=0,SUMPRODUCT(($A$2:$A$644=A424)*(ROW($A$2:$A$644)&gt;=ROW())*(ROW($A$2:$A$644)&lt;ROW()+2)*$C$2:$C$644),"")</f>
        <v/>
      </c>
      <c r="I424" s="0" t="str">
        <f aca="false">IF(H424="","",ROUNDUP(H424/75,0))</f>
        <v/>
      </c>
      <c r="J424" s="0" t="n">
        <f aca="false">IF(MOD(F424-1,3)=0,SUMPRODUCT(($A$2:$A$644=A424)*(ROW($A$2:$A$644)&gt;=ROW())*(ROW($A$2:$A$644)&lt;ROW()+3)*$C$2:$C$644),"")</f>
        <v>168</v>
      </c>
      <c r="K424" s="0" t="n">
        <f aca="false">IF(J424="","",ROUNDUP(J424/75,0))</f>
        <v>3</v>
      </c>
      <c r="L424" s="0" t="str">
        <f aca="false">IF(MOD(F424-1,5)=0,SUMPRODUCT(($A$2:$A$644=A424)*(ROW($A$2:$A$644)&gt;=ROW())*(ROW($A$2:$A$644)&lt;ROW()+5)*$C$2:$C$644),"")</f>
        <v/>
      </c>
      <c r="M424" s="0" t="str">
        <f aca="false">IF(L424="","",ROUNDUP(L424/75,0))</f>
        <v/>
      </c>
      <c r="N424" s="0" t="str">
        <f aca="false">IF(MOD(F424-1,7)=0,SUMPRODUCT(($A$2:$A$644=A424)*(ROW($A$2:$A$644)&gt;=ROW())*(ROW($A$2:$A$644)&lt;ROW()+7)*$C$2:$C$644),"")</f>
        <v/>
      </c>
      <c r="O424" s="0" t="str">
        <f aca="false">IF(N424="","",ROUNDUP(N424/75,0))</f>
        <v/>
      </c>
    </row>
    <row r="425" customFormat="false" ht="15" hidden="false" customHeight="false" outlineLevel="0" collapsed="false">
      <c r="A425" s="0" t="s">
        <v>249</v>
      </c>
      <c r="B425" s="0" t="s">
        <v>458</v>
      </c>
      <c r="C425" s="0" t="n">
        <v>6</v>
      </c>
      <c r="D425" s="0" t="n">
        <v>1</v>
      </c>
      <c r="E425" s="0" t="n">
        <v>69</v>
      </c>
      <c r="F425" s="0" t="n">
        <f aca="false">COUNTIF($A$2:A425,A425)</f>
        <v>209</v>
      </c>
      <c r="G425" s="0" t="n">
        <f aca="false">ROUNDUP(C425*1.236/75,0)</f>
        <v>1</v>
      </c>
      <c r="H425" s="0" t="n">
        <f aca="false">IF(MOD(F425-1,2)=0,SUMPRODUCT(($A$2:$A$644=A425)*(ROW($A$2:$A$644)&gt;=ROW())*(ROW($A$2:$A$644)&lt;ROW()+2)*$C$2:$C$644),"")</f>
        <v>102</v>
      </c>
      <c r="I425" s="0" t="n">
        <f aca="false">IF(H425="","",ROUNDUP(H425/75,0))</f>
        <v>2</v>
      </c>
      <c r="J425" s="0" t="str">
        <f aca="false">IF(MOD(F425-1,3)=0,SUMPRODUCT(($A$2:$A$644=A425)*(ROW($A$2:$A$644)&gt;=ROW())*(ROW($A$2:$A$644)&lt;ROW()+3)*$C$2:$C$644),"")</f>
        <v/>
      </c>
      <c r="K425" s="0" t="str">
        <f aca="false">IF(J425="","",ROUNDUP(J425/75,0))</f>
        <v/>
      </c>
      <c r="L425" s="0" t="str">
        <f aca="false">IF(MOD(F425-1,5)=0,SUMPRODUCT(($A$2:$A$644=A425)*(ROW($A$2:$A$644)&gt;=ROW())*(ROW($A$2:$A$644)&lt;ROW()+5)*$C$2:$C$644),"")</f>
        <v/>
      </c>
      <c r="M425" s="0" t="str">
        <f aca="false">IF(L425="","",ROUNDUP(L425/75,0))</f>
        <v/>
      </c>
      <c r="N425" s="0" t="str">
        <f aca="false">IF(MOD(F425-1,7)=0,SUMPRODUCT(($A$2:$A$644=A425)*(ROW($A$2:$A$644)&gt;=ROW())*(ROW($A$2:$A$644)&lt;ROW()+7)*$C$2:$C$644),"")</f>
        <v/>
      </c>
      <c r="O425" s="0" t="str">
        <f aca="false">IF(N425="","",ROUNDUP(N425/75,0))</f>
        <v/>
      </c>
    </row>
    <row r="426" customFormat="false" ht="15" hidden="false" customHeight="false" outlineLevel="0" collapsed="false">
      <c r="A426" s="0" t="s">
        <v>249</v>
      </c>
      <c r="B426" s="0" t="s">
        <v>459</v>
      </c>
      <c r="C426" s="0" t="n">
        <v>96</v>
      </c>
      <c r="D426" s="0" t="n">
        <v>2</v>
      </c>
      <c r="E426" s="0" t="n">
        <v>54</v>
      </c>
      <c r="F426" s="0" t="n">
        <f aca="false">COUNTIF($A$2:A426,A426)</f>
        <v>210</v>
      </c>
      <c r="G426" s="0" t="n">
        <f aca="false">ROUNDUP(C426*1.236/75,0)</f>
        <v>2</v>
      </c>
      <c r="H426" s="0" t="str">
        <f aca="false">IF(MOD(F426-1,2)=0,SUMPRODUCT(($A$2:$A$644=A426)*(ROW($A$2:$A$644)&gt;=ROW())*(ROW($A$2:$A$644)&lt;ROW()+2)*$C$2:$C$644),"")</f>
        <v/>
      </c>
      <c r="I426" s="0" t="str">
        <f aca="false">IF(H426="","",ROUNDUP(H426/75,0))</f>
        <v/>
      </c>
      <c r="J426" s="0" t="str">
        <f aca="false">IF(MOD(F426-1,3)=0,SUMPRODUCT(($A$2:$A$644=A426)*(ROW($A$2:$A$644)&gt;=ROW())*(ROW($A$2:$A$644)&lt;ROW()+3)*$C$2:$C$644),"")</f>
        <v/>
      </c>
      <c r="K426" s="0" t="str">
        <f aca="false">IF(J426="","",ROUNDUP(J426/75,0))</f>
        <v/>
      </c>
      <c r="L426" s="0" t="str">
        <f aca="false">IF(MOD(F426-1,5)=0,SUMPRODUCT(($A$2:$A$644=A426)*(ROW($A$2:$A$644)&gt;=ROW())*(ROW($A$2:$A$644)&lt;ROW()+5)*$C$2:$C$644),"")</f>
        <v/>
      </c>
      <c r="M426" s="0" t="str">
        <f aca="false">IF(L426="","",ROUNDUP(L426/75,0))</f>
        <v/>
      </c>
      <c r="N426" s="0" t="str">
        <f aca="false">IF(MOD(F426-1,7)=0,SUMPRODUCT(($A$2:$A$644=A426)*(ROW($A$2:$A$644)&gt;=ROW())*(ROW($A$2:$A$644)&lt;ROW()+7)*$C$2:$C$644),"")</f>
        <v/>
      </c>
      <c r="O426" s="0" t="str">
        <f aca="false">IF(N426="","",ROUNDUP(N426/75,0))</f>
        <v/>
      </c>
    </row>
    <row r="427" customFormat="false" ht="15" hidden="false" customHeight="false" outlineLevel="0" collapsed="false">
      <c r="A427" s="0" t="s">
        <v>249</v>
      </c>
      <c r="B427" s="0" t="s">
        <v>460</v>
      </c>
      <c r="C427" s="0" t="n">
        <v>78</v>
      </c>
      <c r="D427" s="0" t="n">
        <v>2</v>
      </c>
      <c r="E427" s="0" t="n">
        <v>72</v>
      </c>
      <c r="F427" s="0" t="n">
        <f aca="false">COUNTIF($A$2:A427,A427)</f>
        <v>211</v>
      </c>
      <c r="G427" s="0" t="n">
        <f aca="false">ROUNDUP(C427*1.236/75,0)</f>
        <v>2</v>
      </c>
      <c r="H427" s="0" t="n">
        <f aca="false">IF(MOD(F427-1,2)=0,SUMPRODUCT(($A$2:$A$644=A427)*(ROW($A$2:$A$644)&gt;=ROW())*(ROW($A$2:$A$644)&lt;ROW()+2)*$C$2:$C$644),"")</f>
        <v>180</v>
      </c>
      <c r="I427" s="0" t="n">
        <f aca="false">IF(H427="","",ROUNDUP(H427/75,0))</f>
        <v>3</v>
      </c>
      <c r="J427" s="0" t="n">
        <f aca="false">IF(MOD(F427-1,3)=0,SUMPRODUCT(($A$2:$A$644=A427)*(ROW($A$2:$A$644)&gt;=ROW())*(ROW($A$2:$A$644)&lt;ROW()+3)*$C$2:$C$644),"")</f>
        <v>180</v>
      </c>
      <c r="K427" s="0" t="n">
        <f aca="false">IF(J427="","",ROUNDUP(J427/75,0))</f>
        <v>3</v>
      </c>
      <c r="L427" s="0" t="n">
        <f aca="false">IF(MOD(F427-1,5)=0,SUMPRODUCT(($A$2:$A$644=A427)*(ROW($A$2:$A$644)&gt;=ROW())*(ROW($A$2:$A$644)&lt;ROW()+5)*$C$2:$C$644),"")</f>
        <v>180</v>
      </c>
      <c r="M427" s="0" t="n">
        <f aca="false">IF(L427="","",ROUNDUP(L427/75,0))</f>
        <v>3</v>
      </c>
      <c r="N427" s="0" t="n">
        <f aca="false">IF(MOD(F427-1,7)=0,SUMPRODUCT(($A$2:$A$644=A427)*(ROW($A$2:$A$644)&gt;=ROW())*(ROW($A$2:$A$644)&lt;ROW()+7)*$C$2:$C$644),"")</f>
        <v>180</v>
      </c>
      <c r="O427" s="0" t="n">
        <f aca="false">IF(N427="","",ROUNDUP(N427/75,0))</f>
        <v>3</v>
      </c>
    </row>
    <row r="428" customFormat="false" ht="15" hidden="false" customHeight="false" outlineLevel="0" collapsed="false">
      <c r="A428" s="0" t="s">
        <v>249</v>
      </c>
      <c r="B428" s="0" t="s">
        <v>461</v>
      </c>
      <c r="C428" s="0" t="n">
        <v>102</v>
      </c>
      <c r="D428" s="0" t="n">
        <v>2</v>
      </c>
      <c r="E428" s="0" t="n">
        <v>48</v>
      </c>
      <c r="F428" s="0" t="n">
        <f aca="false">COUNTIF($A$2:A428,A428)</f>
        <v>212</v>
      </c>
      <c r="G428" s="0" t="n">
        <f aca="false">ROUNDUP(C428*1.236/75,0)</f>
        <v>2</v>
      </c>
      <c r="H428" s="0" t="str">
        <f aca="false">IF(MOD(F428-1,2)=0,SUMPRODUCT(($A$2:$A$644=A428)*(ROW($A$2:$A$644)&gt;=ROW())*(ROW($A$2:$A$644)&lt;ROW()+2)*$C$2:$C$644),"")</f>
        <v/>
      </c>
      <c r="I428" s="0" t="str">
        <f aca="false">IF(H428="","",ROUNDUP(H428/75,0))</f>
        <v/>
      </c>
      <c r="J428" s="0" t="str">
        <f aca="false">IF(MOD(F428-1,3)=0,SUMPRODUCT(($A$2:$A$644=A428)*(ROW($A$2:$A$644)&gt;=ROW())*(ROW($A$2:$A$644)&lt;ROW()+3)*$C$2:$C$644),"")</f>
        <v/>
      </c>
      <c r="K428" s="0" t="str">
        <f aca="false">IF(J428="","",ROUNDUP(J428/75,0))</f>
        <v/>
      </c>
      <c r="L428" s="0" t="str">
        <f aca="false">IF(MOD(F428-1,5)=0,SUMPRODUCT(($A$2:$A$644=A428)*(ROW($A$2:$A$644)&gt;=ROW())*(ROW($A$2:$A$644)&lt;ROW()+5)*$C$2:$C$644),"")</f>
        <v/>
      </c>
      <c r="M428" s="0" t="str">
        <f aca="false">IF(L428="","",ROUNDUP(L428/75,0))</f>
        <v/>
      </c>
      <c r="N428" s="0" t="str">
        <f aca="false">IF(MOD(F428-1,7)=0,SUMPRODUCT(($A$2:$A$644=A428)*(ROW($A$2:$A$644)&gt;=ROW())*(ROW($A$2:$A$644)&lt;ROW()+7)*$C$2:$C$644),"")</f>
        <v/>
      </c>
      <c r="O428" s="0" t="str">
        <f aca="false">IF(N428="","",ROUNDUP(N428/75,0))</f>
        <v/>
      </c>
    </row>
    <row r="429" customFormat="false" ht="15" hidden="false" customHeight="false" outlineLevel="0" collapsed="false">
      <c r="A429" s="0" t="s">
        <v>462</v>
      </c>
      <c r="B429" s="0" t="s">
        <v>463</v>
      </c>
      <c r="C429" s="0" t="n">
        <v>12</v>
      </c>
      <c r="D429" s="0" t="n">
        <v>1</v>
      </c>
      <c r="E429" s="0" t="n">
        <v>63</v>
      </c>
      <c r="F429" s="0" t="n">
        <f aca="false">COUNTIF($A$2:A429,A429)</f>
        <v>1</v>
      </c>
      <c r="G429" s="0" t="n">
        <f aca="false">ROUNDUP(C429*1.236/75,0)</f>
        <v>1</v>
      </c>
      <c r="H429" s="0" t="n">
        <f aca="false">IF(MOD(F429-1,2)=0,SUMPRODUCT(($A$2:$A$644=A429)*(ROW($A$2:$A$644)&gt;=ROW())*(ROW($A$2:$A$644)&lt;ROW()+2)*$C$2:$C$644),"")</f>
        <v>42</v>
      </c>
      <c r="I429" s="0" t="n">
        <f aca="false">IF(H429="","",ROUNDUP(H429/75,0))</f>
        <v>1</v>
      </c>
      <c r="J429" s="0" t="n">
        <f aca="false">IF(MOD(F429-1,3)=0,SUMPRODUCT(($A$2:$A$644=A429)*(ROW($A$2:$A$644)&gt;=ROW())*(ROW($A$2:$A$644)&lt;ROW()+3)*$C$2:$C$644),"")</f>
        <v>132</v>
      </c>
      <c r="K429" s="0" t="n">
        <f aca="false">IF(J429="","",ROUNDUP(J429/75,0))</f>
        <v>2</v>
      </c>
      <c r="L429" s="0" t="n">
        <f aca="false">IF(MOD(F429-1,5)=0,SUMPRODUCT(($A$2:$A$644=A429)*(ROW($A$2:$A$644)&gt;=ROW())*(ROW($A$2:$A$644)&lt;ROW()+5)*$C$2:$C$644),"")</f>
        <v>294</v>
      </c>
      <c r="M429" s="0" t="n">
        <f aca="false">IF(L429="","",ROUNDUP(L429/75,0))</f>
        <v>4</v>
      </c>
      <c r="N429" s="0" t="n">
        <f aca="false">IF(MOD(F429-1,7)=0,SUMPRODUCT(($A$2:$A$644=A429)*(ROW($A$2:$A$644)&gt;=ROW())*(ROW($A$2:$A$644)&lt;ROW()+7)*$C$2:$C$644),"")</f>
        <v>342</v>
      </c>
      <c r="O429" s="0" t="n">
        <f aca="false">IF(N429="","",ROUNDUP(N429/75,0))</f>
        <v>5</v>
      </c>
    </row>
    <row r="430" customFormat="false" ht="15" hidden="false" customHeight="false" outlineLevel="0" collapsed="false">
      <c r="A430" s="0" t="s">
        <v>462</v>
      </c>
      <c r="B430" s="0" t="s">
        <v>464</v>
      </c>
      <c r="C430" s="0" t="n">
        <v>30</v>
      </c>
      <c r="D430" s="0" t="n">
        <v>1</v>
      </c>
      <c r="E430" s="0" t="n">
        <v>45</v>
      </c>
      <c r="F430" s="0" t="n">
        <f aca="false">COUNTIF($A$2:A430,A430)</f>
        <v>2</v>
      </c>
      <c r="G430" s="0" t="n">
        <f aca="false">ROUNDUP(C430*1.236/75,0)</f>
        <v>1</v>
      </c>
      <c r="H430" s="0" t="str">
        <f aca="false">IF(MOD(F430-1,2)=0,SUMPRODUCT(($A$2:$A$644=A430)*(ROW($A$2:$A$644)&gt;=ROW())*(ROW($A$2:$A$644)&lt;ROW()+2)*$C$2:$C$644),"")</f>
        <v/>
      </c>
      <c r="I430" s="0" t="str">
        <f aca="false">IF(H430="","",ROUNDUP(H430/75,0))</f>
        <v/>
      </c>
      <c r="J430" s="0" t="str">
        <f aca="false">IF(MOD(F430-1,3)=0,SUMPRODUCT(($A$2:$A$644=A430)*(ROW($A$2:$A$644)&gt;=ROW())*(ROW($A$2:$A$644)&lt;ROW()+3)*$C$2:$C$644),"")</f>
        <v/>
      </c>
      <c r="K430" s="0" t="str">
        <f aca="false">IF(J430="","",ROUNDUP(J430/75,0))</f>
        <v/>
      </c>
      <c r="L430" s="0" t="str">
        <f aca="false">IF(MOD(F430-1,5)=0,SUMPRODUCT(($A$2:$A$644=A430)*(ROW($A$2:$A$644)&gt;=ROW())*(ROW($A$2:$A$644)&lt;ROW()+5)*$C$2:$C$644),"")</f>
        <v/>
      </c>
      <c r="M430" s="0" t="str">
        <f aca="false">IF(L430="","",ROUNDUP(L430/75,0))</f>
        <v/>
      </c>
      <c r="N430" s="0" t="str">
        <f aca="false">IF(MOD(F430-1,7)=0,SUMPRODUCT(($A$2:$A$644=A430)*(ROW($A$2:$A$644)&gt;=ROW())*(ROW($A$2:$A$644)&lt;ROW()+7)*$C$2:$C$644),"")</f>
        <v/>
      </c>
      <c r="O430" s="0" t="str">
        <f aca="false">IF(N430="","",ROUNDUP(N430/75,0))</f>
        <v/>
      </c>
    </row>
    <row r="431" customFormat="false" ht="15" hidden="false" customHeight="false" outlineLevel="0" collapsed="false">
      <c r="A431" s="0" t="s">
        <v>462</v>
      </c>
      <c r="B431" s="0" t="s">
        <v>465</v>
      </c>
      <c r="C431" s="0" t="n">
        <v>90</v>
      </c>
      <c r="D431" s="0" t="n">
        <v>2</v>
      </c>
      <c r="E431" s="0" t="n">
        <v>60</v>
      </c>
      <c r="F431" s="0" t="n">
        <f aca="false">COUNTIF($A$2:A431,A431)</f>
        <v>3</v>
      </c>
      <c r="G431" s="0" t="n">
        <f aca="false">ROUNDUP(C431*1.236/75,0)</f>
        <v>2</v>
      </c>
      <c r="H431" s="0" t="n">
        <f aca="false">IF(MOD(F431-1,2)=0,SUMPRODUCT(($A$2:$A$644=A431)*(ROW($A$2:$A$644)&gt;=ROW())*(ROW($A$2:$A$644)&lt;ROW()+2)*$C$2:$C$644),"")</f>
        <v>150</v>
      </c>
      <c r="I431" s="0" t="n">
        <f aca="false">IF(H431="","",ROUNDUP(H431/75,0))</f>
        <v>2</v>
      </c>
      <c r="J431" s="0" t="str">
        <f aca="false">IF(MOD(F431-1,3)=0,SUMPRODUCT(($A$2:$A$644=A431)*(ROW($A$2:$A$644)&gt;=ROW())*(ROW($A$2:$A$644)&lt;ROW()+3)*$C$2:$C$644),"")</f>
        <v/>
      </c>
      <c r="K431" s="0" t="str">
        <f aca="false">IF(J431="","",ROUNDUP(J431/75,0))</f>
        <v/>
      </c>
      <c r="L431" s="0" t="str">
        <f aca="false">IF(MOD(F431-1,5)=0,SUMPRODUCT(($A$2:$A$644=A431)*(ROW($A$2:$A$644)&gt;=ROW())*(ROW($A$2:$A$644)&lt;ROW()+5)*$C$2:$C$644),"")</f>
        <v/>
      </c>
      <c r="M431" s="0" t="str">
        <f aca="false">IF(L431="","",ROUNDUP(L431/75,0))</f>
        <v/>
      </c>
      <c r="N431" s="0" t="str">
        <f aca="false">IF(MOD(F431-1,7)=0,SUMPRODUCT(($A$2:$A$644=A431)*(ROW($A$2:$A$644)&gt;=ROW())*(ROW($A$2:$A$644)&lt;ROW()+7)*$C$2:$C$644),"")</f>
        <v/>
      </c>
      <c r="O431" s="0" t="str">
        <f aca="false">IF(N431="","",ROUNDUP(N431/75,0))</f>
        <v/>
      </c>
    </row>
    <row r="432" customFormat="false" ht="15" hidden="false" customHeight="false" outlineLevel="0" collapsed="false">
      <c r="A432" s="0" t="s">
        <v>462</v>
      </c>
      <c r="B432" s="0" t="s">
        <v>466</v>
      </c>
      <c r="C432" s="0" t="n">
        <v>60</v>
      </c>
      <c r="D432" s="0" t="n">
        <v>1</v>
      </c>
      <c r="E432" s="0" t="n">
        <v>15</v>
      </c>
      <c r="F432" s="0" t="n">
        <f aca="false">COUNTIF($A$2:A432,A432)</f>
        <v>4</v>
      </c>
      <c r="G432" s="0" t="n">
        <f aca="false">ROUNDUP(C432*1.236/75,0)</f>
        <v>1</v>
      </c>
      <c r="H432" s="0" t="str">
        <f aca="false">IF(MOD(F432-1,2)=0,SUMPRODUCT(($A$2:$A$644=A432)*(ROW($A$2:$A$644)&gt;=ROW())*(ROW($A$2:$A$644)&lt;ROW()+2)*$C$2:$C$644),"")</f>
        <v/>
      </c>
      <c r="I432" s="0" t="str">
        <f aca="false">IF(H432="","",ROUNDUP(H432/75,0))</f>
        <v/>
      </c>
      <c r="J432" s="0" t="n">
        <f aca="false">IF(MOD(F432-1,3)=0,SUMPRODUCT(($A$2:$A$644=A432)*(ROW($A$2:$A$644)&gt;=ROW())*(ROW($A$2:$A$644)&lt;ROW()+3)*$C$2:$C$644),"")</f>
        <v>204</v>
      </c>
      <c r="K432" s="0" t="n">
        <f aca="false">IF(J432="","",ROUNDUP(J432/75,0))</f>
        <v>3</v>
      </c>
      <c r="L432" s="0" t="str">
        <f aca="false">IF(MOD(F432-1,5)=0,SUMPRODUCT(($A$2:$A$644=A432)*(ROW($A$2:$A$644)&gt;=ROW())*(ROW($A$2:$A$644)&lt;ROW()+5)*$C$2:$C$644),"")</f>
        <v/>
      </c>
      <c r="M432" s="0" t="str">
        <f aca="false">IF(L432="","",ROUNDUP(L432/75,0))</f>
        <v/>
      </c>
      <c r="N432" s="0" t="str">
        <f aca="false">IF(MOD(F432-1,7)=0,SUMPRODUCT(($A$2:$A$644=A432)*(ROW($A$2:$A$644)&gt;=ROW())*(ROW($A$2:$A$644)&lt;ROW()+7)*$C$2:$C$644),"")</f>
        <v/>
      </c>
      <c r="O432" s="0" t="str">
        <f aca="false">IF(N432="","",ROUNDUP(N432/75,0))</f>
        <v/>
      </c>
    </row>
    <row r="433" customFormat="false" ht="15" hidden="false" customHeight="false" outlineLevel="0" collapsed="false">
      <c r="A433" s="0" t="s">
        <v>462</v>
      </c>
      <c r="B433" s="0" t="s">
        <v>467</v>
      </c>
      <c r="C433" s="0" t="n">
        <v>102</v>
      </c>
      <c r="D433" s="0" t="n">
        <v>2</v>
      </c>
      <c r="E433" s="0" t="n">
        <v>48</v>
      </c>
      <c r="F433" s="0" t="n">
        <f aca="false">COUNTIF($A$2:A433,A433)</f>
        <v>5</v>
      </c>
      <c r="G433" s="0" t="n">
        <f aca="false">ROUNDUP(C433*1.236/75,0)</f>
        <v>2</v>
      </c>
      <c r="H433" s="0" t="n">
        <f aca="false">IF(MOD(F433-1,2)=0,SUMPRODUCT(($A$2:$A$644=A433)*(ROW($A$2:$A$644)&gt;=ROW())*(ROW($A$2:$A$644)&lt;ROW()+2)*$C$2:$C$644),"")</f>
        <v>144</v>
      </c>
      <c r="I433" s="0" t="n">
        <f aca="false">IF(H433="","",ROUNDUP(H433/75,0))</f>
        <v>2</v>
      </c>
      <c r="J433" s="0" t="str">
        <f aca="false">IF(MOD(F433-1,3)=0,SUMPRODUCT(($A$2:$A$644=A433)*(ROW($A$2:$A$644)&gt;=ROW())*(ROW($A$2:$A$644)&lt;ROW()+3)*$C$2:$C$644),"")</f>
        <v/>
      </c>
      <c r="K433" s="0" t="str">
        <f aca="false">IF(J433="","",ROUNDUP(J433/75,0))</f>
        <v/>
      </c>
      <c r="L433" s="0" t="str">
        <f aca="false">IF(MOD(F433-1,5)=0,SUMPRODUCT(($A$2:$A$644=A433)*(ROW($A$2:$A$644)&gt;=ROW())*(ROW($A$2:$A$644)&lt;ROW()+5)*$C$2:$C$644),"")</f>
        <v/>
      </c>
      <c r="M433" s="0" t="str">
        <f aca="false">IF(L433="","",ROUNDUP(L433/75,0))</f>
        <v/>
      </c>
      <c r="N433" s="0" t="str">
        <f aca="false">IF(MOD(F433-1,7)=0,SUMPRODUCT(($A$2:$A$644=A433)*(ROW($A$2:$A$644)&gt;=ROW())*(ROW($A$2:$A$644)&lt;ROW()+7)*$C$2:$C$644),"")</f>
        <v/>
      </c>
      <c r="O433" s="0" t="str">
        <f aca="false">IF(N433="","",ROUNDUP(N433/75,0))</f>
        <v/>
      </c>
    </row>
    <row r="434" customFormat="false" ht="15" hidden="false" customHeight="false" outlineLevel="0" collapsed="false">
      <c r="A434" s="0" t="s">
        <v>462</v>
      </c>
      <c r="B434" s="0" t="s">
        <v>468</v>
      </c>
      <c r="C434" s="0" t="n">
        <v>42</v>
      </c>
      <c r="D434" s="0" t="n">
        <v>1</v>
      </c>
      <c r="E434" s="0" t="n">
        <v>33</v>
      </c>
      <c r="F434" s="0" t="n">
        <f aca="false">COUNTIF($A$2:A434,A434)</f>
        <v>6</v>
      </c>
      <c r="G434" s="0" t="n">
        <f aca="false">ROUNDUP(C434*1.236/75,0)</f>
        <v>1</v>
      </c>
      <c r="H434" s="0" t="str">
        <f aca="false">IF(MOD(F434-1,2)=0,SUMPRODUCT(($A$2:$A$644=A434)*(ROW($A$2:$A$644)&gt;=ROW())*(ROW($A$2:$A$644)&lt;ROW()+2)*$C$2:$C$644),"")</f>
        <v/>
      </c>
      <c r="I434" s="0" t="str">
        <f aca="false">IF(H434="","",ROUNDUP(H434/75,0))</f>
        <v/>
      </c>
      <c r="J434" s="0" t="str">
        <f aca="false">IF(MOD(F434-1,3)=0,SUMPRODUCT(($A$2:$A$644=A434)*(ROW($A$2:$A$644)&gt;=ROW())*(ROW($A$2:$A$644)&lt;ROW()+3)*$C$2:$C$644),"")</f>
        <v/>
      </c>
      <c r="K434" s="0" t="str">
        <f aca="false">IF(J434="","",ROUNDUP(J434/75,0))</f>
        <v/>
      </c>
      <c r="L434" s="0" t="n">
        <f aca="false">IF(MOD(F434-1,5)=0,SUMPRODUCT(($A$2:$A$644=A434)*(ROW($A$2:$A$644)&gt;=ROW())*(ROW($A$2:$A$644)&lt;ROW()+5)*$C$2:$C$644),"")</f>
        <v>174</v>
      </c>
      <c r="M434" s="0" t="n">
        <f aca="false">IF(L434="","",ROUNDUP(L434/75,0))</f>
        <v>3</v>
      </c>
      <c r="N434" s="0" t="str">
        <f aca="false">IF(MOD(F434-1,7)=0,SUMPRODUCT(($A$2:$A$644=A434)*(ROW($A$2:$A$644)&gt;=ROW())*(ROW($A$2:$A$644)&lt;ROW()+7)*$C$2:$C$644),"")</f>
        <v/>
      </c>
      <c r="O434" s="0" t="str">
        <f aca="false">IF(N434="","",ROUNDUP(N434/75,0))</f>
        <v/>
      </c>
    </row>
    <row r="435" customFormat="false" ht="15" hidden="false" customHeight="false" outlineLevel="0" collapsed="false">
      <c r="A435" s="0" t="s">
        <v>462</v>
      </c>
      <c r="B435" s="0" t="s">
        <v>469</v>
      </c>
      <c r="C435" s="0" t="n">
        <v>6</v>
      </c>
      <c r="D435" s="0" t="n">
        <v>1</v>
      </c>
      <c r="E435" s="0" t="n">
        <v>69</v>
      </c>
      <c r="F435" s="0" t="n">
        <f aca="false">COUNTIF($A$2:A435,A435)</f>
        <v>7</v>
      </c>
      <c r="G435" s="0" t="n">
        <f aca="false">ROUNDUP(C435*1.236/75,0)</f>
        <v>1</v>
      </c>
      <c r="H435" s="0" t="n">
        <f aca="false">IF(MOD(F435-1,2)=0,SUMPRODUCT(($A$2:$A$644=A435)*(ROW($A$2:$A$644)&gt;=ROW())*(ROW($A$2:$A$644)&lt;ROW()+2)*$C$2:$C$644),"")</f>
        <v>60</v>
      </c>
      <c r="I435" s="0" t="n">
        <f aca="false">IF(H435="","",ROUNDUP(H435/75,0))</f>
        <v>1</v>
      </c>
      <c r="J435" s="0" t="n">
        <f aca="false">IF(MOD(F435-1,3)=0,SUMPRODUCT(($A$2:$A$644=A435)*(ROW($A$2:$A$644)&gt;=ROW())*(ROW($A$2:$A$644)&lt;ROW()+3)*$C$2:$C$644),"")</f>
        <v>108</v>
      </c>
      <c r="K435" s="0" t="n">
        <f aca="false">IF(J435="","",ROUNDUP(J435/75,0))</f>
        <v>2</v>
      </c>
      <c r="L435" s="0" t="str">
        <f aca="false">IF(MOD(F435-1,5)=0,SUMPRODUCT(($A$2:$A$644=A435)*(ROW($A$2:$A$644)&gt;=ROW())*(ROW($A$2:$A$644)&lt;ROW()+5)*$C$2:$C$644),"")</f>
        <v/>
      </c>
      <c r="M435" s="0" t="str">
        <f aca="false">IF(L435="","",ROUNDUP(L435/75,0))</f>
        <v/>
      </c>
      <c r="N435" s="0" t="str">
        <f aca="false">IF(MOD(F435-1,7)=0,SUMPRODUCT(($A$2:$A$644=A435)*(ROW($A$2:$A$644)&gt;=ROW())*(ROW($A$2:$A$644)&lt;ROW()+7)*$C$2:$C$644),"")</f>
        <v/>
      </c>
      <c r="O435" s="0" t="str">
        <f aca="false">IF(N435="","",ROUNDUP(N435/75,0))</f>
        <v/>
      </c>
    </row>
    <row r="436" customFormat="false" ht="15" hidden="false" customHeight="false" outlineLevel="0" collapsed="false">
      <c r="A436" s="0" t="s">
        <v>462</v>
      </c>
      <c r="B436" s="0" t="s">
        <v>470</v>
      </c>
      <c r="C436" s="0" t="n">
        <v>54</v>
      </c>
      <c r="D436" s="0" t="n">
        <v>1</v>
      </c>
      <c r="E436" s="0" t="n">
        <v>21</v>
      </c>
      <c r="F436" s="0" t="n">
        <f aca="false">COUNTIF($A$2:A436,A436)</f>
        <v>8</v>
      </c>
      <c r="G436" s="0" t="n">
        <f aca="false">ROUNDUP(C436*1.236/75,0)</f>
        <v>1</v>
      </c>
      <c r="H436" s="0" t="str">
        <f aca="false">IF(MOD(F436-1,2)=0,SUMPRODUCT(($A$2:$A$644=A436)*(ROW($A$2:$A$644)&gt;=ROW())*(ROW($A$2:$A$644)&lt;ROW()+2)*$C$2:$C$644),"")</f>
        <v/>
      </c>
      <c r="I436" s="0" t="str">
        <f aca="false">IF(H436="","",ROUNDUP(H436/75,0))</f>
        <v/>
      </c>
      <c r="J436" s="0" t="str">
        <f aca="false">IF(MOD(F436-1,3)=0,SUMPRODUCT(($A$2:$A$644=A436)*(ROW($A$2:$A$644)&gt;=ROW())*(ROW($A$2:$A$644)&lt;ROW()+3)*$C$2:$C$644),"")</f>
        <v/>
      </c>
      <c r="K436" s="0" t="str">
        <f aca="false">IF(J436="","",ROUNDUP(J436/75,0))</f>
        <v/>
      </c>
      <c r="L436" s="0" t="str">
        <f aca="false">IF(MOD(F436-1,5)=0,SUMPRODUCT(($A$2:$A$644=A436)*(ROW($A$2:$A$644)&gt;=ROW())*(ROW($A$2:$A$644)&lt;ROW()+5)*$C$2:$C$644),"")</f>
        <v/>
      </c>
      <c r="M436" s="0" t="str">
        <f aca="false">IF(L436="","",ROUNDUP(L436/75,0))</f>
        <v/>
      </c>
      <c r="N436" s="0" t="n">
        <f aca="false">IF(MOD(F436-1,7)=0,SUMPRODUCT(($A$2:$A$644=A436)*(ROW($A$2:$A$644)&gt;=ROW())*(ROW($A$2:$A$644)&lt;ROW()+7)*$C$2:$C$644),"")</f>
        <v>276</v>
      </c>
      <c r="O436" s="0" t="n">
        <f aca="false">IF(N436="","",ROUNDUP(N436/75,0))</f>
        <v>4</v>
      </c>
    </row>
    <row r="437" customFormat="false" ht="15" hidden="false" customHeight="false" outlineLevel="0" collapsed="false">
      <c r="A437" s="0" t="s">
        <v>462</v>
      </c>
      <c r="B437" s="0" t="s">
        <v>471</v>
      </c>
      <c r="C437" s="0" t="n">
        <v>48</v>
      </c>
      <c r="D437" s="0" t="n">
        <v>1</v>
      </c>
      <c r="E437" s="0" t="n">
        <v>27</v>
      </c>
      <c r="F437" s="0" t="n">
        <f aca="false">COUNTIF($A$2:A437,A437)</f>
        <v>9</v>
      </c>
      <c r="G437" s="0" t="n">
        <f aca="false">ROUNDUP(C437*1.236/75,0)</f>
        <v>1</v>
      </c>
      <c r="H437" s="0" t="n">
        <f aca="false">IF(MOD(F437-1,2)=0,SUMPRODUCT(($A$2:$A$644=A437)*(ROW($A$2:$A$644)&gt;=ROW())*(ROW($A$2:$A$644)&lt;ROW()+2)*$C$2:$C$644),"")</f>
        <v>72</v>
      </c>
      <c r="I437" s="0" t="n">
        <f aca="false">IF(H437="","",ROUNDUP(H437/75,0))</f>
        <v>1</v>
      </c>
      <c r="J437" s="0" t="str">
        <f aca="false">IF(MOD(F437-1,3)=0,SUMPRODUCT(($A$2:$A$644=A437)*(ROW($A$2:$A$644)&gt;=ROW())*(ROW($A$2:$A$644)&lt;ROW()+3)*$C$2:$C$644),"")</f>
        <v/>
      </c>
      <c r="K437" s="0" t="str">
        <f aca="false">IF(J437="","",ROUNDUP(J437/75,0))</f>
        <v/>
      </c>
      <c r="L437" s="0" t="str">
        <f aca="false">IF(MOD(F437-1,5)=0,SUMPRODUCT(($A$2:$A$644=A437)*(ROW($A$2:$A$644)&gt;=ROW())*(ROW($A$2:$A$644)&lt;ROW()+5)*$C$2:$C$644),"")</f>
        <v/>
      </c>
      <c r="M437" s="0" t="str">
        <f aca="false">IF(L437="","",ROUNDUP(L437/75,0))</f>
        <v/>
      </c>
      <c r="N437" s="0" t="str">
        <f aca="false">IF(MOD(F437-1,7)=0,SUMPRODUCT(($A$2:$A$644=A437)*(ROW($A$2:$A$644)&gt;=ROW())*(ROW($A$2:$A$644)&lt;ROW()+7)*$C$2:$C$644),"")</f>
        <v/>
      </c>
      <c r="O437" s="0" t="str">
        <f aca="false">IF(N437="","",ROUNDUP(N437/75,0))</f>
        <v/>
      </c>
    </row>
    <row r="438" customFormat="false" ht="15" hidden="false" customHeight="false" outlineLevel="0" collapsed="false">
      <c r="A438" s="0" t="s">
        <v>462</v>
      </c>
      <c r="B438" s="0" t="s">
        <v>472</v>
      </c>
      <c r="C438" s="0" t="n">
        <v>24</v>
      </c>
      <c r="D438" s="0" t="n">
        <v>1</v>
      </c>
      <c r="E438" s="0" t="n">
        <v>51</v>
      </c>
      <c r="F438" s="0" t="n">
        <f aca="false">COUNTIF($A$2:A438,A438)</f>
        <v>10</v>
      </c>
      <c r="G438" s="0" t="n">
        <f aca="false">ROUNDUP(C438*1.236/75,0)</f>
        <v>1</v>
      </c>
      <c r="H438" s="0" t="str">
        <f aca="false">IF(MOD(F438-1,2)=0,SUMPRODUCT(($A$2:$A$644=A438)*(ROW($A$2:$A$644)&gt;=ROW())*(ROW($A$2:$A$644)&lt;ROW()+2)*$C$2:$C$644),"")</f>
        <v/>
      </c>
      <c r="I438" s="0" t="str">
        <f aca="false">IF(H438="","",ROUNDUP(H438/75,0))</f>
        <v/>
      </c>
      <c r="J438" s="0" t="n">
        <f aca="false">IF(MOD(F438-1,3)=0,SUMPRODUCT(($A$2:$A$644=A438)*(ROW($A$2:$A$644)&gt;=ROW())*(ROW($A$2:$A$644)&lt;ROW()+3)*$C$2:$C$644),"")</f>
        <v>90</v>
      </c>
      <c r="K438" s="0" t="n">
        <f aca="false">IF(J438="","",ROUNDUP(J438/75,0))</f>
        <v>2</v>
      </c>
      <c r="L438" s="0" t="str">
        <f aca="false">IF(MOD(F438-1,5)=0,SUMPRODUCT(($A$2:$A$644=A438)*(ROW($A$2:$A$644)&gt;=ROW())*(ROW($A$2:$A$644)&lt;ROW()+5)*$C$2:$C$644),"")</f>
        <v/>
      </c>
      <c r="M438" s="0" t="str">
        <f aca="false">IF(L438="","",ROUNDUP(L438/75,0))</f>
        <v/>
      </c>
      <c r="N438" s="0" t="str">
        <f aca="false">IF(MOD(F438-1,7)=0,SUMPRODUCT(($A$2:$A$644=A438)*(ROW($A$2:$A$644)&gt;=ROW())*(ROW($A$2:$A$644)&lt;ROW()+7)*$C$2:$C$644),"")</f>
        <v/>
      </c>
      <c r="O438" s="0" t="str">
        <f aca="false">IF(N438="","",ROUNDUP(N438/75,0))</f>
        <v/>
      </c>
    </row>
    <row r="439" customFormat="false" ht="15" hidden="false" customHeight="false" outlineLevel="0" collapsed="false">
      <c r="A439" s="0" t="s">
        <v>462</v>
      </c>
      <c r="B439" s="0" t="s">
        <v>473</v>
      </c>
      <c r="C439" s="0" t="n">
        <v>36</v>
      </c>
      <c r="D439" s="0" t="n">
        <v>1</v>
      </c>
      <c r="E439" s="0" t="n">
        <v>39</v>
      </c>
      <c r="F439" s="0" t="n">
        <f aca="false">COUNTIF($A$2:A439,A439)</f>
        <v>11</v>
      </c>
      <c r="G439" s="0" t="n">
        <f aca="false">ROUNDUP(C439*1.236/75,0)</f>
        <v>1</v>
      </c>
      <c r="H439" s="0" t="n">
        <f aca="false">IF(MOD(F439-1,2)=0,SUMPRODUCT(($A$2:$A$644=A439)*(ROW($A$2:$A$644)&gt;=ROW())*(ROW($A$2:$A$644)&lt;ROW()+2)*$C$2:$C$644),"")</f>
        <v>66</v>
      </c>
      <c r="I439" s="0" t="n">
        <f aca="false">IF(H439="","",ROUNDUP(H439/75,0))</f>
        <v>1</v>
      </c>
      <c r="J439" s="0" t="str">
        <f aca="false">IF(MOD(F439-1,3)=0,SUMPRODUCT(($A$2:$A$644=A439)*(ROW($A$2:$A$644)&gt;=ROW())*(ROW($A$2:$A$644)&lt;ROW()+3)*$C$2:$C$644),"")</f>
        <v/>
      </c>
      <c r="K439" s="0" t="str">
        <f aca="false">IF(J439="","",ROUNDUP(J439/75,0))</f>
        <v/>
      </c>
      <c r="L439" s="0" t="n">
        <f aca="false">IF(MOD(F439-1,5)=0,SUMPRODUCT(($A$2:$A$644=A439)*(ROW($A$2:$A$644)&gt;=ROW())*(ROW($A$2:$A$644)&lt;ROW()+5)*$C$2:$C$644),"")</f>
        <v>216</v>
      </c>
      <c r="M439" s="0" t="n">
        <f aca="false">IF(L439="","",ROUNDUP(L439/75,0))</f>
        <v>3</v>
      </c>
      <c r="N439" s="0" t="str">
        <f aca="false">IF(MOD(F439-1,7)=0,SUMPRODUCT(($A$2:$A$644=A439)*(ROW($A$2:$A$644)&gt;=ROW())*(ROW($A$2:$A$644)&lt;ROW()+7)*$C$2:$C$644),"")</f>
        <v/>
      </c>
      <c r="O439" s="0" t="str">
        <f aca="false">IF(N439="","",ROUNDUP(N439/75,0))</f>
        <v/>
      </c>
    </row>
    <row r="440" customFormat="false" ht="15" hidden="false" customHeight="false" outlineLevel="0" collapsed="false">
      <c r="A440" s="0" t="s">
        <v>462</v>
      </c>
      <c r="B440" s="0" t="s">
        <v>474</v>
      </c>
      <c r="C440" s="0" t="n">
        <v>30</v>
      </c>
      <c r="D440" s="0" t="n">
        <v>1</v>
      </c>
      <c r="E440" s="0" t="n">
        <v>45</v>
      </c>
      <c r="F440" s="0" t="n">
        <f aca="false">COUNTIF($A$2:A440,A440)</f>
        <v>12</v>
      </c>
      <c r="G440" s="0" t="n">
        <f aca="false">ROUNDUP(C440*1.236/75,0)</f>
        <v>1</v>
      </c>
      <c r="H440" s="0" t="str">
        <f aca="false">IF(MOD(F440-1,2)=0,SUMPRODUCT(($A$2:$A$644=A440)*(ROW($A$2:$A$644)&gt;=ROW())*(ROW($A$2:$A$644)&lt;ROW()+2)*$C$2:$C$644),"")</f>
        <v/>
      </c>
      <c r="I440" s="0" t="str">
        <f aca="false">IF(H440="","",ROUNDUP(H440/75,0))</f>
        <v/>
      </c>
      <c r="J440" s="0" t="str">
        <f aca="false">IF(MOD(F440-1,3)=0,SUMPRODUCT(($A$2:$A$644=A440)*(ROW($A$2:$A$644)&gt;=ROW())*(ROW($A$2:$A$644)&lt;ROW()+3)*$C$2:$C$644),"")</f>
        <v/>
      </c>
      <c r="K440" s="0" t="str">
        <f aca="false">IF(J440="","",ROUNDUP(J440/75,0))</f>
        <v/>
      </c>
      <c r="L440" s="0" t="str">
        <f aca="false">IF(MOD(F440-1,5)=0,SUMPRODUCT(($A$2:$A$644=A440)*(ROW($A$2:$A$644)&gt;=ROW())*(ROW($A$2:$A$644)&lt;ROW()+5)*$C$2:$C$644),"")</f>
        <v/>
      </c>
      <c r="M440" s="0" t="str">
        <f aca="false">IF(L440="","",ROUNDUP(L440/75,0))</f>
        <v/>
      </c>
      <c r="N440" s="0" t="str">
        <f aca="false">IF(MOD(F440-1,7)=0,SUMPRODUCT(($A$2:$A$644=A440)*(ROW($A$2:$A$644)&gt;=ROW())*(ROW($A$2:$A$644)&lt;ROW()+7)*$C$2:$C$644),"")</f>
        <v/>
      </c>
      <c r="O440" s="0" t="str">
        <f aca="false">IF(N440="","",ROUNDUP(N440/75,0))</f>
        <v/>
      </c>
    </row>
    <row r="441" customFormat="false" ht="15" hidden="false" customHeight="false" outlineLevel="0" collapsed="false">
      <c r="A441" s="0" t="s">
        <v>462</v>
      </c>
      <c r="B441" s="0" t="s">
        <v>475</v>
      </c>
      <c r="C441" s="0" t="n">
        <v>42</v>
      </c>
      <c r="D441" s="0" t="n">
        <v>1</v>
      </c>
      <c r="E441" s="0" t="n">
        <v>33</v>
      </c>
      <c r="F441" s="0" t="n">
        <f aca="false">COUNTIF($A$2:A441,A441)</f>
        <v>13</v>
      </c>
      <c r="G441" s="0" t="n">
        <f aca="false">ROUNDUP(C441*1.236/75,0)</f>
        <v>1</v>
      </c>
      <c r="H441" s="0" t="n">
        <f aca="false">IF(MOD(F441-1,2)=0,SUMPRODUCT(($A$2:$A$644=A441)*(ROW($A$2:$A$644)&gt;=ROW())*(ROW($A$2:$A$644)&lt;ROW()+2)*$C$2:$C$644),"")</f>
        <v>84</v>
      </c>
      <c r="I441" s="0" t="n">
        <f aca="false">IF(H441="","",ROUNDUP(H441/75,0))</f>
        <v>2</v>
      </c>
      <c r="J441" s="0" t="n">
        <f aca="false">IF(MOD(F441-1,3)=0,SUMPRODUCT(($A$2:$A$644=A441)*(ROW($A$2:$A$644)&gt;=ROW())*(ROW($A$2:$A$644)&lt;ROW()+3)*$C$2:$C$644),"")</f>
        <v>150</v>
      </c>
      <c r="K441" s="0" t="n">
        <f aca="false">IF(J441="","",ROUNDUP(J441/75,0))</f>
        <v>2</v>
      </c>
      <c r="L441" s="0" t="str">
        <f aca="false">IF(MOD(F441-1,5)=0,SUMPRODUCT(($A$2:$A$644=A441)*(ROW($A$2:$A$644)&gt;=ROW())*(ROW($A$2:$A$644)&lt;ROW()+5)*$C$2:$C$644),"")</f>
        <v/>
      </c>
      <c r="M441" s="0" t="str">
        <f aca="false">IF(L441="","",ROUNDUP(L441/75,0))</f>
        <v/>
      </c>
      <c r="N441" s="0" t="str">
        <f aca="false">IF(MOD(F441-1,7)=0,SUMPRODUCT(($A$2:$A$644=A441)*(ROW($A$2:$A$644)&gt;=ROW())*(ROW($A$2:$A$644)&lt;ROW()+7)*$C$2:$C$644),"")</f>
        <v/>
      </c>
      <c r="O441" s="0" t="str">
        <f aca="false">IF(N441="","",ROUNDUP(N441/75,0))</f>
        <v/>
      </c>
    </row>
    <row r="442" customFormat="false" ht="15" hidden="false" customHeight="false" outlineLevel="0" collapsed="false">
      <c r="A442" s="0" t="s">
        <v>462</v>
      </c>
      <c r="B442" s="0" t="s">
        <v>476</v>
      </c>
      <c r="C442" s="0" t="n">
        <v>42</v>
      </c>
      <c r="D442" s="0" t="n">
        <v>1</v>
      </c>
      <c r="E442" s="0" t="n">
        <v>33</v>
      </c>
      <c r="F442" s="0" t="n">
        <f aca="false">COUNTIF($A$2:A442,A442)</f>
        <v>14</v>
      </c>
      <c r="G442" s="0" t="n">
        <f aca="false">ROUNDUP(C442*1.236/75,0)</f>
        <v>1</v>
      </c>
      <c r="H442" s="0" t="str">
        <f aca="false">IF(MOD(F442-1,2)=0,SUMPRODUCT(($A$2:$A$644=A442)*(ROW($A$2:$A$644)&gt;=ROW())*(ROW($A$2:$A$644)&lt;ROW()+2)*$C$2:$C$644),"")</f>
        <v/>
      </c>
      <c r="I442" s="0" t="str">
        <f aca="false">IF(H442="","",ROUNDUP(H442/75,0))</f>
        <v/>
      </c>
      <c r="J442" s="0" t="str">
        <f aca="false">IF(MOD(F442-1,3)=0,SUMPRODUCT(($A$2:$A$644=A442)*(ROW($A$2:$A$644)&gt;=ROW())*(ROW($A$2:$A$644)&lt;ROW()+3)*$C$2:$C$644),"")</f>
        <v/>
      </c>
      <c r="K442" s="0" t="str">
        <f aca="false">IF(J442="","",ROUNDUP(J442/75,0))</f>
        <v/>
      </c>
      <c r="L442" s="0" t="str">
        <f aca="false">IF(MOD(F442-1,5)=0,SUMPRODUCT(($A$2:$A$644=A442)*(ROW($A$2:$A$644)&gt;=ROW())*(ROW($A$2:$A$644)&lt;ROW()+5)*$C$2:$C$644),"")</f>
        <v/>
      </c>
      <c r="M442" s="0" t="str">
        <f aca="false">IF(L442="","",ROUNDUP(L442/75,0))</f>
        <v/>
      </c>
      <c r="N442" s="0" t="str">
        <f aca="false">IF(MOD(F442-1,7)=0,SUMPRODUCT(($A$2:$A$644=A442)*(ROW($A$2:$A$644)&gt;=ROW())*(ROW($A$2:$A$644)&lt;ROW()+7)*$C$2:$C$644),"")</f>
        <v/>
      </c>
      <c r="O442" s="0" t="str">
        <f aca="false">IF(N442="","",ROUNDUP(N442/75,0))</f>
        <v/>
      </c>
    </row>
    <row r="443" customFormat="false" ht="15" hidden="false" customHeight="false" outlineLevel="0" collapsed="false">
      <c r="A443" s="0" t="s">
        <v>462</v>
      </c>
      <c r="B443" s="0" t="s">
        <v>477</v>
      </c>
      <c r="C443" s="0" t="n">
        <v>66</v>
      </c>
      <c r="D443" s="0" t="n">
        <v>1</v>
      </c>
      <c r="E443" s="0" t="n">
        <v>9</v>
      </c>
      <c r="F443" s="0" t="n">
        <f aca="false">COUNTIF($A$2:A443,A443)</f>
        <v>15</v>
      </c>
      <c r="G443" s="0" t="n">
        <f aca="false">ROUNDUP(C443*1.236/75,0)</f>
        <v>2</v>
      </c>
      <c r="H443" s="0" t="n">
        <f aca="false">IF(MOD(F443-1,2)=0,SUMPRODUCT(($A$2:$A$644=A443)*(ROW($A$2:$A$644)&gt;=ROW())*(ROW($A$2:$A$644)&lt;ROW()+2)*$C$2:$C$644),"")</f>
        <v>156</v>
      </c>
      <c r="I443" s="0" t="n">
        <f aca="false">IF(H443="","",ROUNDUP(H443/75,0))</f>
        <v>3</v>
      </c>
      <c r="J443" s="0" t="str">
        <f aca="false">IF(MOD(F443-1,3)=0,SUMPRODUCT(($A$2:$A$644=A443)*(ROW($A$2:$A$644)&gt;=ROW())*(ROW($A$2:$A$644)&lt;ROW()+3)*$C$2:$C$644),"")</f>
        <v/>
      </c>
      <c r="K443" s="0" t="str">
        <f aca="false">IF(J443="","",ROUNDUP(J443/75,0))</f>
        <v/>
      </c>
      <c r="L443" s="0" t="str">
        <f aca="false">IF(MOD(F443-1,5)=0,SUMPRODUCT(($A$2:$A$644=A443)*(ROW($A$2:$A$644)&gt;=ROW())*(ROW($A$2:$A$644)&lt;ROW()+5)*$C$2:$C$644),"")</f>
        <v/>
      </c>
      <c r="M443" s="0" t="str">
        <f aca="false">IF(L443="","",ROUNDUP(L443/75,0))</f>
        <v/>
      </c>
      <c r="N443" s="0" t="n">
        <f aca="false">IF(MOD(F443-1,7)=0,SUMPRODUCT(($A$2:$A$644=A443)*(ROW($A$2:$A$644)&gt;=ROW())*(ROW($A$2:$A$644)&lt;ROW()+7)*$C$2:$C$644),"")</f>
        <v>558</v>
      </c>
      <c r="O443" s="0" t="n">
        <f aca="false">IF(N443="","",ROUNDUP(N443/75,0))</f>
        <v>8</v>
      </c>
    </row>
    <row r="444" customFormat="false" ht="15" hidden="false" customHeight="false" outlineLevel="0" collapsed="false">
      <c r="A444" s="0" t="s">
        <v>462</v>
      </c>
      <c r="B444" s="0" t="s">
        <v>478</v>
      </c>
      <c r="C444" s="0" t="n">
        <v>90</v>
      </c>
      <c r="D444" s="0" t="n">
        <v>2</v>
      </c>
      <c r="E444" s="0" t="n">
        <v>60</v>
      </c>
      <c r="F444" s="0" t="n">
        <f aca="false">COUNTIF($A$2:A444,A444)</f>
        <v>16</v>
      </c>
      <c r="G444" s="0" t="n">
        <f aca="false">ROUNDUP(C444*1.236/75,0)</f>
        <v>2</v>
      </c>
      <c r="H444" s="0" t="str">
        <f aca="false">IF(MOD(F444-1,2)=0,SUMPRODUCT(($A$2:$A$644=A444)*(ROW($A$2:$A$644)&gt;=ROW())*(ROW($A$2:$A$644)&lt;ROW()+2)*$C$2:$C$644),"")</f>
        <v/>
      </c>
      <c r="I444" s="0" t="str">
        <f aca="false">IF(H444="","",ROUNDUP(H444/75,0))</f>
        <v/>
      </c>
      <c r="J444" s="0" t="n">
        <f aca="false">IF(MOD(F444-1,3)=0,SUMPRODUCT(($A$2:$A$644=A444)*(ROW($A$2:$A$644)&gt;=ROW())*(ROW($A$2:$A$644)&lt;ROW()+3)*$C$2:$C$644),"")</f>
        <v>306</v>
      </c>
      <c r="K444" s="0" t="n">
        <f aca="false">IF(J444="","",ROUNDUP(J444/75,0))</f>
        <v>5</v>
      </c>
      <c r="L444" s="0" t="n">
        <f aca="false">IF(MOD(F444-1,5)=0,SUMPRODUCT(($A$2:$A$644=A444)*(ROW($A$2:$A$644)&gt;=ROW())*(ROW($A$2:$A$644)&lt;ROW()+5)*$C$2:$C$644),"")</f>
        <v>432</v>
      </c>
      <c r="M444" s="0" t="n">
        <f aca="false">IF(L444="","",ROUNDUP(L444/75,0))</f>
        <v>6</v>
      </c>
      <c r="N444" s="0" t="str">
        <f aca="false">IF(MOD(F444-1,7)=0,SUMPRODUCT(($A$2:$A$644=A444)*(ROW($A$2:$A$644)&gt;=ROW())*(ROW($A$2:$A$644)&lt;ROW()+7)*$C$2:$C$644),"")</f>
        <v/>
      </c>
      <c r="O444" s="0" t="str">
        <f aca="false">IF(N444="","",ROUNDUP(N444/75,0))</f>
        <v/>
      </c>
    </row>
    <row r="445" customFormat="false" ht="15" hidden="false" customHeight="false" outlineLevel="0" collapsed="false">
      <c r="A445" s="0" t="s">
        <v>462</v>
      </c>
      <c r="B445" s="0" t="s">
        <v>479</v>
      </c>
      <c r="C445" s="0" t="n">
        <v>90</v>
      </c>
      <c r="D445" s="0" t="n">
        <v>2</v>
      </c>
      <c r="E445" s="0" t="n">
        <v>60</v>
      </c>
      <c r="F445" s="0" t="n">
        <f aca="false">COUNTIF($A$2:A445,A445)</f>
        <v>17</v>
      </c>
      <c r="G445" s="0" t="n">
        <f aca="false">ROUNDUP(C445*1.236/75,0)</f>
        <v>2</v>
      </c>
      <c r="H445" s="0" t="n">
        <f aca="false">IF(MOD(F445-1,2)=0,SUMPRODUCT(($A$2:$A$644=A445)*(ROW($A$2:$A$644)&gt;=ROW())*(ROW($A$2:$A$644)&lt;ROW()+2)*$C$2:$C$644),"")</f>
        <v>216</v>
      </c>
      <c r="I445" s="0" t="n">
        <f aca="false">IF(H445="","",ROUNDUP(H445/75,0))</f>
        <v>3</v>
      </c>
      <c r="J445" s="0" t="str">
        <f aca="false">IF(MOD(F445-1,3)=0,SUMPRODUCT(($A$2:$A$644=A445)*(ROW($A$2:$A$644)&gt;=ROW())*(ROW($A$2:$A$644)&lt;ROW()+3)*$C$2:$C$644),"")</f>
        <v/>
      </c>
      <c r="K445" s="0" t="str">
        <f aca="false">IF(J445="","",ROUNDUP(J445/75,0))</f>
        <v/>
      </c>
      <c r="L445" s="0" t="str">
        <f aca="false">IF(MOD(F445-1,5)=0,SUMPRODUCT(($A$2:$A$644=A445)*(ROW($A$2:$A$644)&gt;=ROW())*(ROW($A$2:$A$644)&lt;ROW()+5)*$C$2:$C$644),"")</f>
        <v/>
      </c>
      <c r="M445" s="0" t="str">
        <f aca="false">IF(L445="","",ROUNDUP(L445/75,0))</f>
        <v/>
      </c>
      <c r="N445" s="0" t="str">
        <f aca="false">IF(MOD(F445-1,7)=0,SUMPRODUCT(($A$2:$A$644=A445)*(ROW($A$2:$A$644)&gt;=ROW())*(ROW($A$2:$A$644)&lt;ROW()+7)*$C$2:$C$644),"")</f>
        <v/>
      </c>
      <c r="O445" s="0" t="str">
        <f aca="false">IF(N445="","",ROUNDUP(N445/75,0))</f>
        <v/>
      </c>
    </row>
    <row r="446" customFormat="false" ht="15" hidden="false" customHeight="false" outlineLevel="0" collapsed="false">
      <c r="A446" s="0" t="s">
        <v>462</v>
      </c>
      <c r="B446" s="0" t="s">
        <v>480</v>
      </c>
      <c r="C446" s="0" t="n">
        <v>126</v>
      </c>
      <c r="D446" s="0" t="n">
        <v>2</v>
      </c>
      <c r="E446" s="0" t="n">
        <v>24</v>
      </c>
      <c r="F446" s="0" t="n">
        <f aca="false">COUNTIF($A$2:A446,A446)</f>
        <v>18</v>
      </c>
      <c r="G446" s="0" t="n">
        <f aca="false">ROUNDUP(C446*1.236/75,0)</f>
        <v>3</v>
      </c>
      <c r="H446" s="0" t="str">
        <f aca="false">IF(MOD(F446-1,2)=0,SUMPRODUCT(($A$2:$A$644=A446)*(ROW($A$2:$A$644)&gt;=ROW())*(ROW($A$2:$A$644)&lt;ROW()+2)*$C$2:$C$644),"")</f>
        <v/>
      </c>
      <c r="I446" s="0" t="str">
        <f aca="false">IF(H446="","",ROUNDUP(H446/75,0))</f>
        <v/>
      </c>
      <c r="J446" s="0" t="str">
        <f aca="false">IF(MOD(F446-1,3)=0,SUMPRODUCT(($A$2:$A$644=A446)*(ROW($A$2:$A$644)&gt;=ROW())*(ROW($A$2:$A$644)&lt;ROW()+3)*$C$2:$C$644),"")</f>
        <v/>
      </c>
      <c r="K446" s="0" t="str">
        <f aca="false">IF(J446="","",ROUNDUP(J446/75,0))</f>
        <v/>
      </c>
      <c r="L446" s="0" t="str">
        <f aca="false">IF(MOD(F446-1,5)=0,SUMPRODUCT(($A$2:$A$644=A446)*(ROW($A$2:$A$644)&gt;=ROW())*(ROW($A$2:$A$644)&lt;ROW()+5)*$C$2:$C$644),"")</f>
        <v/>
      </c>
      <c r="M446" s="0" t="str">
        <f aca="false">IF(L446="","",ROUNDUP(L446/75,0))</f>
        <v/>
      </c>
      <c r="N446" s="0" t="str">
        <f aca="false">IF(MOD(F446-1,7)=0,SUMPRODUCT(($A$2:$A$644=A446)*(ROW($A$2:$A$644)&gt;=ROW())*(ROW($A$2:$A$644)&lt;ROW()+7)*$C$2:$C$644),"")</f>
        <v/>
      </c>
      <c r="O446" s="0" t="str">
        <f aca="false">IF(N446="","",ROUNDUP(N446/75,0))</f>
        <v/>
      </c>
    </row>
    <row r="447" customFormat="false" ht="15" hidden="false" customHeight="false" outlineLevel="0" collapsed="false">
      <c r="A447" s="0" t="s">
        <v>462</v>
      </c>
      <c r="B447" s="0" t="s">
        <v>481</v>
      </c>
      <c r="C447" s="0" t="n">
        <v>60</v>
      </c>
      <c r="D447" s="0" t="n">
        <v>1</v>
      </c>
      <c r="E447" s="0" t="n">
        <v>15</v>
      </c>
      <c r="F447" s="0" t="n">
        <f aca="false">COUNTIF($A$2:A447,A447)</f>
        <v>19</v>
      </c>
      <c r="G447" s="0" t="n">
        <f aca="false">ROUNDUP(C447*1.236/75,0)</f>
        <v>1</v>
      </c>
      <c r="H447" s="0" t="n">
        <f aca="false">IF(MOD(F447-1,2)=0,SUMPRODUCT(($A$2:$A$644=A447)*(ROW($A$2:$A$644)&gt;=ROW())*(ROW($A$2:$A$644)&lt;ROW()+2)*$C$2:$C$644),"")</f>
        <v>126</v>
      </c>
      <c r="I447" s="0" t="n">
        <f aca="false">IF(H447="","",ROUNDUP(H447/75,0))</f>
        <v>2</v>
      </c>
      <c r="J447" s="0" t="n">
        <f aca="false">IF(MOD(F447-1,3)=0,SUMPRODUCT(($A$2:$A$644=A447)*(ROW($A$2:$A$644)&gt;=ROW())*(ROW($A$2:$A$644)&lt;ROW()+3)*$C$2:$C$644),"")</f>
        <v>186</v>
      </c>
      <c r="K447" s="0" t="n">
        <f aca="false">IF(J447="","",ROUNDUP(J447/75,0))</f>
        <v>3</v>
      </c>
      <c r="L447" s="0" t="str">
        <f aca="false">IF(MOD(F447-1,5)=0,SUMPRODUCT(($A$2:$A$644=A447)*(ROW($A$2:$A$644)&gt;=ROW())*(ROW($A$2:$A$644)&lt;ROW()+5)*$C$2:$C$644),"")</f>
        <v/>
      </c>
      <c r="M447" s="0" t="str">
        <f aca="false">IF(L447="","",ROUNDUP(L447/75,0))</f>
        <v/>
      </c>
      <c r="N447" s="0" t="str">
        <f aca="false">IF(MOD(F447-1,7)=0,SUMPRODUCT(($A$2:$A$644=A447)*(ROW($A$2:$A$644)&gt;=ROW())*(ROW($A$2:$A$644)&lt;ROW()+7)*$C$2:$C$644),"")</f>
        <v/>
      </c>
      <c r="O447" s="0" t="str">
        <f aca="false">IF(N447="","",ROUNDUP(N447/75,0))</f>
        <v/>
      </c>
    </row>
    <row r="448" customFormat="false" ht="15" hidden="false" customHeight="false" outlineLevel="0" collapsed="false">
      <c r="A448" s="0" t="s">
        <v>462</v>
      </c>
      <c r="B448" s="0" t="s">
        <v>482</v>
      </c>
      <c r="C448" s="0" t="n">
        <v>66</v>
      </c>
      <c r="D448" s="0" t="n">
        <v>1</v>
      </c>
      <c r="E448" s="0" t="n">
        <v>9</v>
      </c>
      <c r="F448" s="0" t="n">
        <f aca="false">COUNTIF($A$2:A448,A448)</f>
        <v>20</v>
      </c>
      <c r="G448" s="0" t="n">
        <f aca="false">ROUNDUP(C448*1.236/75,0)</f>
        <v>2</v>
      </c>
      <c r="H448" s="0" t="str">
        <f aca="false">IF(MOD(F448-1,2)=0,SUMPRODUCT(($A$2:$A$644=A448)*(ROW($A$2:$A$644)&gt;=ROW())*(ROW($A$2:$A$644)&lt;ROW()+2)*$C$2:$C$644),"")</f>
        <v/>
      </c>
      <c r="I448" s="0" t="str">
        <f aca="false">IF(H448="","",ROUNDUP(H448/75,0))</f>
        <v/>
      </c>
      <c r="J448" s="0" t="str">
        <f aca="false">IF(MOD(F448-1,3)=0,SUMPRODUCT(($A$2:$A$644=A448)*(ROW($A$2:$A$644)&gt;=ROW())*(ROW($A$2:$A$644)&lt;ROW()+3)*$C$2:$C$644),"")</f>
        <v/>
      </c>
      <c r="K448" s="0" t="str">
        <f aca="false">IF(J448="","",ROUNDUP(J448/75,0))</f>
        <v/>
      </c>
      <c r="L448" s="0" t="str">
        <f aca="false">IF(MOD(F448-1,5)=0,SUMPRODUCT(($A$2:$A$644=A448)*(ROW($A$2:$A$644)&gt;=ROW())*(ROW($A$2:$A$644)&lt;ROW()+5)*$C$2:$C$644),"")</f>
        <v/>
      </c>
      <c r="M448" s="0" t="str">
        <f aca="false">IF(L448="","",ROUNDUP(L448/75,0))</f>
        <v/>
      </c>
      <c r="N448" s="0" t="str">
        <f aca="false">IF(MOD(F448-1,7)=0,SUMPRODUCT(($A$2:$A$644=A448)*(ROW($A$2:$A$644)&gt;=ROW())*(ROW($A$2:$A$644)&lt;ROW()+7)*$C$2:$C$644),"")</f>
        <v/>
      </c>
      <c r="O448" s="0" t="str">
        <f aca="false">IF(N448="","",ROUNDUP(N448/75,0))</f>
        <v/>
      </c>
    </row>
    <row r="449" customFormat="false" ht="15" hidden="false" customHeight="false" outlineLevel="0" collapsed="false">
      <c r="A449" s="0" t="s">
        <v>462</v>
      </c>
      <c r="B449" s="0" t="s">
        <v>483</v>
      </c>
      <c r="C449" s="0" t="n">
        <v>60</v>
      </c>
      <c r="D449" s="0" t="n">
        <v>1</v>
      </c>
      <c r="E449" s="0" t="n">
        <v>15</v>
      </c>
      <c r="F449" s="0" t="n">
        <f aca="false">COUNTIF($A$2:A449,A449)</f>
        <v>21</v>
      </c>
      <c r="G449" s="0" t="n">
        <f aca="false">ROUNDUP(C449*1.236/75,0)</f>
        <v>1</v>
      </c>
      <c r="H449" s="0" t="n">
        <f aca="false">IF(MOD(F449-1,2)=0,SUMPRODUCT(($A$2:$A$644=A449)*(ROW($A$2:$A$644)&gt;=ROW())*(ROW($A$2:$A$644)&lt;ROW()+2)*$C$2:$C$644),"")</f>
        <v>138</v>
      </c>
      <c r="I449" s="0" t="n">
        <f aca="false">IF(H449="","",ROUNDUP(H449/75,0))</f>
        <v>2</v>
      </c>
      <c r="J449" s="0" t="str">
        <f aca="false">IF(MOD(F449-1,3)=0,SUMPRODUCT(($A$2:$A$644=A449)*(ROW($A$2:$A$644)&gt;=ROW())*(ROW($A$2:$A$644)&lt;ROW()+3)*$C$2:$C$644),"")</f>
        <v/>
      </c>
      <c r="K449" s="0" t="str">
        <f aca="false">IF(J449="","",ROUNDUP(J449/75,0))</f>
        <v/>
      </c>
      <c r="L449" s="0" t="n">
        <f aca="false">IF(MOD(F449-1,5)=0,SUMPRODUCT(($A$2:$A$644=A449)*(ROW($A$2:$A$644)&gt;=ROW())*(ROW($A$2:$A$644)&lt;ROW()+5)*$C$2:$C$644),"")</f>
        <v>312</v>
      </c>
      <c r="M449" s="0" t="n">
        <f aca="false">IF(L449="","",ROUNDUP(L449/75,0))</f>
        <v>5</v>
      </c>
      <c r="N449" s="0" t="str">
        <f aca="false">IF(MOD(F449-1,7)=0,SUMPRODUCT(($A$2:$A$644=A449)*(ROW($A$2:$A$644)&gt;=ROW())*(ROW($A$2:$A$644)&lt;ROW()+7)*$C$2:$C$644),"")</f>
        <v/>
      </c>
      <c r="O449" s="0" t="str">
        <f aca="false">IF(N449="","",ROUNDUP(N449/75,0))</f>
        <v/>
      </c>
    </row>
    <row r="450" customFormat="false" ht="15" hidden="false" customHeight="false" outlineLevel="0" collapsed="false">
      <c r="A450" s="0" t="s">
        <v>462</v>
      </c>
      <c r="B450" s="0" t="s">
        <v>484</v>
      </c>
      <c r="C450" s="0" t="n">
        <v>78</v>
      </c>
      <c r="D450" s="0" t="n">
        <v>2</v>
      </c>
      <c r="E450" s="0" t="n">
        <v>72</v>
      </c>
      <c r="F450" s="0" t="n">
        <f aca="false">COUNTIF($A$2:A450,A450)</f>
        <v>22</v>
      </c>
      <c r="G450" s="0" t="n">
        <f aca="false">ROUNDUP(C450*1.236/75,0)</f>
        <v>2</v>
      </c>
      <c r="H450" s="0" t="str">
        <f aca="false">IF(MOD(F450-1,2)=0,SUMPRODUCT(($A$2:$A$644=A450)*(ROW($A$2:$A$644)&gt;=ROW())*(ROW($A$2:$A$644)&lt;ROW()+2)*$C$2:$C$644),"")</f>
        <v/>
      </c>
      <c r="I450" s="0" t="str">
        <f aca="false">IF(H450="","",ROUNDUP(H450/75,0))</f>
        <v/>
      </c>
      <c r="J450" s="0" t="n">
        <f aca="false">IF(MOD(F450-1,3)=0,SUMPRODUCT(($A$2:$A$644=A450)*(ROW($A$2:$A$644)&gt;=ROW())*(ROW($A$2:$A$644)&lt;ROW()+3)*$C$2:$C$644),"")</f>
        <v>180</v>
      </c>
      <c r="K450" s="0" t="n">
        <f aca="false">IF(J450="","",ROUNDUP(J450/75,0))</f>
        <v>3</v>
      </c>
      <c r="L450" s="0" t="str">
        <f aca="false">IF(MOD(F450-1,5)=0,SUMPRODUCT(($A$2:$A$644=A450)*(ROW($A$2:$A$644)&gt;=ROW())*(ROW($A$2:$A$644)&lt;ROW()+5)*$C$2:$C$644),"")</f>
        <v/>
      </c>
      <c r="M450" s="0" t="str">
        <f aca="false">IF(L450="","",ROUNDUP(L450/75,0))</f>
        <v/>
      </c>
      <c r="N450" s="0" t="n">
        <f aca="false">IF(MOD(F450-1,7)=0,SUMPRODUCT(($A$2:$A$644=A450)*(ROW($A$2:$A$644)&gt;=ROW())*(ROW($A$2:$A$644)&lt;ROW()+7)*$C$2:$C$644),"")</f>
        <v>522</v>
      </c>
      <c r="O450" s="0" t="n">
        <f aca="false">IF(N450="","",ROUNDUP(N450/75,0))</f>
        <v>7</v>
      </c>
    </row>
    <row r="451" customFormat="false" ht="15" hidden="false" customHeight="false" outlineLevel="0" collapsed="false">
      <c r="A451" s="0" t="s">
        <v>462</v>
      </c>
      <c r="B451" s="0" t="s">
        <v>485</v>
      </c>
      <c r="C451" s="0" t="n">
        <v>36</v>
      </c>
      <c r="D451" s="0" t="n">
        <v>1</v>
      </c>
      <c r="E451" s="0" t="n">
        <v>39</v>
      </c>
      <c r="F451" s="0" t="n">
        <f aca="false">COUNTIF($A$2:A451,A451)</f>
        <v>23</v>
      </c>
      <c r="G451" s="0" t="n">
        <f aca="false">ROUNDUP(C451*1.236/75,0)</f>
        <v>1</v>
      </c>
      <c r="H451" s="0" t="n">
        <f aca="false">IF(MOD(F451-1,2)=0,SUMPRODUCT(($A$2:$A$644=A451)*(ROW($A$2:$A$644)&gt;=ROW())*(ROW($A$2:$A$644)&lt;ROW()+2)*$C$2:$C$644),"")</f>
        <v>102</v>
      </c>
      <c r="I451" s="0" t="n">
        <f aca="false">IF(H451="","",ROUNDUP(H451/75,0))</f>
        <v>2</v>
      </c>
      <c r="J451" s="0" t="str">
        <f aca="false">IF(MOD(F451-1,3)=0,SUMPRODUCT(($A$2:$A$644=A451)*(ROW($A$2:$A$644)&gt;=ROW())*(ROW($A$2:$A$644)&lt;ROW()+3)*$C$2:$C$644),"")</f>
        <v/>
      </c>
      <c r="K451" s="0" t="str">
        <f aca="false">IF(J451="","",ROUNDUP(J451/75,0))</f>
        <v/>
      </c>
      <c r="L451" s="0" t="str">
        <f aca="false">IF(MOD(F451-1,5)=0,SUMPRODUCT(($A$2:$A$644=A451)*(ROW($A$2:$A$644)&gt;=ROW())*(ROW($A$2:$A$644)&lt;ROW()+5)*$C$2:$C$644),"")</f>
        <v/>
      </c>
      <c r="M451" s="0" t="str">
        <f aca="false">IF(L451="","",ROUNDUP(L451/75,0))</f>
        <v/>
      </c>
      <c r="N451" s="0" t="str">
        <f aca="false">IF(MOD(F451-1,7)=0,SUMPRODUCT(($A$2:$A$644=A451)*(ROW($A$2:$A$644)&gt;=ROW())*(ROW($A$2:$A$644)&lt;ROW()+7)*$C$2:$C$644),"")</f>
        <v/>
      </c>
      <c r="O451" s="0" t="str">
        <f aca="false">IF(N451="","",ROUNDUP(N451/75,0))</f>
        <v/>
      </c>
    </row>
    <row r="452" customFormat="false" ht="15" hidden="false" customHeight="false" outlineLevel="0" collapsed="false">
      <c r="A452" s="0" t="s">
        <v>462</v>
      </c>
      <c r="B452" s="0" t="s">
        <v>486</v>
      </c>
      <c r="C452" s="0" t="n">
        <v>66</v>
      </c>
      <c r="D452" s="0" t="n">
        <v>1</v>
      </c>
      <c r="E452" s="0" t="n">
        <v>9</v>
      </c>
      <c r="F452" s="0" t="n">
        <f aca="false">COUNTIF($A$2:A452,A452)</f>
        <v>24</v>
      </c>
      <c r="G452" s="0" t="n">
        <f aca="false">ROUNDUP(C452*1.236/75,0)</f>
        <v>2</v>
      </c>
      <c r="H452" s="0" t="str">
        <f aca="false">IF(MOD(F452-1,2)=0,SUMPRODUCT(($A$2:$A$644=A452)*(ROW($A$2:$A$644)&gt;=ROW())*(ROW($A$2:$A$644)&lt;ROW()+2)*$C$2:$C$644),"")</f>
        <v/>
      </c>
      <c r="I452" s="0" t="str">
        <f aca="false">IF(H452="","",ROUNDUP(H452/75,0))</f>
        <v/>
      </c>
      <c r="J452" s="0" t="str">
        <f aca="false">IF(MOD(F452-1,3)=0,SUMPRODUCT(($A$2:$A$644=A452)*(ROW($A$2:$A$644)&gt;=ROW())*(ROW($A$2:$A$644)&lt;ROW()+3)*$C$2:$C$644),"")</f>
        <v/>
      </c>
      <c r="K452" s="0" t="str">
        <f aca="false">IF(J452="","",ROUNDUP(J452/75,0))</f>
        <v/>
      </c>
      <c r="L452" s="0" t="str">
        <f aca="false">IF(MOD(F452-1,5)=0,SUMPRODUCT(($A$2:$A$644=A452)*(ROW($A$2:$A$644)&gt;=ROW())*(ROW($A$2:$A$644)&lt;ROW()+5)*$C$2:$C$644),"")</f>
        <v/>
      </c>
      <c r="M452" s="0" t="str">
        <f aca="false">IF(L452="","",ROUNDUP(L452/75,0))</f>
        <v/>
      </c>
      <c r="N452" s="0" t="str">
        <f aca="false">IF(MOD(F452-1,7)=0,SUMPRODUCT(($A$2:$A$644=A452)*(ROW($A$2:$A$644)&gt;=ROW())*(ROW($A$2:$A$644)&lt;ROW()+7)*$C$2:$C$644),"")</f>
        <v/>
      </c>
      <c r="O452" s="0" t="str">
        <f aca="false">IF(N452="","",ROUNDUP(N452/75,0))</f>
        <v/>
      </c>
    </row>
    <row r="453" customFormat="false" ht="15" hidden="false" customHeight="false" outlineLevel="0" collapsed="false">
      <c r="A453" s="0" t="s">
        <v>462</v>
      </c>
      <c r="B453" s="0" t="s">
        <v>487</v>
      </c>
      <c r="C453" s="0" t="n">
        <v>72</v>
      </c>
      <c r="D453" s="0" t="n">
        <v>1</v>
      </c>
      <c r="E453" s="0" t="n">
        <v>3</v>
      </c>
      <c r="F453" s="0" t="n">
        <f aca="false">COUNTIF($A$2:A453,A453)</f>
        <v>25</v>
      </c>
      <c r="G453" s="0" t="n">
        <f aca="false">ROUNDUP(C453*1.236/75,0)</f>
        <v>2</v>
      </c>
      <c r="H453" s="0" t="n">
        <f aca="false">IF(MOD(F453-1,2)=0,SUMPRODUCT(($A$2:$A$644=A453)*(ROW($A$2:$A$644)&gt;=ROW())*(ROW($A$2:$A$644)&lt;ROW()+2)*$C$2:$C$644),"")</f>
        <v>174</v>
      </c>
      <c r="I453" s="0" t="n">
        <f aca="false">IF(H453="","",ROUNDUP(H453/75,0))</f>
        <v>3</v>
      </c>
      <c r="J453" s="0" t="n">
        <f aca="false">IF(MOD(F453-1,3)=0,SUMPRODUCT(($A$2:$A$644=A453)*(ROW($A$2:$A$644)&gt;=ROW())*(ROW($A$2:$A$644)&lt;ROW()+3)*$C$2:$C$644),"")</f>
        <v>264</v>
      </c>
      <c r="K453" s="0" t="n">
        <f aca="false">IF(J453="","",ROUNDUP(J453/75,0))</f>
        <v>4</v>
      </c>
      <c r="L453" s="0" t="str">
        <f aca="false">IF(MOD(F453-1,5)=0,SUMPRODUCT(($A$2:$A$644=A453)*(ROW($A$2:$A$644)&gt;=ROW())*(ROW($A$2:$A$644)&lt;ROW()+5)*$C$2:$C$644),"")</f>
        <v/>
      </c>
      <c r="M453" s="0" t="str">
        <f aca="false">IF(L453="","",ROUNDUP(L453/75,0))</f>
        <v/>
      </c>
      <c r="N453" s="0" t="str">
        <f aca="false">IF(MOD(F453-1,7)=0,SUMPRODUCT(($A$2:$A$644=A453)*(ROW($A$2:$A$644)&gt;=ROW())*(ROW($A$2:$A$644)&lt;ROW()+7)*$C$2:$C$644),"")</f>
        <v/>
      </c>
      <c r="O453" s="0" t="str">
        <f aca="false">IF(N453="","",ROUNDUP(N453/75,0))</f>
        <v/>
      </c>
    </row>
    <row r="454" customFormat="false" ht="15" hidden="false" customHeight="false" outlineLevel="0" collapsed="false">
      <c r="A454" s="0" t="s">
        <v>462</v>
      </c>
      <c r="B454" s="0" t="s">
        <v>488</v>
      </c>
      <c r="C454" s="0" t="n">
        <v>102</v>
      </c>
      <c r="D454" s="0" t="n">
        <v>2</v>
      </c>
      <c r="E454" s="0" t="n">
        <v>48</v>
      </c>
      <c r="F454" s="0" t="n">
        <f aca="false">COUNTIF($A$2:A454,A454)</f>
        <v>26</v>
      </c>
      <c r="G454" s="0" t="n">
        <f aca="false">ROUNDUP(C454*1.236/75,0)</f>
        <v>2</v>
      </c>
      <c r="H454" s="0" t="str">
        <f aca="false">IF(MOD(F454-1,2)=0,SUMPRODUCT(($A$2:$A$644=A454)*(ROW($A$2:$A$644)&gt;=ROW())*(ROW($A$2:$A$644)&lt;ROW()+2)*$C$2:$C$644),"")</f>
        <v/>
      </c>
      <c r="I454" s="0" t="str">
        <f aca="false">IF(H454="","",ROUNDUP(H454/75,0))</f>
        <v/>
      </c>
      <c r="J454" s="0" t="str">
        <f aca="false">IF(MOD(F454-1,3)=0,SUMPRODUCT(($A$2:$A$644=A454)*(ROW($A$2:$A$644)&gt;=ROW())*(ROW($A$2:$A$644)&lt;ROW()+3)*$C$2:$C$644),"")</f>
        <v/>
      </c>
      <c r="K454" s="0" t="str">
        <f aca="false">IF(J454="","",ROUNDUP(J454/75,0))</f>
        <v/>
      </c>
      <c r="L454" s="0" t="n">
        <f aca="false">IF(MOD(F454-1,5)=0,SUMPRODUCT(($A$2:$A$644=A454)*(ROW($A$2:$A$644)&gt;=ROW())*(ROW($A$2:$A$644)&lt;ROW()+5)*$C$2:$C$644),"")</f>
        <v>324</v>
      </c>
      <c r="M454" s="0" t="n">
        <f aca="false">IF(L454="","",ROUNDUP(L454/75,0))</f>
        <v>5</v>
      </c>
      <c r="N454" s="0" t="str">
        <f aca="false">IF(MOD(F454-1,7)=0,SUMPRODUCT(($A$2:$A$644=A454)*(ROW($A$2:$A$644)&gt;=ROW())*(ROW($A$2:$A$644)&lt;ROW()+7)*$C$2:$C$644),"")</f>
        <v/>
      </c>
      <c r="O454" s="0" t="str">
        <f aca="false">IF(N454="","",ROUNDUP(N454/75,0))</f>
        <v/>
      </c>
    </row>
    <row r="455" customFormat="false" ht="15" hidden="false" customHeight="false" outlineLevel="0" collapsed="false">
      <c r="A455" s="0" t="s">
        <v>462</v>
      </c>
      <c r="B455" s="0" t="s">
        <v>489</v>
      </c>
      <c r="C455" s="0" t="n">
        <v>90</v>
      </c>
      <c r="D455" s="0" t="n">
        <v>2</v>
      </c>
      <c r="E455" s="0" t="n">
        <v>60</v>
      </c>
      <c r="F455" s="0" t="n">
        <f aca="false">COUNTIF($A$2:A455,A455)</f>
        <v>27</v>
      </c>
      <c r="G455" s="0" t="n">
        <f aca="false">ROUNDUP(C455*1.236/75,0)</f>
        <v>2</v>
      </c>
      <c r="H455" s="0" t="n">
        <f aca="false">IF(MOD(F455-1,2)=0,SUMPRODUCT(($A$2:$A$644=A455)*(ROW($A$2:$A$644)&gt;=ROW())*(ROW($A$2:$A$644)&lt;ROW()+2)*$C$2:$C$644),"")</f>
        <v>168</v>
      </c>
      <c r="I455" s="0" t="n">
        <f aca="false">IF(H455="","",ROUNDUP(H455/75,0))</f>
        <v>3</v>
      </c>
      <c r="J455" s="0" t="str">
        <f aca="false">IF(MOD(F455-1,3)=0,SUMPRODUCT(($A$2:$A$644=A455)*(ROW($A$2:$A$644)&gt;=ROW())*(ROW($A$2:$A$644)&lt;ROW()+3)*$C$2:$C$644),"")</f>
        <v/>
      </c>
      <c r="K455" s="0" t="str">
        <f aca="false">IF(J455="","",ROUNDUP(J455/75,0))</f>
        <v/>
      </c>
      <c r="L455" s="0" t="str">
        <f aca="false">IF(MOD(F455-1,5)=0,SUMPRODUCT(($A$2:$A$644=A455)*(ROW($A$2:$A$644)&gt;=ROW())*(ROW($A$2:$A$644)&lt;ROW()+5)*$C$2:$C$644),"")</f>
        <v/>
      </c>
      <c r="M455" s="0" t="str">
        <f aca="false">IF(L455="","",ROUNDUP(L455/75,0))</f>
        <v/>
      </c>
      <c r="N455" s="0" t="str">
        <f aca="false">IF(MOD(F455-1,7)=0,SUMPRODUCT(($A$2:$A$644=A455)*(ROW($A$2:$A$644)&gt;=ROW())*(ROW($A$2:$A$644)&lt;ROW()+7)*$C$2:$C$644),"")</f>
        <v/>
      </c>
      <c r="O455" s="0" t="str">
        <f aca="false">IF(N455="","",ROUNDUP(N455/75,0))</f>
        <v/>
      </c>
    </row>
    <row r="456" customFormat="false" ht="15" hidden="false" customHeight="false" outlineLevel="0" collapsed="false">
      <c r="A456" s="0" t="s">
        <v>462</v>
      </c>
      <c r="B456" s="0" t="s">
        <v>490</v>
      </c>
      <c r="C456" s="0" t="n">
        <v>78</v>
      </c>
      <c r="D456" s="0" t="n">
        <v>2</v>
      </c>
      <c r="E456" s="0" t="n">
        <v>72</v>
      </c>
      <c r="F456" s="0" t="n">
        <f aca="false">COUNTIF($A$2:A456,A456)</f>
        <v>28</v>
      </c>
      <c r="G456" s="0" t="n">
        <f aca="false">ROUNDUP(C456*1.236/75,0)</f>
        <v>2</v>
      </c>
      <c r="H456" s="0" t="str">
        <f aca="false">IF(MOD(F456-1,2)=0,SUMPRODUCT(($A$2:$A$644=A456)*(ROW($A$2:$A$644)&gt;=ROW())*(ROW($A$2:$A$644)&lt;ROW()+2)*$C$2:$C$644),"")</f>
        <v/>
      </c>
      <c r="I456" s="0" t="str">
        <f aca="false">IF(H456="","",ROUNDUP(H456/75,0))</f>
        <v/>
      </c>
      <c r="J456" s="0" t="n">
        <f aca="false">IF(MOD(F456-1,3)=0,SUMPRODUCT(($A$2:$A$644=A456)*(ROW($A$2:$A$644)&gt;=ROW())*(ROW($A$2:$A$644)&lt;ROW()+3)*$C$2:$C$644),"")</f>
        <v>132</v>
      </c>
      <c r="K456" s="0" t="n">
        <f aca="false">IF(J456="","",ROUNDUP(J456/75,0))</f>
        <v>2</v>
      </c>
      <c r="L456" s="0" t="str">
        <f aca="false">IF(MOD(F456-1,5)=0,SUMPRODUCT(($A$2:$A$644=A456)*(ROW($A$2:$A$644)&gt;=ROW())*(ROW($A$2:$A$644)&lt;ROW()+5)*$C$2:$C$644),"")</f>
        <v/>
      </c>
      <c r="M456" s="0" t="str">
        <f aca="false">IF(L456="","",ROUNDUP(L456/75,0))</f>
        <v/>
      </c>
      <c r="N456" s="0" t="str">
        <f aca="false">IF(MOD(F456-1,7)=0,SUMPRODUCT(($A$2:$A$644=A456)*(ROW($A$2:$A$644)&gt;=ROW())*(ROW($A$2:$A$644)&lt;ROW()+7)*$C$2:$C$644),"")</f>
        <v/>
      </c>
      <c r="O456" s="0" t="str">
        <f aca="false">IF(N456="","",ROUNDUP(N456/75,0))</f>
        <v/>
      </c>
    </row>
    <row r="457" customFormat="false" ht="15" hidden="false" customHeight="false" outlineLevel="0" collapsed="false">
      <c r="A457" s="0" t="s">
        <v>462</v>
      </c>
      <c r="B457" s="0" t="s">
        <v>491</v>
      </c>
      <c r="C457" s="0" t="n">
        <v>36</v>
      </c>
      <c r="D457" s="0" t="n">
        <v>1</v>
      </c>
      <c r="E457" s="0" t="n">
        <v>39</v>
      </c>
      <c r="F457" s="0" t="n">
        <f aca="false">COUNTIF($A$2:A457,A457)</f>
        <v>29</v>
      </c>
      <c r="G457" s="0" t="n">
        <f aca="false">ROUNDUP(C457*1.236/75,0)</f>
        <v>1</v>
      </c>
      <c r="H457" s="0" t="n">
        <f aca="false">IF(MOD(F457-1,2)=0,SUMPRODUCT(($A$2:$A$644=A457)*(ROW($A$2:$A$644)&gt;=ROW())*(ROW($A$2:$A$644)&lt;ROW()+2)*$C$2:$C$644),"")</f>
        <v>54</v>
      </c>
      <c r="I457" s="0" t="n">
        <f aca="false">IF(H457="","",ROUNDUP(H457/75,0))</f>
        <v>1</v>
      </c>
      <c r="J457" s="0" t="str">
        <f aca="false">IF(MOD(F457-1,3)=0,SUMPRODUCT(($A$2:$A$644=A457)*(ROW($A$2:$A$644)&gt;=ROW())*(ROW($A$2:$A$644)&lt;ROW()+3)*$C$2:$C$644),"")</f>
        <v/>
      </c>
      <c r="K457" s="0" t="str">
        <f aca="false">IF(J457="","",ROUNDUP(J457/75,0))</f>
        <v/>
      </c>
      <c r="L457" s="0" t="str">
        <f aca="false">IF(MOD(F457-1,5)=0,SUMPRODUCT(($A$2:$A$644=A457)*(ROW($A$2:$A$644)&gt;=ROW())*(ROW($A$2:$A$644)&lt;ROW()+5)*$C$2:$C$644),"")</f>
        <v/>
      </c>
      <c r="M457" s="0" t="str">
        <f aca="false">IF(L457="","",ROUNDUP(L457/75,0))</f>
        <v/>
      </c>
      <c r="N457" s="0" t="n">
        <f aca="false">IF(MOD(F457-1,7)=0,SUMPRODUCT(($A$2:$A$644=A457)*(ROW($A$2:$A$644)&gt;=ROW())*(ROW($A$2:$A$644)&lt;ROW()+7)*$C$2:$C$644),"")</f>
        <v>390</v>
      </c>
      <c r="O457" s="0" t="n">
        <f aca="false">IF(N457="","",ROUNDUP(N457/75,0))</f>
        <v>6</v>
      </c>
    </row>
    <row r="458" customFormat="false" ht="15" hidden="false" customHeight="false" outlineLevel="0" collapsed="false">
      <c r="A458" s="0" t="s">
        <v>462</v>
      </c>
      <c r="B458" s="0" t="s">
        <v>492</v>
      </c>
      <c r="C458" s="0" t="n">
        <v>18</v>
      </c>
      <c r="D458" s="0" t="n">
        <v>1</v>
      </c>
      <c r="E458" s="0" t="n">
        <v>57</v>
      </c>
      <c r="F458" s="0" t="n">
        <f aca="false">COUNTIF($A$2:A458,A458)</f>
        <v>30</v>
      </c>
      <c r="G458" s="0" t="n">
        <f aca="false">ROUNDUP(C458*1.236/75,0)</f>
        <v>1</v>
      </c>
      <c r="H458" s="0" t="str">
        <f aca="false">IF(MOD(F458-1,2)=0,SUMPRODUCT(($A$2:$A$644=A458)*(ROW($A$2:$A$644)&gt;=ROW())*(ROW($A$2:$A$644)&lt;ROW()+2)*$C$2:$C$644),"")</f>
        <v/>
      </c>
      <c r="I458" s="0" t="str">
        <f aca="false">IF(H458="","",ROUNDUP(H458/75,0))</f>
        <v/>
      </c>
      <c r="J458" s="0" t="str">
        <f aca="false">IF(MOD(F458-1,3)=0,SUMPRODUCT(($A$2:$A$644=A458)*(ROW($A$2:$A$644)&gt;=ROW())*(ROW($A$2:$A$644)&lt;ROW()+3)*$C$2:$C$644),"")</f>
        <v/>
      </c>
      <c r="K458" s="0" t="str">
        <f aca="false">IF(J458="","",ROUNDUP(J458/75,0))</f>
        <v/>
      </c>
      <c r="L458" s="0" t="str">
        <f aca="false">IF(MOD(F458-1,5)=0,SUMPRODUCT(($A$2:$A$644=A458)*(ROW($A$2:$A$644)&gt;=ROW())*(ROW($A$2:$A$644)&lt;ROW()+5)*$C$2:$C$644),"")</f>
        <v/>
      </c>
      <c r="M458" s="0" t="str">
        <f aca="false">IF(L458="","",ROUNDUP(L458/75,0))</f>
        <v/>
      </c>
      <c r="N458" s="0" t="str">
        <f aca="false">IF(MOD(F458-1,7)=0,SUMPRODUCT(($A$2:$A$644=A458)*(ROW($A$2:$A$644)&gt;=ROW())*(ROW($A$2:$A$644)&lt;ROW()+7)*$C$2:$C$644),"")</f>
        <v/>
      </c>
      <c r="O458" s="0" t="str">
        <f aca="false">IF(N458="","",ROUNDUP(N458/75,0))</f>
        <v/>
      </c>
    </row>
    <row r="459" customFormat="false" ht="15" hidden="false" customHeight="false" outlineLevel="0" collapsed="false">
      <c r="A459" s="0" t="s">
        <v>462</v>
      </c>
      <c r="B459" s="0" t="s">
        <v>493</v>
      </c>
      <c r="C459" s="0" t="n">
        <v>60</v>
      </c>
      <c r="D459" s="0" t="n">
        <v>1</v>
      </c>
      <c r="E459" s="0" t="n">
        <v>15</v>
      </c>
      <c r="F459" s="0" t="n">
        <f aca="false">COUNTIF($A$2:A459,A459)</f>
        <v>31</v>
      </c>
      <c r="G459" s="0" t="n">
        <f aca="false">ROUNDUP(C459*1.236/75,0)</f>
        <v>1</v>
      </c>
      <c r="H459" s="0" t="n">
        <f aca="false">IF(MOD(F459-1,2)=0,SUMPRODUCT(($A$2:$A$644=A459)*(ROW($A$2:$A$644)&gt;=ROW())*(ROW($A$2:$A$644)&lt;ROW()+2)*$C$2:$C$644),"")</f>
        <v>120</v>
      </c>
      <c r="I459" s="0" t="n">
        <f aca="false">IF(H459="","",ROUNDUP(H459/75,0))</f>
        <v>2</v>
      </c>
      <c r="J459" s="0" t="n">
        <f aca="false">IF(MOD(F459-1,3)=0,SUMPRODUCT(($A$2:$A$644=A459)*(ROW($A$2:$A$644)&gt;=ROW())*(ROW($A$2:$A$644)&lt;ROW()+3)*$C$2:$C$644),"")</f>
        <v>216</v>
      </c>
      <c r="K459" s="0" t="n">
        <f aca="false">IF(J459="","",ROUNDUP(J459/75,0))</f>
        <v>3</v>
      </c>
      <c r="L459" s="0" t="n">
        <f aca="false">IF(MOD(F459-1,5)=0,SUMPRODUCT(($A$2:$A$644=A459)*(ROW($A$2:$A$644)&gt;=ROW())*(ROW($A$2:$A$644)&lt;ROW()+5)*$C$2:$C$644),"")</f>
        <v>336</v>
      </c>
      <c r="M459" s="0" t="n">
        <f aca="false">IF(L459="","",ROUNDUP(L459/75,0))</f>
        <v>5</v>
      </c>
      <c r="N459" s="0" t="str">
        <f aca="false">IF(MOD(F459-1,7)=0,SUMPRODUCT(($A$2:$A$644=A459)*(ROW($A$2:$A$644)&gt;=ROW())*(ROW($A$2:$A$644)&lt;ROW()+7)*$C$2:$C$644),"")</f>
        <v/>
      </c>
      <c r="O459" s="0" t="str">
        <f aca="false">IF(N459="","",ROUNDUP(N459/75,0))</f>
        <v/>
      </c>
    </row>
    <row r="460" customFormat="false" ht="15" hidden="false" customHeight="false" outlineLevel="0" collapsed="false">
      <c r="A460" s="0" t="s">
        <v>462</v>
      </c>
      <c r="B460" s="0" t="s">
        <v>494</v>
      </c>
      <c r="C460" s="0" t="n">
        <v>60</v>
      </c>
      <c r="D460" s="0" t="n">
        <v>1</v>
      </c>
      <c r="E460" s="0" t="n">
        <v>15</v>
      </c>
      <c r="F460" s="0" t="n">
        <f aca="false">COUNTIF($A$2:A460,A460)</f>
        <v>32</v>
      </c>
      <c r="G460" s="0" t="n">
        <f aca="false">ROUNDUP(C460*1.236/75,0)</f>
        <v>1</v>
      </c>
      <c r="H460" s="0" t="str">
        <f aca="false">IF(MOD(F460-1,2)=0,SUMPRODUCT(($A$2:$A$644=A460)*(ROW($A$2:$A$644)&gt;=ROW())*(ROW($A$2:$A$644)&lt;ROW()+2)*$C$2:$C$644),"")</f>
        <v/>
      </c>
      <c r="I460" s="0" t="str">
        <f aca="false">IF(H460="","",ROUNDUP(H460/75,0))</f>
        <v/>
      </c>
      <c r="J460" s="0" t="str">
        <f aca="false">IF(MOD(F460-1,3)=0,SUMPRODUCT(($A$2:$A$644=A460)*(ROW($A$2:$A$644)&gt;=ROW())*(ROW($A$2:$A$644)&lt;ROW()+3)*$C$2:$C$644),"")</f>
        <v/>
      </c>
      <c r="K460" s="0" t="str">
        <f aca="false">IF(J460="","",ROUNDUP(J460/75,0))</f>
        <v/>
      </c>
      <c r="L460" s="0" t="str">
        <f aca="false">IF(MOD(F460-1,5)=0,SUMPRODUCT(($A$2:$A$644=A460)*(ROW($A$2:$A$644)&gt;=ROW())*(ROW($A$2:$A$644)&lt;ROW()+5)*$C$2:$C$644),"")</f>
        <v/>
      </c>
      <c r="M460" s="0" t="str">
        <f aca="false">IF(L460="","",ROUNDUP(L460/75,0))</f>
        <v/>
      </c>
      <c r="N460" s="0" t="str">
        <f aca="false">IF(MOD(F460-1,7)=0,SUMPRODUCT(($A$2:$A$644=A460)*(ROW($A$2:$A$644)&gt;=ROW())*(ROW($A$2:$A$644)&lt;ROW()+7)*$C$2:$C$644),"")</f>
        <v/>
      </c>
      <c r="O460" s="0" t="str">
        <f aca="false">IF(N460="","",ROUNDUP(N460/75,0))</f>
        <v/>
      </c>
    </row>
    <row r="461" customFormat="false" ht="15" hidden="false" customHeight="false" outlineLevel="0" collapsed="false">
      <c r="A461" s="0" t="s">
        <v>462</v>
      </c>
      <c r="B461" s="0" t="s">
        <v>495</v>
      </c>
      <c r="C461" s="0" t="n">
        <v>96</v>
      </c>
      <c r="D461" s="0" t="n">
        <v>2</v>
      </c>
      <c r="E461" s="0" t="n">
        <v>54</v>
      </c>
      <c r="F461" s="0" t="n">
        <f aca="false">COUNTIF($A$2:A461,A461)</f>
        <v>33</v>
      </c>
      <c r="G461" s="0" t="n">
        <f aca="false">ROUNDUP(C461*1.236/75,0)</f>
        <v>2</v>
      </c>
      <c r="H461" s="0" t="n">
        <f aca="false">IF(MOD(F461-1,2)=0,SUMPRODUCT(($A$2:$A$644=A461)*(ROW($A$2:$A$644)&gt;=ROW())*(ROW($A$2:$A$644)&lt;ROW()+2)*$C$2:$C$644),"")</f>
        <v>168</v>
      </c>
      <c r="I461" s="0" t="n">
        <f aca="false">IF(H461="","",ROUNDUP(H461/75,0))</f>
        <v>3</v>
      </c>
      <c r="J461" s="0" t="str">
        <f aca="false">IF(MOD(F461-1,3)=0,SUMPRODUCT(($A$2:$A$644=A461)*(ROW($A$2:$A$644)&gt;=ROW())*(ROW($A$2:$A$644)&lt;ROW()+3)*$C$2:$C$644),"")</f>
        <v/>
      </c>
      <c r="K461" s="0" t="str">
        <f aca="false">IF(J461="","",ROUNDUP(J461/75,0))</f>
        <v/>
      </c>
      <c r="L461" s="0" t="str">
        <f aca="false">IF(MOD(F461-1,5)=0,SUMPRODUCT(($A$2:$A$644=A461)*(ROW($A$2:$A$644)&gt;=ROW())*(ROW($A$2:$A$644)&lt;ROW()+5)*$C$2:$C$644),"")</f>
        <v/>
      </c>
      <c r="M461" s="0" t="str">
        <f aca="false">IF(L461="","",ROUNDUP(L461/75,0))</f>
        <v/>
      </c>
      <c r="N461" s="0" t="str">
        <f aca="false">IF(MOD(F461-1,7)=0,SUMPRODUCT(($A$2:$A$644=A461)*(ROW($A$2:$A$644)&gt;=ROW())*(ROW($A$2:$A$644)&lt;ROW()+7)*$C$2:$C$644),"")</f>
        <v/>
      </c>
      <c r="O461" s="0" t="str">
        <f aca="false">IF(N461="","",ROUNDUP(N461/75,0))</f>
        <v/>
      </c>
    </row>
    <row r="462" customFormat="false" ht="15" hidden="false" customHeight="false" outlineLevel="0" collapsed="false">
      <c r="A462" s="0" t="s">
        <v>462</v>
      </c>
      <c r="B462" s="0" t="s">
        <v>496</v>
      </c>
      <c r="C462" s="0" t="n">
        <v>72</v>
      </c>
      <c r="D462" s="0" t="n">
        <v>1</v>
      </c>
      <c r="E462" s="0" t="n">
        <v>3</v>
      </c>
      <c r="F462" s="0" t="n">
        <f aca="false">COUNTIF($A$2:A462,A462)</f>
        <v>34</v>
      </c>
      <c r="G462" s="0" t="n">
        <f aca="false">ROUNDUP(C462*1.236/75,0)</f>
        <v>2</v>
      </c>
      <c r="H462" s="0" t="str">
        <f aca="false">IF(MOD(F462-1,2)=0,SUMPRODUCT(($A$2:$A$644=A462)*(ROW($A$2:$A$644)&gt;=ROW())*(ROW($A$2:$A$644)&lt;ROW()+2)*$C$2:$C$644),"")</f>
        <v/>
      </c>
      <c r="I462" s="0" t="str">
        <f aca="false">IF(H462="","",ROUNDUP(H462/75,0))</f>
        <v/>
      </c>
      <c r="J462" s="0" t="n">
        <f aca="false">IF(MOD(F462-1,3)=0,SUMPRODUCT(($A$2:$A$644=A462)*(ROW($A$2:$A$644)&gt;=ROW())*(ROW($A$2:$A$644)&lt;ROW()+3)*$C$2:$C$644),"")</f>
        <v>138</v>
      </c>
      <c r="K462" s="0" t="n">
        <f aca="false">IF(J462="","",ROUNDUP(J462/75,0))</f>
        <v>2</v>
      </c>
      <c r="L462" s="0" t="str">
        <f aca="false">IF(MOD(F462-1,5)=0,SUMPRODUCT(($A$2:$A$644=A462)*(ROW($A$2:$A$644)&gt;=ROW())*(ROW($A$2:$A$644)&lt;ROW()+5)*$C$2:$C$644),"")</f>
        <v/>
      </c>
      <c r="M462" s="0" t="str">
        <f aca="false">IF(L462="","",ROUNDUP(L462/75,0))</f>
        <v/>
      </c>
      <c r="N462" s="0" t="str">
        <f aca="false">IF(MOD(F462-1,7)=0,SUMPRODUCT(($A$2:$A$644=A462)*(ROW($A$2:$A$644)&gt;=ROW())*(ROW($A$2:$A$644)&lt;ROW()+7)*$C$2:$C$644),"")</f>
        <v/>
      </c>
      <c r="O462" s="0" t="str">
        <f aca="false">IF(N462="","",ROUNDUP(N462/75,0))</f>
        <v/>
      </c>
    </row>
    <row r="463" customFormat="false" ht="15" hidden="false" customHeight="false" outlineLevel="0" collapsed="false">
      <c r="A463" s="0" t="s">
        <v>462</v>
      </c>
      <c r="B463" s="0" t="s">
        <v>497</v>
      </c>
      <c r="C463" s="0" t="n">
        <v>48</v>
      </c>
      <c r="D463" s="0" t="n">
        <v>1</v>
      </c>
      <c r="E463" s="0" t="n">
        <v>27</v>
      </c>
      <c r="F463" s="0" t="n">
        <f aca="false">COUNTIF($A$2:A463,A463)</f>
        <v>35</v>
      </c>
      <c r="G463" s="0" t="n">
        <f aca="false">ROUNDUP(C463*1.236/75,0)</f>
        <v>1</v>
      </c>
      <c r="H463" s="0" t="n">
        <f aca="false">IF(MOD(F463-1,2)=0,SUMPRODUCT(($A$2:$A$644=A463)*(ROW($A$2:$A$644)&gt;=ROW())*(ROW($A$2:$A$644)&lt;ROW()+2)*$C$2:$C$644),"")</f>
        <v>66</v>
      </c>
      <c r="I463" s="0" t="n">
        <f aca="false">IF(H463="","",ROUNDUP(H463/75,0))</f>
        <v>1</v>
      </c>
      <c r="J463" s="0" t="str">
        <f aca="false">IF(MOD(F463-1,3)=0,SUMPRODUCT(($A$2:$A$644=A463)*(ROW($A$2:$A$644)&gt;=ROW())*(ROW($A$2:$A$644)&lt;ROW()+3)*$C$2:$C$644),"")</f>
        <v/>
      </c>
      <c r="K463" s="0" t="str">
        <f aca="false">IF(J463="","",ROUNDUP(J463/75,0))</f>
        <v/>
      </c>
      <c r="L463" s="0" t="str">
        <f aca="false">IF(MOD(F463-1,5)=0,SUMPRODUCT(($A$2:$A$644=A463)*(ROW($A$2:$A$644)&gt;=ROW())*(ROW($A$2:$A$644)&lt;ROW()+5)*$C$2:$C$644),"")</f>
        <v/>
      </c>
      <c r="M463" s="0" t="str">
        <f aca="false">IF(L463="","",ROUNDUP(L463/75,0))</f>
        <v/>
      </c>
      <c r="N463" s="0" t="str">
        <f aca="false">IF(MOD(F463-1,7)=0,SUMPRODUCT(($A$2:$A$644=A463)*(ROW($A$2:$A$644)&gt;=ROW())*(ROW($A$2:$A$644)&lt;ROW()+7)*$C$2:$C$644),"")</f>
        <v/>
      </c>
      <c r="O463" s="0" t="str">
        <f aca="false">IF(N463="","",ROUNDUP(N463/75,0))</f>
        <v/>
      </c>
    </row>
    <row r="464" customFormat="false" ht="15" hidden="false" customHeight="false" outlineLevel="0" collapsed="false">
      <c r="A464" s="0" t="s">
        <v>462</v>
      </c>
      <c r="B464" s="0" t="s">
        <v>498</v>
      </c>
      <c r="C464" s="0" t="n">
        <v>18</v>
      </c>
      <c r="D464" s="0" t="n">
        <v>1</v>
      </c>
      <c r="E464" s="0" t="n">
        <v>57</v>
      </c>
      <c r="F464" s="0" t="n">
        <f aca="false">COUNTIF($A$2:A464,A464)</f>
        <v>36</v>
      </c>
      <c r="G464" s="0" t="n">
        <f aca="false">ROUNDUP(C464*1.236/75,0)</f>
        <v>1</v>
      </c>
      <c r="H464" s="0" t="str">
        <f aca="false">IF(MOD(F464-1,2)=0,SUMPRODUCT(($A$2:$A$644=A464)*(ROW($A$2:$A$644)&gt;=ROW())*(ROW($A$2:$A$644)&lt;ROW()+2)*$C$2:$C$644),"")</f>
        <v/>
      </c>
      <c r="I464" s="0" t="str">
        <f aca="false">IF(H464="","",ROUNDUP(H464/75,0))</f>
        <v/>
      </c>
      <c r="J464" s="0" t="str">
        <f aca="false">IF(MOD(F464-1,3)=0,SUMPRODUCT(($A$2:$A$644=A464)*(ROW($A$2:$A$644)&gt;=ROW())*(ROW($A$2:$A$644)&lt;ROW()+3)*$C$2:$C$644),"")</f>
        <v/>
      </c>
      <c r="K464" s="0" t="str">
        <f aca="false">IF(J464="","",ROUNDUP(J464/75,0))</f>
        <v/>
      </c>
      <c r="L464" s="0" t="n">
        <f aca="false">IF(MOD(F464-1,5)=0,SUMPRODUCT(($A$2:$A$644=A464)*(ROW($A$2:$A$644)&gt;=ROW())*(ROW($A$2:$A$644)&lt;ROW()+5)*$C$2:$C$644),"")</f>
        <v>270</v>
      </c>
      <c r="M464" s="0" t="n">
        <f aca="false">IF(L464="","",ROUNDUP(L464/75,0))</f>
        <v>4</v>
      </c>
      <c r="N464" s="0" t="n">
        <f aca="false">IF(MOD(F464-1,7)=0,SUMPRODUCT(($A$2:$A$644=A464)*(ROW($A$2:$A$644)&gt;=ROW())*(ROW($A$2:$A$644)&lt;ROW()+7)*$C$2:$C$644),"")</f>
        <v>390</v>
      </c>
      <c r="O464" s="0" t="n">
        <f aca="false">IF(N464="","",ROUNDUP(N464/75,0))</f>
        <v>6</v>
      </c>
    </row>
    <row r="465" customFormat="false" ht="15" hidden="false" customHeight="false" outlineLevel="0" collapsed="false">
      <c r="A465" s="0" t="s">
        <v>462</v>
      </c>
      <c r="B465" s="0" t="s">
        <v>499</v>
      </c>
      <c r="C465" s="0" t="n">
        <v>78</v>
      </c>
      <c r="D465" s="0" t="n">
        <v>2</v>
      </c>
      <c r="E465" s="0" t="n">
        <v>72</v>
      </c>
      <c r="F465" s="0" t="n">
        <f aca="false">COUNTIF($A$2:A465,A465)</f>
        <v>37</v>
      </c>
      <c r="G465" s="0" t="n">
        <f aca="false">ROUNDUP(C465*1.236/75,0)</f>
        <v>2</v>
      </c>
      <c r="H465" s="0" t="n">
        <f aca="false">IF(MOD(F465-1,2)=0,SUMPRODUCT(($A$2:$A$644=A465)*(ROW($A$2:$A$644)&gt;=ROW())*(ROW($A$2:$A$644)&lt;ROW()+2)*$C$2:$C$644),"")</f>
        <v>144</v>
      </c>
      <c r="I465" s="0" t="n">
        <f aca="false">IF(H465="","",ROUNDUP(H465/75,0))</f>
        <v>2</v>
      </c>
      <c r="J465" s="0" t="n">
        <f aca="false">IF(MOD(F465-1,3)=0,SUMPRODUCT(($A$2:$A$644=A465)*(ROW($A$2:$A$644)&gt;=ROW())*(ROW($A$2:$A$644)&lt;ROW()+3)*$C$2:$C$644),"")</f>
        <v>210</v>
      </c>
      <c r="K465" s="0" t="n">
        <f aca="false">IF(J465="","",ROUNDUP(J465/75,0))</f>
        <v>3</v>
      </c>
      <c r="L465" s="0" t="str">
        <f aca="false">IF(MOD(F465-1,5)=0,SUMPRODUCT(($A$2:$A$644=A465)*(ROW($A$2:$A$644)&gt;=ROW())*(ROW($A$2:$A$644)&lt;ROW()+5)*$C$2:$C$644),"")</f>
        <v/>
      </c>
      <c r="M465" s="0" t="str">
        <f aca="false">IF(L465="","",ROUNDUP(L465/75,0))</f>
        <v/>
      </c>
      <c r="N465" s="0" t="str">
        <f aca="false">IF(MOD(F465-1,7)=0,SUMPRODUCT(($A$2:$A$644=A465)*(ROW($A$2:$A$644)&gt;=ROW())*(ROW($A$2:$A$644)&lt;ROW()+7)*$C$2:$C$644),"")</f>
        <v/>
      </c>
      <c r="O465" s="0" t="str">
        <f aca="false">IF(N465="","",ROUNDUP(N465/75,0))</f>
        <v/>
      </c>
    </row>
    <row r="466" customFormat="false" ht="15" hidden="false" customHeight="false" outlineLevel="0" collapsed="false">
      <c r="A466" s="0" t="s">
        <v>462</v>
      </c>
      <c r="B466" s="0" t="s">
        <v>500</v>
      </c>
      <c r="C466" s="0" t="n">
        <v>66</v>
      </c>
      <c r="D466" s="0" t="n">
        <v>1</v>
      </c>
      <c r="E466" s="0" t="n">
        <v>9</v>
      </c>
      <c r="F466" s="0" t="n">
        <f aca="false">COUNTIF($A$2:A466,A466)</f>
        <v>38</v>
      </c>
      <c r="G466" s="0" t="n">
        <f aca="false">ROUNDUP(C466*1.236/75,0)</f>
        <v>2</v>
      </c>
      <c r="H466" s="0" t="str">
        <f aca="false">IF(MOD(F466-1,2)=0,SUMPRODUCT(($A$2:$A$644=A466)*(ROW($A$2:$A$644)&gt;=ROW())*(ROW($A$2:$A$644)&lt;ROW()+2)*$C$2:$C$644),"")</f>
        <v/>
      </c>
      <c r="I466" s="0" t="str">
        <f aca="false">IF(H466="","",ROUNDUP(H466/75,0))</f>
        <v/>
      </c>
      <c r="J466" s="0" t="str">
        <f aca="false">IF(MOD(F466-1,3)=0,SUMPRODUCT(($A$2:$A$644=A466)*(ROW($A$2:$A$644)&gt;=ROW())*(ROW($A$2:$A$644)&lt;ROW()+3)*$C$2:$C$644),"")</f>
        <v/>
      </c>
      <c r="K466" s="0" t="str">
        <f aca="false">IF(J466="","",ROUNDUP(J466/75,0))</f>
        <v/>
      </c>
      <c r="L466" s="0" t="str">
        <f aca="false">IF(MOD(F466-1,5)=0,SUMPRODUCT(($A$2:$A$644=A466)*(ROW($A$2:$A$644)&gt;=ROW())*(ROW($A$2:$A$644)&lt;ROW()+5)*$C$2:$C$644),"")</f>
        <v/>
      </c>
      <c r="M466" s="0" t="str">
        <f aca="false">IF(L466="","",ROUNDUP(L466/75,0))</f>
        <v/>
      </c>
      <c r="N466" s="0" t="str">
        <f aca="false">IF(MOD(F466-1,7)=0,SUMPRODUCT(($A$2:$A$644=A466)*(ROW($A$2:$A$644)&gt;=ROW())*(ROW($A$2:$A$644)&lt;ROW()+7)*$C$2:$C$644),"")</f>
        <v/>
      </c>
      <c r="O466" s="0" t="str">
        <f aca="false">IF(N466="","",ROUNDUP(N466/75,0))</f>
        <v/>
      </c>
    </row>
    <row r="467" customFormat="false" ht="15" hidden="false" customHeight="false" outlineLevel="0" collapsed="false">
      <c r="A467" s="0" t="s">
        <v>462</v>
      </c>
      <c r="B467" s="0" t="s">
        <v>501</v>
      </c>
      <c r="C467" s="0" t="n">
        <v>66</v>
      </c>
      <c r="D467" s="0" t="n">
        <v>1</v>
      </c>
      <c r="E467" s="0" t="n">
        <v>9</v>
      </c>
      <c r="F467" s="0" t="n">
        <f aca="false">COUNTIF($A$2:A467,A467)</f>
        <v>39</v>
      </c>
      <c r="G467" s="0" t="n">
        <f aca="false">ROUNDUP(C467*1.236/75,0)</f>
        <v>2</v>
      </c>
      <c r="H467" s="0" t="n">
        <f aca="false">IF(MOD(F467-1,2)=0,SUMPRODUCT(($A$2:$A$644=A467)*(ROW($A$2:$A$644)&gt;=ROW())*(ROW($A$2:$A$644)&lt;ROW()+2)*$C$2:$C$644),"")</f>
        <v>108</v>
      </c>
      <c r="I467" s="0" t="n">
        <f aca="false">IF(H467="","",ROUNDUP(H467/75,0))</f>
        <v>2</v>
      </c>
      <c r="J467" s="0" t="str">
        <f aca="false">IF(MOD(F467-1,3)=0,SUMPRODUCT(($A$2:$A$644=A467)*(ROW($A$2:$A$644)&gt;=ROW())*(ROW($A$2:$A$644)&lt;ROW()+3)*$C$2:$C$644),"")</f>
        <v/>
      </c>
      <c r="K467" s="0" t="str">
        <f aca="false">IF(J467="","",ROUNDUP(J467/75,0))</f>
        <v/>
      </c>
      <c r="L467" s="0" t="str">
        <f aca="false">IF(MOD(F467-1,5)=0,SUMPRODUCT(($A$2:$A$644=A467)*(ROW($A$2:$A$644)&gt;=ROW())*(ROW($A$2:$A$644)&lt;ROW()+5)*$C$2:$C$644),"")</f>
        <v/>
      </c>
      <c r="M467" s="0" t="str">
        <f aca="false">IF(L467="","",ROUNDUP(L467/75,0))</f>
        <v/>
      </c>
      <c r="N467" s="0" t="str">
        <f aca="false">IF(MOD(F467-1,7)=0,SUMPRODUCT(($A$2:$A$644=A467)*(ROW($A$2:$A$644)&gt;=ROW())*(ROW($A$2:$A$644)&lt;ROW()+7)*$C$2:$C$644),"")</f>
        <v/>
      </c>
      <c r="O467" s="0" t="str">
        <f aca="false">IF(N467="","",ROUNDUP(N467/75,0))</f>
        <v/>
      </c>
    </row>
    <row r="468" customFormat="false" ht="15" hidden="false" customHeight="false" outlineLevel="0" collapsed="false">
      <c r="A468" s="0" t="s">
        <v>462</v>
      </c>
      <c r="B468" s="0" t="s">
        <v>502</v>
      </c>
      <c r="C468" s="0" t="n">
        <v>42</v>
      </c>
      <c r="D468" s="0" t="n">
        <v>1</v>
      </c>
      <c r="E468" s="0" t="n">
        <v>33</v>
      </c>
      <c r="F468" s="0" t="n">
        <f aca="false">COUNTIF($A$2:A468,A468)</f>
        <v>40</v>
      </c>
      <c r="G468" s="0" t="n">
        <f aca="false">ROUNDUP(C468*1.236/75,0)</f>
        <v>1</v>
      </c>
      <c r="H468" s="0" t="str">
        <f aca="false">IF(MOD(F468-1,2)=0,SUMPRODUCT(($A$2:$A$644=A468)*(ROW($A$2:$A$644)&gt;=ROW())*(ROW($A$2:$A$644)&lt;ROW()+2)*$C$2:$C$644),"")</f>
        <v/>
      </c>
      <c r="I468" s="0" t="str">
        <f aca="false">IF(H468="","",ROUNDUP(H468/75,0))</f>
        <v/>
      </c>
      <c r="J468" s="0" t="n">
        <f aca="false">IF(MOD(F468-1,3)=0,SUMPRODUCT(($A$2:$A$644=A468)*(ROW($A$2:$A$644)&gt;=ROW())*(ROW($A$2:$A$644)&lt;ROW()+3)*$C$2:$C$644),"")</f>
        <v>162</v>
      </c>
      <c r="K468" s="0" t="n">
        <f aca="false">IF(J468="","",ROUNDUP(J468/75,0))</f>
        <v>3</v>
      </c>
      <c r="L468" s="0" t="str">
        <f aca="false">IF(MOD(F468-1,5)=0,SUMPRODUCT(($A$2:$A$644=A468)*(ROW($A$2:$A$644)&gt;=ROW())*(ROW($A$2:$A$644)&lt;ROW()+5)*$C$2:$C$644),"")</f>
        <v/>
      </c>
      <c r="M468" s="0" t="str">
        <f aca="false">IF(L468="","",ROUNDUP(L468/75,0))</f>
        <v/>
      </c>
      <c r="N468" s="0" t="str">
        <f aca="false">IF(MOD(F468-1,7)=0,SUMPRODUCT(($A$2:$A$644=A468)*(ROW($A$2:$A$644)&gt;=ROW())*(ROW($A$2:$A$644)&lt;ROW()+7)*$C$2:$C$644),"")</f>
        <v/>
      </c>
      <c r="O468" s="0" t="str">
        <f aca="false">IF(N468="","",ROUNDUP(N468/75,0))</f>
        <v/>
      </c>
    </row>
    <row r="469" customFormat="false" ht="15" hidden="false" customHeight="false" outlineLevel="0" collapsed="false">
      <c r="A469" s="0" t="s">
        <v>462</v>
      </c>
      <c r="B469" s="0" t="s">
        <v>503</v>
      </c>
      <c r="C469" s="0" t="n">
        <v>42</v>
      </c>
      <c r="D469" s="0" t="n">
        <v>1</v>
      </c>
      <c r="E469" s="0" t="n">
        <v>33</v>
      </c>
      <c r="F469" s="0" t="n">
        <f aca="false">COUNTIF($A$2:A469,A469)</f>
        <v>41</v>
      </c>
      <c r="G469" s="0" t="n">
        <f aca="false">ROUNDUP(C469*1.236/75,0)</f>
        <v>1</v>
      </c>
      <c r="H469" s="0" t="n">
        <f aca="false">IF(MOD(F469-1,2)=0,SUMPRODUCT(($A$2:$A$644=A469)*(ROW($A$2:$A$644)&gt;=ROW())*(ROW($A$2:$A$644)&lt;ROW()+2)*$C$2:$C$644),"")</f>
        <v>120</v>
      </c>
      <c r="I469" s="0" t="n">
        <f aca="false">IF(H469="","",ROUNDUP(H469/75,0))</f>
        <v>2</v>
      </c>
      <c r="J469" s="0" t="str">
        <f aca="false">IF(MOD(F469-1,3)=0,SUMPRODUCT(($A$2:$A$644=A469)*(ROW($A$2:$A$644)&gt;=ROW())*(ROW($A$2:$A$644)&lt;ROW()+3)*$C$2:$C$644),"")</f>
        <v/>
      </c>
      <c r="K469" s="0" t="str">
        <f aca="false">IF(J469="","",ROUNDUP(J469/75,0))</f>
        <v/>
      </c>
      <c r="L469" s="0" t="n">
        <f aca="false">IF(MOD(F469-1,5)=0,SUMPRODUCT(($A$2:$A$644=A469)*(ROW($A$2:$A$644)&gt;=ROW())*(ROW($A$2:$A$644)&lt;ROW()+5)*$C$2:$C$644),"")</f>
        <v>228</v>
      </c>
      <c r="M469" s="0" t="n">
        <f aca="false">IF(L469="","",ROUNDUP(L469/75,0))</f>
        <v>4</v>
      </c>
      <c r="N469" s="0" t="str">
        <f aca="false">IF(MOD(F469-1,7)=0,SUMPRODUCT(($A$2:$A$644=A469)*(ROW($A$2:$A$644)&gt;=ROW())*(ROW($A$2:$A$644)&lt;ROW()+7)*$C$2:$C$644),"")</f>
        <v/>
      </c>
      <c r="O469" s="0" t="str">
        <f aca="false">IF(N469="","",ROUNDUP(N469/75,0))</f>
        <v/>
      </c>
    </row>
    <row r="470" customFormat="false" ht="15" hidden="false" customHeight="false" outlineLevel="0" collapsed="false">
      <c r="A470" s="0" t="s">
        <v>462</v>
      </c>
      <c r="B470" s="0" t="s">
        <v>504</v>
      </c>
      <c r="C470" s="0" t="n">
        <v>78</v>
      </c>
      <c r="D470" s="0" t="n">
        <v>2</v>
      </c>
      <c r="E470" s="0" t="n">
        <v>72</v>
      </c>
      <c r="F470" s="0" t="n">
        <f aca="false">COUNTIF($A$2:A470,A470)</f>
        <v>42</v>
      </c>
      <c r="G470" s="0" t="n">
        <f aca="false">ROUNDUP(C470*1.236/75,0)</f>
        <v>2</v>
      </c>
      <c r="H470" s="0" t="str">
        <f aca="false">IF(MOD(F470-1,2)=0,SUMPRODUCT(($A$2:$A$644=A470)*(ROW($A$2:$A$644)&gt;=ROW())*(ROW($A$2:$A$644)&lt;ROW()+2)*$C$2:$C$644),"")</f>
        <v/>
      </c>
      <c r="I470" s="0" t="str">
        <f aca="false">IF(H470="","",ROUNDUP(H470/75,0))</f>
        <v/>
      </c>
      <c r="J470" s="0" t="str">
        <f aca="false">IF(MOD(F470-1,3)=0,SUMPRODUCT(($A$2:$A$644=A470)*(ROW($A$2:$A$644)&gt;=ROW())*(ROW($A$2:$A$644)&lt;ROW()+3)*$C$2:$C$644),"")</f>
        <v/>
      </c>
      <c r="K470" s="0" t="str">
        <f aca="false">IF(J470="","",ROUNDUP(J470/75,0))</f>
        <v/>
      </c>
      <c r="L470" s="0" t="str">
        <f aca="false">IF(MOD(F470-1,5)=0,SUMPRODUCT(($A$2:$A$644=A470)*(ROW($A$2:$A$644)&gt;=ROW())*(ROW($A$2:$A$644)&lt;ROW()+5)*$C$2:$C$644),"")</f>
        <v/>
      </c>
      <c r="M470" s="0" t="str">
        <f aca="false">IF(L470="","",ROUNDUP(L470/75,0))</f>
        <v/>
      </c>
      <c r="N470" s="0" t="str">
        <f aca="false">IF(MOD(F470-1,7)=0,SUMPRODUCT(($A$2:$A$644=A470)*(ROW($A$2:$A$644)&gt;=ROW())*(ROW($A$2:$A$644)&lt;ROW()+7)*$C$2:$C$644),"")</f>
        <v/>
      </c>
      <c r="O470" s="0" t="str">
        <f aca="false">IF(N470="","",ROUNDUP(N470/75,0))</f>
        <v/>
      </c>
    </row>
    <row r="471" customFormat="false" ht="15" hidden="false" customHeight="false" outlineLevel="0" collapsed="false">
      <c r="A471" s="0" t="s">
        <v>462</v>
      </c>
      <c r="B471" s="0" t="s">
        <v>505</v>
      </c>
      <c r="C471" s="0" t="n">
        <v>18</v>
      </c>
      <c r="D471" s="0" t="n">
        <v>1</v>
      </c>
      <c r="E471" s="0" t="n">
        <v>57</v>
      </c>
      <c r="F471" s="0" t="n">
        <f aca="false">COUNTIF($A$2:A471,A471)</f>
        <v>43</v>
      </c>
      <c r="G471" s="0" t="n">
        <f aca="false">ROUNDUP(C471*1.236/75,0)</f>
        <v>1</v>
      </c>
      <c r="H471" s="0" t="n">
        <f aca="false">IF(MOD(F471-1,2)=0,SUMPRODUCT(($A$2:$A$644=A471)*(ROW($A$2:$A$644)&gt;=ROW())*(ROW($A$2:$A$644)&lt;ROW()+2)*$C$2:$C$644),"")</f>
        <v>54</v>
      </c>
      <c r="I471" s="0" t="n">
        <f aca="false">IF(H471="","",ROUNDUP(H471/75,0))</f>
        <v>1</v>
      </c>
      <c r="J471" s="0" t="n">
        <f aca="false">IF(MOD(F471-1,3)=0,SUMPRODUCT(($A$2:$A$644=A471)*(ROW($A$2:$A$644)&gt;=ROW())*(ROW($A$2:$A$644)&lt;ROW()+3)*$C$2:$C$644),"")</f>
        <v>108</v>
      </c>
      <c r="K471" s="0" t="n">
        <f aca="false">IF(J471="","",ROUNDUP(J471/75,0))</f>
        <v>2</v>
      </c>
      <c r="L471" s="0" t="str">
        <f aca="false">IF(MOD(F471-1,5)=0,SUMPRODUCT(($A$2:$A$644=A471)*(ROW($A$2:$A$644)&gt;=ROW())*(ROW($A$2:$A$644)&lt;ROW()+5)*$C$2:$C$644),"")</f>
        <v/>
      </c>
      <c r="M471" s="0" t="str">
        <f aca="false">IF(L471="","",ROUNDUP(L471/75,0))</f>
        <v/>
      </c>
      <c r="N471" s="0" t="n">
        <f aca="false">IF(MOD(F471-1,7)=0,SUMPRODUCT(($A$2:$A$644=A471)*(ROW($A$2:$A$644)&gt;=ROW())*(ROW($A$2:$A$644)&lt;ROW()+7)*$C$2:$C$644),"")</f>
        <v>294</v>
      </c>
      <c r="O471" s="0" t="n">
        <f aca="false">IF(N471="","",ROUNDUP(N471/75,0))</f>
        <v>4</v>
      </c>
    </row>
    <row r="472" customFormat="false" ht="15" hidden="false" customHeight="false" outlineLevel="0" collapsed="false">
      <c r="A472" s="0" t="s">
        <v>462</v>
      </c>
      <c r="B472" s="0" t="s">
        <v>506</v>
      </c>
      <c r="C472" s="0" t="n">
        <v>36</v>
      </c>
      <c r="D472" s="0" t="n">
        <v>1</v>
      </c>
      <c r="E472" s="0" t="n">
        <v>39</v>
      </c>
      <c r="F472" s="0" t="n">
        <f aca="false">COUNTIF($A$2:A472,A472)</f>
        <v>44</v>
      </c>
      <c r="G472" s="0" t="n">
        <f aca="false">ROUNDUP(C472*1.236/75,0)</f>
        <v>1</v>
      </c>
      <c r="H472" s="0" t="str">
        <f aca="false">IF(MOD(F472-1,2)=0,SUMPRODUCT(($A$2:$A$644=A472)*(ROW($A$2:$A$644)&gt;=ROW())*(ROW($A$2:$A$644)&lt;ROW()+2)*$C$2:$C$644),"")</f>
        <v/>
      </c>
      <c r="I472" s="0" t="str">
        <f aca="false">IF(H472="","",ROUNDUP(H472/75,0))</f>
        <v/>
      </c>
      <c r="J472" s="0" t="str">
        <f aca="false">IF(MOD(F472-1,3)=0,SUMPRODUCT(($A$2:$A$644=A472)*(ROW($A$2:$A$644)&gt;=ROW())*(ROW($A$2:$A$644)&lt;ROW()+3)*$C$2:$C$644),"")</f>
        <v/>
      </c>
      <c r="K472" s="0" t="str">
        <f aca="false">IF(J472="","",ROUNDUP(J472/75,0))</f>
        <v/>
      </c>
      <c r="L472" s="0" t="str">
        <f aca="false">IF(MOD(F472-1,5)=0,SUMPRODUCT(($A$2:$A$644=A472)*(ROW($A$2:$A$644)&gt;=ROW())*(ROW($A$2:$A$644)&lt;ROW()+5)*$C$2:$C$644),"")</f>
        <v/>
      </c>
      <c r="M472" s="0" t="str">
        <f aca="false">IF(L472="","",ROUNDUP(L472/75,0))</f>
        <v/>
      </c>
      <c r="N472" s="0" t="str">
        <f aca="false">IF(MOD(F472-1,7)=0,SUMPRODUCT(($A$2:$A$644=A472)*(ROW($A$2:$A$644)&gt;=ROW())*(ROW($A$2:$A$644)&lt;ROW()+7)*$C$2:$C$644),"")</f>
        <v/>
      </c>
      <c r="O472" s="0" t="str">
        <f aca="false">IF(N472="","",ROUNDUP(N472/75,0))</f>
        <v/>
      </c>
    </row>
    <row r="473" customFormat="false" ht="15" hidden="false" customHeight="false" outlineLevel="0" collapsed="false">
      <c r="A473" s="0" t="s">
        <v>462</v>
      </c>
      <c r="B473" s="0" t="s">
        <v>507</v>
      </c>
      <c r="C473" s="0" t="n">
        <v>54</v>
      </c>
      <c r="D473" s="0" t="n">
        <v>1</v>
      </c>
      <c r="E473" s="0" t="n">
        <v>21</v>
      </c>
      <c r="F473" s="0" t="n">
        <f aca="false">COUNTIF($A$2:A473,A473)</f>
        <v>45</v>
      </c>
      <c r="G473" s="0" t="n">
        <f aca="false">ROUNDUP(C473*1.236/75,0)</f>
        <v>1</v>
      </c>
      <c r="H473" s="0" t="n">
        <f aca="false">IF(MOD(F473-1,2)=0,SUMPRODUCT(($A$2:$A$644=A473)*(ROW($A$2:$A$644)&gt;=ROW())*(ROW($A$2:$A$644)&lt;ROW()+2)*$C$2:$C$644),"")</f>
        <v>114</v>
      </c>
      <c r="I473" s="0" t="n">
        <f aca="false">IF(H473="","",ROUNDUP(H473/75,0))</f>
        <v>2</v>
      </c>
      <c r="J473" s="0" t="str">
        <f aca="false">IF(MOD(F473-1,3)=0,SUMPRODUCT(($A$2:$A$644=A473)*(ROW($A$2:$A$644)&gt;=ROW())*(ROW($A$2:$A$644)&lt;ROW()+3)*$C$2:$C$644),"")</f>
        <v/>
      </c>
      <c r="K473" s="0" t="str">
        <f aca="false">IF(J473="","",ROUNDUP(J473/75,0))</f>
        <v/>
      </c>
      <c r="L473" s="0" t="str">
        <f aca="false">IF(MOD(F473-1,5)=0,SUMPRODUCT(($A$2:$A$644=A473)*(ROW($A$2:$A$644)&gt;=ROW())*(ROW($A$2:$A$644)&lt;ROW()+5)*$C$2:$C$644),"")</f>
        <v/>
      </c>
      <c r="M473" s="0" t="str">
        <f aca="false">IF(L473="","",ROUNDUP(L473/75,0))</f>
        <v/>
      </c>
      <c r="N473" s="0" t="str">
        <f aca="false">IF(MOD(F473-1,7)=0,SUMPRODUCT(($A$2:$A$644=A473)*(ROW($A$2:$A$644)&gt;=ROW())*(ROW($A$2:$A$644)&lt;ROW()+7)*$C$2:$C$644),"")</f>
        <v/>
      </c>
      <c r="O473" s="0" t="str">
        <f aca="false">IF(N473="","",ROUNDUP(N473/75,0))</f>
        <v/>
      </c>
    </row>
    <row r="474" customFormat="false" ht="15" hidden="false" customHeight="false" outlineLevel="0" collapsed="false">
      <c r="A474" s="0" t="s">
        <v>462</v>
      </c>
      <c r="B474" s="0" t="s">
        <v>508</v>
      </c>
      <c r="C474" s="0" t="n">
        <v>60</v>
      </c>
      <c r="D474" s="0" t="n">
        <v>1</v>
      </c>
      <c r="E474" s="0" t="n">
        <v>15</v>
      </c>
      <c r="F474" s="0" t="n">
        <f aca="false">COUNTIF($A$2:A474,A474)</f>
        <v>46</v>
      </c>
      <c r="G474" s="0" t="n">
        <f aca="false">ROUNDUP(C474*1.236/75,0)</f>
        <v>1</v>
      </c>
      <c r="H474" s="0" t="str">
        <f aca="false">IF(MOD(F474-1,2)=0,SUMPRODUCT(($A$2:$A$644=A474)*(ROW($A$2:$A$644)&gt;=ROW())*(ROW($A$2:$A$644)&lt;ROW()+2)*$C$2:$C$644),"")</f>
        <v/>
      </c>
      <c r="I474" s="0" t="str">
        <f aca="false">IF(H474="","",ROUNDUP(H474/75,0))</f>
        <v/>
      </c>
      <c r="J474" s="0" t="n">
        <f aca="false">IF(MOD(F474-1,3)=0,SUMPRODUCT(($A$2:$A$644=A474)*(ROW($A$2:$A$644)&gt;=ROW())*(ROW($A$2:$A$644)&lt;ROW()+3)*$C$2:$C$644),"")</f>
        <v>138</v>
      </c>
      <c r="K474" s="0" t="n">
        <f aca="false">IF(J474="","",ROUNDUP(J474/75,0))</f>
        <v>2</v>
      </c>
      <c r="L474" s="0" t="n">
        <f aca="false">IF(MOD(F474-1,5)=0,SUMPRODUCT(($A$2:$A$644=A474)*(ROW($A$2:$A$644)&gt;=ROW())*(ROW($A$2:$A$644)&lt;ROW()+5)*$C$2:$C$644),"")</f>
        <v>288</v>
      </c>
      <c r="M474" s="0" t="n">
        <f aca="false">IF(L474="","",ROUNDUP(L474/75,0))</f>
        <v>4</v>
      </c>
      <c r="N474" s="0" t="str">
        <f aca="false">IF(MOD(F474-1,7)=0,SUMPRODUCT(($A$2:$A$644=A474)*(ROW($A$2:$A$644)&gt;=ROW())*(ROW($A$2:$A$644)&lt;ROW()+7)*$C$2:$C$644),"")</f>
        <v/>
      </c>
      <c r="O474" s="0" t="str">
        <f aca="false">IF(N474="","",ROUNDUP(N474/75,0))</f>
        <v/>
      </c>
    </row>
    <row r="475" customFormat="false" ht="15" hidden="false" customHeight="false" outlineLevel="0" collapsed="false">
      <c r="A475" s="0" t="s">
        <v>462</v>
      </c>
      <c r="B475" s="0" t="s">
        <v>509</v>
      </c>
      <c r="C475" s="0" t="n">
        <v>30</v>
      </c>
      <c r="D475" s="0" t="n">
        <v>1</v>
      </c>
      <c r="E475" s="0" t="n">
        <v>45</v>
      </c>
      <c r="F475" s="0" t="n">
        <f aca="false">COUNTIF($A$2:A475,A475)</f>
        <v>47</v>
      </c>
      <c r="G475" s="0" t="n">
        <f aca="false">ROUNDUP(C475*1.236/75,0)</f>
        <v>1</v>
      </c>
      <c r="H475" s="0" t="n">
        <f aca="false">IF(MOD(F475-1,2)=0,SUMPRODUCT(($A$2:$A$644=A475)*(ROW($A$2:$A$644)&gt;=ROW())*(ROW($A$2:$A$644)&lt;ROW()+2)*$C$2:$C$644),"")</f>
        <v>78</v>
      </c>
      <c r="I475" s="0" t="n">
        <f aca="false">IF(H475="","",ROUNDUP(H475/75,0))</f>
        <v>2</v>
      </c>
      <c r="J475" s="0" t="str">
        <f aca="false">IF(MOD(F475-1,3)=0,SUMPRODUCT(($A$2:$A$644=A475)*(ROW($A$2:$A$644)&gt;=ROW())*(ROW($A$2:$A$644)&lt;ROW()+3)*$C$2:$C$644),"")</f>
        <v/>
      </c>
      <c r="K475" s="0" t="str">
        <f aca="false">IF(J475="","",ROUNDUP(J475/75,0))</f>
        <v/>
      </c>
      <c r="L475" s="0" t="str">
        <f aca="false">IF(MOD(F475-1,5)=0,SUMPRODUCT(($A$2:$A$644=A475)*(ROW($A$2:$A$644)&gt;=ROW())*(ROW($A$2:$A$644)&lt;ROW()+5)*$C$2:$C$644),"")</f>
        <v/>
      </c>
      <c r="M475" s="0" t="str">
        <f aca="false">IF(L475="","",ROUNDUP(L475/75,0))</f>
        <v/>
      </c>
      <c r="N475" s="0" t="str">
        <f aca="false">IF(MOD(F475-1,7)=0,SUMPRODUCT(($A$2:$A$644=A475)*(ROW($A$2:$A$644)&gt;=ROW())*(ROW($A$2:$A$644)&lt;ROW()+7)*$C$2:$C$644),"")</f>
        <v/>
      </c>
      <c r="O475" s="0" t="str">
        <f aca="false">IF(N475="","",ROUNDUP(N475/75,0))</f>
        <v/>
      </c>
    </row>
    <row r="476" customFormat="false" ht="15" hidden="false" customHeight="false" outlineLevel="0" collapsed="false">
      <c r="A476" s="0" t="s">
        <v>462</v>
      </c>
      <c r="B476" s="0" t="s">
        <v>510</v>
      </c>
      <c r="C476" s="0" t="n">
        <v>48</v>
      </c>
      <c r="D476" s="0" t="n">
        <v>1</v>
      </c>
      <c r="E476" s="0" t="n">
        <v>27</v>
      </c>
      <c r="F476" s="0" t="n">
        <f aca="false">COUNTIF($A$2:A476,A476)</f>
        <v>48</v>
      </c>
      <c r="G476" s="0" t="n">
        <f aca="false">ROUNDUP(C476*1.236/75,0)</f>
        <v>1</v>
      </c>
      <c r="H476" s="0" t="str">
        <f aca="false">IF(MOD(F476-1,2)=0,SUMPRODUCT(($A$2:$A$644=A476)*(ROW($A$2:$A$644)&gt;=ROW())*(ROW($A$2:$A$644)&lt;ROW()+2)*$C$2:$C$644),"")</f>
        <v/>
      </c>
      <c r="I476" s="0" t="str">
        <f aca="false">IF(H476="","",ROUNDUP(H476/75,0))</f>
        <v/>
      </c>
      <c r="J476" s="0" t="str">
        <f aca="false">IF(MOD(F476-1,3)=0,SUMPRODUCT(($A$2:$A$644=A476)*(ROW($A$2:$A$644)&gt;=ROW())*(ROW($A$2:$A$644)&lt;ROW()+3)*$C$2:$C$644),"")</f>
        <v/>
      </c>
      <c r="K476" s="0" t="str">
        <f aca="false">IF(J476="","",ROUNDUP(J476/75,0))</f>
        <v/>
      </c>
      <c r="L476" s="0" t="str">
        <f aca="false">IF(MOD(F476-1,5)=0,SUMPRODUCT(($A$2:$A$644=A476)*(ROW($A$2:$A$644)&gt;=ROW())*(ROW($A$2:$A$644)&lt;ROW()+5)*$C$2:$C$644),"")</f>
        <v/>
      </c>
      <c r="M476" s="0" t="str">
        <f aca="false">IF(L476="","",ROUNDUP(L476/75,0))</f>
        <v/>
      </c>
      <c r="N476" s="0" t="str">
        <f aca="false">IF(MOD(F476-1,7)=0,SUMPRODUCT(($A$2:$A$644=A476)*(ROW($A$2:$A$644)&gt;=ROW())*(ROW($A$2:$A$644)&lt;ROW()+7)*$C$2:$C$644),"")</f>
        <v/>
      </c>
      <c r="O476" s="0" t="str">
        <f aca="false">IF(N476="","",ROUNDUP(N476/75,0))</f>
        <v/>
      </c>
    </row>
    <row r="477" customFormat="false" ht="15" hidden="false" customHeight="false" outlineLevel="0" collapsed="false">
      <c r="A477" s="0" t="s">
        <v>462</v>
      </c>
      <c r="B477" s="0" t="s">
        <v>511</v>
      </c>
      <c r="C477" s="0" t="n">
        <v>48</v>
      </c>
      <c r="D477" s="0" t="n">
        <v>1</v>
      </c>
      <c r="E477" s="0" t="n">
        <v>27</v>
      </c>
      <c r="F477" s="0" t="n">
        <f aca="false">COUNTIF($A$2:A477,A477)</f>
        <v>49</v>
      </c>
      <c r="G477" s="0" t="n">
        <f aca="false">ROUNDUP(C477*1.236/75,0)</f>
        <v>1</v>
      </c>
      <c r="H477" s="0" t="n">
        <f aca="false">IF(MOD(F477-1,2)=0,SUMPRODUCT(($A$2:$A$644=A477)*(ROW($A$2:$A$644)&gt;=ROW())*(ROW($A$2:$A$644)&lt;ROW()+2)*$C$2:$C$644),"")</f>
        <v>150</v>
      </c>
      <c r="I477" s="0" t="n">
        <f aca="false">IF(H477="","",ROUNDUP(H477/75,0))</f>
        <v>2</v>
      </c>
      <c r="J477" s="0" t="n">
        <f aca="false">IF(MOD(F477-1,3)=0,SUMPRODUCT(($A$2:$A$644=A477)*(ROW($A$2:$A$644)&gt;=ROW())*(ROW($A$2:$A$644)&lt;ROW()+3)*$C$2:$C$644),"")</f>
        <v>204</v>
      </c>
      <c r="K477" s="0" t="n">
        <f aca="false">IF(J477="","",ROUNDUP(J477/75,0))</f>
        <v>3</v>
      </c>
      <c r="L477" s="0" t="str">
        <f aca="false">IF(MOD(F477-1,5)=0,SUMPRODUCT(($A$2:$A$644=A477)*(ROW($A$2:$A$644)&gt;=ROW())*(ROW($A$2:$A$644)&lt;ROW()+5)*$C$2:$C$644),"")</f>
        <v/>
      </c>
      <c r="M477" s="0" t="str">
        <f aca="false">IF(L477="","",ROUNDUP(L477/75,0))</f>
        <v/>
      </c>
      <c r="N477" s="0" t="str">
        <f aca="false">IF(MOD(F477-1,7)=0,SUMPRODUCT(($A$2:$A$644=A477)*(ROW($A$2:$A$644)&gt;=ROW())*(ROW($A$2:$A$644)&lt;ROW()+7)*$C$2:$C$644),"")</f>
        <v/>
      </c>
      <c r="O477" s="0" t="str">
        <f aca="false">IF(N477="","",ROUNDUP(N477/75,0))</f>
        <v/>
      </c>
    </row>
    <row r="478" customFormat="false" ht="15" hidden="false" customHeight="false" outlineLevel="0" collapsed="false">
      <c r="A478" s="0" t="s">
        <v>462</v>
      </c>
      <c r="B478" s="0" t="s">
        <v>512</v>
      </c>
      <c r="C478" s="0" t="n">
        <v>102</v>
      </c>
      <c r="D478" s="0" t="n">
        <v>2</v>
      </c>
      <c r="E478" s="0" t="n">
        <v>48</v>
      </c>
      <c r="F478" s="0" t="n">
        <f aca="false">COUNTIF($A$2:A478,A478)</f>
        <v>50</v>
      </c>
      <c r="G478" s="0" t="n">
        <f aca="false">ROUNDUP(C478*1.236/75,0)</f>
        <v>2</v>
      </c>
      <c r="H478" s="0" t="str">
        <f aca="false">IF(MOD(F478-1,2)=0,SUMPRODUCT(($A$2:$A$644=A478)*(ROW($A$2:$A$644)&gt;=ROW())*(ROW($A$2:$A$644)&lt;ROW()+2)*$C$2:$C$644),"")</f>
        <v/>
      </c>
      <c r="I478" s="0" t="str">
        <f aca="false">IF(H478="","",ROUNDUP(H478/75,0))</f>
        <v/>
      </c>
      <c r="J478" s="0" t="str">
        <f aca="false">IF(MOD(F478-1,3)=0,SUMPRODUCT(($A$2:$A$644=A478)*(ROW($A$2:$A$644)&gt;=ROW())*(ROW($A$2:$A$644)&lt;ROW()+3)*$C$2:$C$644),"")</f>
        <v/>
      </c>
      <c r="K478" s="0" t="str">
        <f aca="false">IF(J478="","",ROUNDUP(J478/75,0))</f>
        <v/>
      </c>
      <c r="L478" s="0" t="str">
        <f aca="false">IF(MOD(F478-1,5)=0,SUMPRODUCT(($A$2:$A$644=A478)*(ROW($A$2:$A$644)&gt;=ROW())*(ROW($A$2:$A$644)&lt;ROW()+5)*$C$2:$C$644),"")</f>
        <v/>
      </c>
      <c r="M478" s="0" t="str">
        <f aca="false">IF(L478="","",ROUNDUP(L478/75,0))</f>
        <v/>
      </c>
      <c r="N478" s="0" t="n">
        <f aca="false">IF(MOD(F478-1,7)=0,SUMPRODUCT(($A$2:$A$644=A478)*(ROW($A$2:$A$644)&gt;=ROW())*(ROW($A$2:$A$644)&lt;ROW()+7)*$C$2:$C$644),"")</f>
        <v>537</v>
      </c>
      <c r="O478" s="0" t="n">
        <f aca="false">IF(N478="","",ROUNDUP(N478/75,0))</f>
        <v>8</v>
      </c>
    </row>
    <row r="479" customFormat="false" ht="15" hidden="false" customHeight="false" outlineLevel="0" collapsed="false">
      <c r="A479" s="0" t="s">
        <v>462</v>
      </c>
      <c r="B479" s="0" t="s">
        <v>513</v>
      </c>
      <c r="C479" s="0" t="n">
        <v>54</v>
      </c>
      <c r="D479" s="0" t="n">
        <v>1</v>
      </c>
      <c r="E479" s="0" t="n">
        <v>21</v>
      </c>
      <c r="F479" s="0" t="n">
        <f aca="false">COUNTIF($A$2:A479,A479)</f>
        <v>51</v>
      </c>
      <c r="G479" s="0" t="n">
        <f aca="false">ROUNDUP(C479*1.236/75,0)</f>
        <v>1</v>
      </c>
      <c r="H479" s="0" t="n">
        <f aca="false">IF(MOD(F479-1,2)=0,SUMPRODUCT(($A$2:$A$644=A479)*(ROW($A$2:$A$644)&gt;=ROW())*(ROW($A$2:$A$644)&lt;ROW()+2)*$C$2:$C$644),"")</f>
        <v>141</v>
      </c>
      <c r="I479" s="0" t="n">
        <f aca="false">IF(H479="","",ROUNDUP(H479/75,0))</f>
        <v>2</v>
      </c>
      <c r="J479" s="0" t="str">
        <f aca="false">IF(MOD(F479-1,3)=0,SUMPRODUCT(($A$2:$A$644=A479)*(ROW($A$2:$A$644)&gt;=ROW())*(ROW($A$2:$A$644)&lt;ROW()+3)*$C$2:$C$644),"")</f>
        <v/>
      </c>
      <c r="K479" s="0" t="str">
        <f aca="false">IF(J479="","",ROUNDUP(J479/75,0))</f>
        <v/>
      </c>
      <c r="L479" s="0" t="n">
        <f aca="false">IF(MOD(F479-1,5)=0,SUMPRODUCT(($A$2:$A$644=A479)*(ROW($A$2:$A$644)&gt;=ROW())*(ROW($A$2:$A$644)&lt;ROW()+5)*$C$2:$C$644),"")</f>
        <v>375</v>
      </c>
      <c r="M479" s="0" t="n">
        <f aca="false">IF(L479="","",ROUNDUP(L479/75,0))</f>
        <v>5</v>
      </c>
      <c r="N479" s="0" t="str">
        <f aca="false">IF(MOD(F479-1,7)=0,SUMPRODUCT(($A$2:$A$644=A479)*(ROW($A$2:$A$644)&gt;=ROW())*(ROW($A$2:$A$644)&lt;ROW()+7)*$C$2:$C$644),"")</f>
        <v/>
      </c>
      <c r="O479" s="0" t="str">
        <f aca="false">IF(N479="","",ROUNDUP(N479/75,0))</f>
        <v/>
      </c>
    </row>
    <row r="480" customFormat="false" ht="15" hidden="false" customHeight="false" outlineLevel="0" collapsed="false">
      <c r="A480" s="0" t="s">
        <v>462</v>
      </c>
      <c r="B480" s="0" t="s">
        <v>514</v>
      </c>
      <c r="C480" s="0" t="n">
        <v>87</v>
      </c>
      <c r="D480" s="0" t="n">
        <v>2</v>
      </c>
      <c r="E480" s="0" t="n">
        <v>63</v>
      </c>
      <c r="F480" s="0" t="n">
        <f aca="false">COUNTIF($A$2:A480,A480)</f>
        <v>52</v>
      </c>
      <c r="G480" s="0" t="n">
        <f aca="false">ROUNDUP(C480*1.236/75,0)</f>
        <v>2</v>
      </c>
      <c r="H480" s="0" t="str">
        <f aca="false">IF(MOD(F480-1,2)=0,SUMPRODUCT(($A$2:$A$644=A480)*(ROW($A$2:$A$644)&gt;=ROW())*(ROW($A$2:$A$644)&lt;ROW()+2)*$C$2:$C$644),"")</f>
        <v/>
      </c>
      <c r="I480" s="0" t="str">
        <f aca="false">IF(H480="","",ROUNDUP(H480/75,0))</f>
        <v/>
      </c>
      <c r="J480" s="0" t="n">
        <f aca="false">IF(MOD(F480-1,3)=0,SUMPRODUCT(($A$2:$A$644=A480)*(ROW($A$2:$A$644)&gt;=ROW())*(ROW($A$2:$A$644)&lt;ROW()+3)*$C$2:$C$644),"")</f>
        <v>279</v>
      </c>
      <c r="K480" s="0" t="n">
        <f aca="false">IF(J480="","",ROUNDUP(J480/75,0))</f>
        <v>4</v>
      </c>
      <c r="L480" s="0" t="str">
        <f aca="false">IF(MOD(F480-1,5)=0,SUMPRODUCT(($A$2:$A$644=A480)*(ROW($A$2:$A$644)&gt;=ROW())*(ROW($A$2:$A$644)&lt;ROW()+5)*$C$2:$C$644),"")</f>
        <v/>
      </c>
      <c r="M480" s="0" t="str">
        <f aca="false">IF(L480="","",ROUNDUP(L480/75,0))</f>
        <v/>
      </c>
      <c r="N480" s="0" t="str">
        <f aca="false">IF(MOD(F480-1,7)=0,SUMPRODUCT(($A$2:$A$644=A480)*(ROW($A$2:$A$644)&gt;=ROW())*(ROW($A$2:$A$644)&lt;ROW()+7)*$C$2:$C$644),"")</f>
        <v/>
      </c>
      <c r="O480" s="0" t="str">
        <f aca="false">IF(N480="","",ROUNDUP(N480/75,0))</f>
        <v/>
      </c>
    </row>
    <row r="481" customFormat="false" ht="15" hidden="false" customHeight="false" outlineLevel="0" collapsed="false">
      <c r="A481" s="0" t="s">
        <v>462</v>
      </c>
      <c r="B481" s="0" t="s">
        <v>515</v>
      </c>
      <c r="C481" s="0" t="n">
        <v>126</v>
      </c>
      <c r="D481" s="0" t="n">
        <v>2</v>
      </c>
      <c r="E481" s="0" t="n">
        <v>24</v>
      </c>
      <c r="F481" s="0" t="n">
        <f aca="false">COUNTIF($A$2:A481,A481)</f>
        <v>53</v>
      </c>
      <c r="G481" s="0" t="n">
        <f aca="false">ROUNDUP(C481*1.236/75,0)</f>
        <v>3</v>
      </c>
      <c r="H481" s="0" t="n">
        <f aca="false">IF(MOD(F481-1,2)=0,SUMPRODUCT(($A$2:$A$644=A481)*(ROW($A$2:$A$644)&gt;=ROW())*(ROW($A$2:$A$644)&lt;ROW()+2)*$C$2:$C$644),"")</f>
        <v>192</v>
      </c>
      <c r="I481" s="0" t="n">
        <f aca="false">IF(H481="","",ROUNDUP(H481/75,0))</f>
        <v>3</v>
      </c>
      <c r="J481" s="0" t="str">
        <f aca="false">IF(MOD(F481-1,3)=0,SUMPRODUCT(($A$2:$A$644=A481)*(ROW($A$2:$A$644)&gt;=ROW())*(ROW($A$2:$A$644)&lt;ROW()+3)*$C$2:$C$644),"")</f>
        <v/>
      </c>
      <c r="K481" s="0" t="str">
        <f aca="false">IF(J481="","",ROUNDUP(J481/75,0))</f>
        <v/>
      </c>
      <c r="L481" s="0" t="str">
        <f aca="false">IF(MOD(F481-1,5)=0,SUMPRODUCT(($A$2:$A$644=A481)*(ROW($A$2:$A$644)&gt;=ROW())*(ROW($A$2:$A$644)&lt;ROW()+5)*$C$2:$C$644),"")</f>
        <v/>
      </c>
      <c r="M481" s="0" t="str">
        <f aca="false">IF(L481="","",ROUNDUP(L481/75,0))</f>
        <v/>
      </c>
      <c r="N481" s="0" t="str">
        <f aca="false">IF(MOD(F481-1,7)=0,SUMPRODUCT(($A$2:$A$644=A481)*(ROW($A$2:$A$644)&gt;=ROW())*(ROW($A$2:$A$644)&lt;ROW()+7)*$C$2:$C$644),"")</f>
        <v/>
      </c>
      <c r="O481" s="0" t="str">
        <f aca="false">IF(N481="","",ROUNDUP(N481/75,0))</f>
        <v/>
      </c>
    </row>
    <row r="482" customFormat="false" ht="15" hidden="false" customHeight="false" outlineLevel="0" collapsed="false">
      <c r="A482" s="0" t="s">
        <v>462</v>
      </c>
      <c r="B482" s="0" t="s">
        <v>516</v>
      </c>
      <c r="C482" s="0" t="n">
        <v>66</v>
      </c>
      <c r="D482" s="0" t="n">
        <v>1</v>
      </c>
      <c r="E482" s="0" t="n">
        <v>9</v>
      </c>
      <c r="F482" s="0" t="n">
        <f aca="false">COUNTIF($A$2:A482,A482)</f>
        <v>54</v>
      </c>
      <c r="G482" s="0" t="n">
        <f aca="false">ROUNDUP(C482*1.236/75,0)</f>
        <v>2</v>
      </c>
      <c r="H482" s="0" t="str">
        <f aca="false">IF(MOD(F482-1,2)=0,SUMPRODUCT(($A$2:$A$644=A482)*(ROW($A$2:$A$644)&gt;=ROW())*(ROW($A$2:$A$644)&lt;ROW()+2)*$C$2:$C$644),"")</f>
        <v/>
      </c>
      <c r="I482" s="0" t="str">
        <f aca="false">IF(H482="","",ROUNDUP(H482/75,0))</f>
        <v/>
      </c>
      <c r="J482" s="0" t="str">
        <f aca="false">IF(MOD(F482-1,3)=0,SUMPRODUCT(($A$2:$A$644=A482)*(ROW($A$2:$A$644)&gt;=ROW())*(ROW($A$2:$A$644)&lt;ROW()+3)*$C$2:$C$644),"")</f>
        <v/>
      </c>
      <c r="K482" s="0" t="str">
        <f aca="false">IF(J482="","",ROUNDUP(J482/75,0))</f>
        <v/>
      </c>
      <c r="L482" s="0" t="str">
        <f aca="false">IF(MOD(F482-1,5)=0,SUMPRODUCT(($A$2:$A$644=A482)*(ROW($A$2:$A$644)&gt;=ROW())*(ROW($A$2:$A$644)&lt;ROW()+5)*$C$2:$C$644),"")</f>
        <v/>
      </c>
      <c r="M482" s="0" t="str">
        <f aca="false">IF(L482="","",ROUNDUP(L482/75,0))</f>
        <v/>
      </c>
      <c r="N482" s="0" t="str">
        <f aca="false">IF(MOD(F482-1,7)=0,SUMPRODUCT(($A$2:$A$644=A482)*(ROW($A$2:$A$644)&gt;=ROW())*(ROW($A$2:$A$644)&lt;ROW()+7)*$C$2:$C$644),"")</f>
        <v/>
      </c>
      <c r="O482" s="0" t="str">
        <f aca="false">IF(N482="","",ROUNDUP(N482/75,0))</f>
        <v/>
      </c>
    </row>
    <row r="483" customFormat="false" ht="15" hidden="false" customHeight="false" outlineLevel="0" collapsed="false">
      <c r="A483" s="0" t="s">
        <v>462</v>
      </c>
      <c r="B483" s="0" t="s">
        <v>517</v>
      </c>
      <c r="C483" s="0" t="n">
        <v>42</v>
      </c>
      <c r="D483" s="0" t="n">
        <v>1</v>
      </c>
      <c r="E483" s="0" t="n">
        <v>33</v>
      </c>
      <c r="F483" s="0" t="n">
        <f aca="false">COUNTIF($A$2:A483,A483)</f>
        <v>55</v>
      </c>
      <c r="G483" s="0" t="n">
        <f aca="false">ROUNDUP(C483*1.236/75,0)</f>
        <v>1</v>
      </c>
      <c r="H483" s="0" t="n">
        <f aca="false">IF(MOD(F483-1,2)=0,SUMPRODUCT(($A$2:$A$644=A483)*(ROW($A$2:$A$644)&gt;=ROW())*(ROW($A$2:$A$644)&lt;ROW()+2)*$C$2:$C$644),"")</f>
        <v>102</v>
      </c>
      <c r="I483" s="0" t="n">
        <f aca="false">IF(H483="","",ROUNDUP(H483/75,0))</f>
        <v>2</v>
      </c>
      <c r="J483" s="0" t="n">
        <f aca="false">IF(MOD(F483-1,3)=0,SUMPRODUCT(($A$2:$A$644=A483)*(ROW($A$2:$A$644)&gt;=ROW())*(ROW($A$2:$A$644)&lt;ROW()+3)*$C$2:$C$644),"")</f>
        <v>198</v>
      </c>
      <c r="K483" s="0" t="n">
        <f aca="false">IF(J483="","",ROUNDUP(J483/75,0))</f>
        <v>3</v>
      </c>
      <c r="L483" s="0" t="str">
        <f aca="false">IF(MOD(F483-1,5)=0,SUMPRODUCT(($A$2:$A$644=A483)*(ROW($A$2:$A$644)&gt;=ROW())*(ROW($A$2:$A$644)&lt;ROW()+5)*$C$2:$C$644),"")</f>
        <v/>
      </c>
      <c r="M483" s="0" t="str">
        <f aca="false">IF(L483="","",ROUNDUP(L483/75,0))</f>
        <v/>
      </c>
      <c r="N483" s="0" t="str">
        <f aca="false">IF(MOD(F483-1,7)=0,SUMPRODUCT(($A$2:$A$644=A483)*(ROW($A$2:$A$644)&gt;=ROW())*(ROW($A$2:$A$644)&lt;ROW()+7)*$C$2:$C$644),"")</f>
        <v/>
      </c>
      <c r="O483" s="0" t="str">
        <f aca="false">IF(N483="","",ROUNDUP(N483/75,0))</f>
        <v/>
      </c>
    </row>
    <row r="484" customFormat="false" ht="15" hidden="false" customHeight="false" outlineLevel="0" collapsed="false">
      <c r="A484" s="0" t="s">
        <v>462</v>
      </c>
      <c r="B484" s="0" t="s">
        <v>518</v>
      </c>
      <c r="C484" s="0" t="n">
        <v>60</v>
      </c>
      <c r="D484" s="0" t="n">
        <v>1</v>
      </c>
      <c r="E484" s="0" t="n">
        <v>15</v>
      </c>
      <c r="F484" s="0" t="n">
        <f aca="false">COUNTIF($A$2:A484,A484)</f>
        <v>56</v>
      </c>
      <c r="G484" s="0" t="n">
        <f aca="false">ROUNDUP(C484*1.236/75,0)</f>
        <v>1</v>
      </c>
      <c r="H484" s="0" t="str">
        <f aca="false">IF(MOD(F484-1,2)=0,SUMPRODUCT(($A$2:$A$644=A484)*(ROW($A$2:$A$644)&gt;=ROW())*(ROW($A$2:$A$644)&lt;ROW()+2)*$C$2:$C$644),"")</f>
        <v/>
      </c>
      <c r="I484" s="0" t="str">
        <f aca="false">IF(H484="","",ROUNDUP(H484/75,0))</f>
        <v/>
      </c>
      <c r="J484" s="0" t="str">
        <f aca="false">IF(MOD(F484-1,3)=0,SUMPRODUCT(($A$2:$A$644=A484)*(ROW($A$2:$A$644)&gt;=ROW())*(ROW($A$2:$A$644)&lt;ROW()+3)*$C$2:$C$644),"")</f>
        <v/>
      </c>
      <c r="K484" s="0" t="str">
        <f aca="false">IF(J484="","",ROUNDUP(J484/75,0))</f>
        <v/>
      </c>
      <c r="L484" s="0" t="n">
        <f aca="false">IF(MOD(F484-1,5)=0,SUMPRODUCT(($A$2:$A$644=A484)*(ROW($A$2:$A$644)&gt;=ROW())*(ROW($A$2:$A$644)&lt;ROW()+5)*$C$2:$C$644),"")</f>
        <v>318</v>
      </c>
      <c r="M484" s="0" t="n">
        <f aca="false">IF(L484="","",ROUNDUP(L484/75,0))</f>
        <v>5</v>
      </c>
      <c r="N484" s="0" t="str">
        <f aca="false">IF(MOD(F484-1,7)=0,SUMPRODUCT(($A$2:$A$644=A484)*(ROW($A$2:$A$644)&gt;=ROW())*(ROW($A$2:$A$644)&lt;ROW()+7)*$C$2:$C$644),"")</f>
        <v/>
      </c>
      <c r="O484" s="0" t="str">
        <f aca="false">IF(N484="","",ROUNDUP(N484/75,0))</f>
        <v/>
      </c>
    </row>
    <row r="485" customFormat="false" ht="15" hidden="false" customHeight="false" outlineLevel="0" collapsed="false">
      <c r="A485" s="0" t="s">
        <v>462</v>
      </c>
      <c r="B485" s="0" t="s">
        <v>519</v>
      </c>
      <c r="C485" s="0" t="n">
        <v>96</v>
      </c>
      <c r="D485" s="0" t="n">
        <v>2</v>
      </c>
      <c r="E485" s="0" t="n">
        <v>54</v>
      </c>
      <c r="F485" s="0" t="n">
        <f aca="false">COUNTIF($A$2:A485,A485)</f>
        <v>57</v>
      </c>
      <c r="G485" s="0" t="n">
        <f aca="false">ROUNDUP(C485*1.236/75,0)</f>
        <v>2</v>
      </c>
      <c r="H485" s="0" t="n">
        <f aca="false">IF(MOD(F485-1,2)=0,SUMPRODUCT(($A$2:$A$644=A485)*(ROW($A$2:$A$644)&gt;=ROW())*(ROW($A$2:$A$644)&lt;ROW()+2)*$C$2:$C$644),"")</f>
        <v>162</v>
      </c>
      <c r="I485" s="0" t="n">
        <f aca="false">IF(H485="","",ROUNDUP(H485/75,0))</f>
        <v>3</v>
      </c>
      <c r="J485" s="0" t="str">
        <f aca="false">IF(MOD(F485-1,3)=0,SUMPRODUCT(($A$2:$A$644=A485)*(ROW($A$2:$A$644)&gt;=ROW())*(ROW($A$2:$A$644)&lt;ROW()+3)*$C$2:$C$644),"")</f>
        <v/>
      </c>
      <c r="K485" s="0" t="str">
        <f aca="false">IF(J485="","",ROUNDUP(J485/75,0))</f>
        <v/>
      </c>
      <c r="L485" s="0" t="str">
        <f aca="false">IF(MOD(F485-1,5)=0,SUMPRODUCT(($A$2:$A$644=A485)*(ROW($A$2:$A$644)&gt;=ROW())*(ROW($A$2:$A$644)&lt;ROW()+5)*$C$2:$C$644),"")</f>
        <v/>
      </c>
      <c r="M485" s="0" t="str">
        <f aca="false">IF(L485="","",ROUNDUP(L485/75,0))</f>
        <v/>
      </c>
      <c r="N485" s="0" t="n">
        <f aca="false">IF(MOD(F485-1,7)=0,SUMPRODUCT(($A$2:$A$644=A485)*(ROW($A$2:$A$644)&gt;=ROW())*(ROW($A$2:$A$644)&lt;ROW()+7)*$C$2:$C$644),"")</f>
        <v>468</v>
      </c>
      <c r="O485" s="0" t="n">
        <f aca="false">IF(N485="","",ROUNDUP(N485/75,0))</f>
        <v>7</v>
      </c>
    </row>
    <row r="486" customFormat="false" ht="15" hidden="false" customHeight="false" outlineLevel="0" collapsed="false">
      <c r="A486" s="0" t="s">
        <v>462</v>
      </c>
      <c r="B486" s="0" t="s">
        <v>520</v>
      </c>
      <c r="C486" s="0" t="n">
        <v>66</v>
      </c>
      <c r="D486" s="0" t="n">
        <v>1</v>
      </c>
      <c r="E486" s="0" t="n">
        <v>9</v>
      </c>
      <c r="F486" s="0" t="n">
        <f aca="false">COUNTIF($A$2:A486,A486)</f>
        <v>58</v>
      </c>
      <c r="G486" s="0" t="n">
        <f aca="false">ROUNDUP(C486*1.236/75,0)</f>
        <v>2</v>
      </c>
      <c r="H486" s="0" t="str">
        <f aca="false">IF(MOD(F486-1,2)=0,SUMPRODUCT(($A$2:$A$644=A486)*(ROW($A$2:$A$644)&gt;=ROW())*(ROW($A$2:$A$644)&lt;ROW()+2)*$C$2:$C$644),"")</f>
        <v/>
      </c>
      <c r="I486" s="0" t="str">
        <f aca="false">IF(H486="","",ROUNDUP(H486/75,0))</f>
        <v/>
      </c>
      <c r="J486" s="0" t="n">
        <f aca="false">IF(MOD(F486-1,3)=0,SUMPRODUCT(($A$2:$A$644=A486)*(ROW($A$2:$A$644)&gt;=ROW())*(ROW($A$2:$A$644)&lt;ROW()+3)*$C$2:$C$644),"")</f>
        <v>162</v>
      </c>
      <c r="K486" s="0" t="n">
        <f aca="false">IF(J486="","",ROUNDUP(J486/75,0))</f>
        <v>3</v>
      </c>
      <c r="L486" s="0" t="str">
        <f aca="false">IF(MOD(F486-1,5)=0,SUMPRODUCT(($A$2:$A$644=A486)*(ROW($A$2:$A$644)&gt;=ROW())*(ROW($A$2:$A$644)&lt;ROW()+5)*$C$2:$C$644),"")</f>
        <v/>
      </c>
      <c r="M486" s="0" t="str">
        <f aca="false">IF(L486="","",ROUNDUP(L486/75,0))</f>
        <v/>
      </c>
      <c r="N486" s="0" t="str">
        <f aca="false">IF(MOD(F486-1,7)=0,SUMPRODUCT(($A$2:$A$644=A486)*(ROW($A$2:$A$644)&gt;=ROW())*(ROW($A$2:$A$644)&lt;ROW()+7)*$C$2:$C$644),"")</f>
        <v/>
      </c>
      <c r="O486" s="0" t="str">
        <f aca="false">IF(N486="","",ROUNDUP(N486/75,0))</f>
        <v/>
      </c>
    </row>
    <row r="487" customFormat="false" ht="15" hidden="false" customHeight="false" outlineLevel="0" collapsed="false">
      <c r="A487" s="0" t="s">
        <v>462</v>
      </c>
      <c r="B487" s="0" t="s">
        <v>521</v>
      </c>
      <c r="C487" s="0" t="n">
        <v>48</v>
      </c>
      <c r="D487" s="0" t="n">
        <v>1</v>
      </c>
      <c r="E487" s="0" t="n">
        <v>27</v>
      </c>
      <c r="F487" s="0" t="n">
        <f aca="false">COUNTIF($A$2:A487,A487)</f>
        <v>59</v>
      </c>
      <c r="G487" s="0" t="n">
        <f aca="false">ROUNDUP(C487*1.236/75,0)</f>
        <v>1</v>
      </c>
      <c r="H487" s="0" t="n">
        <f aca="false">IF(MOD(F487-1,2)=0,SUMPRODUCT(($A$2:$A$644=A487)*(ROW($A$2:$A$644)&gt;=ROW())*(ROW($A$2:$A$644)&lt;ROW()+2)*$C$2:$C$644),"")</f>
        <v>96</v>
      </c>
      <c r="I487" s="0" t="n">
        <f aca="false">IF(H487="","",ROUNDUP(H487/75,0))</f>
        <v>2</v>
      </c>
      <c r="J487" s="0" t="str">
        <f aca="false">IF(MOD(F487-1,3)=0,SUMPRODUCT(($A$2:$A$644=A487)*(ROW($A$2:$A$644)&gt;=ROW())*(ROW($A$2:$A$644)&lt;ROW()+3)*$C$2:$C$644),"")</f>
        <v/>
      </c>
      <c r="K487" s="0" t="str">
        <f aca="false">IF(J487="","",ROUNDUP(J487/75,0))</f>
        <v/>
      </c>
      <c r="L487" s="0" t="str">
        <f aca="false">IF(MOD(F487-1,5)=0,SUMPRODUCT(($A$2:$A$644=A487)*(ROW($A$2:$A$644)&gt;=ROW())*(ROW($A$2:$A$644)&lt;ROW()+5)*$C$2:$C$644),"")</f>
        <v/>
      </c>
      <c r="M487" s="0" t="str">
        <f aca="false">IF(L487="","",ROUNDUP(L487/75,0))</f>
        <v/>
      </c>
      <c r="N487" s="0" t="str">
        <f aca="false">IF(MOD(F487-1,7)=0,SUMPRODUCT(($A$2:$A$644=A487)*(ROW($A$2:$A$644)&gt;=ROW())*(ROW($A$2:$A$644)&lt;ROW()+7)*$C$2:$C$644),"")</f>
        <v/>
      </c>
      <c r="O487" s="0" t="str">
        <f aca="false">IF(N487="","",ROUNDUP(N487/75,0))</f>
        <v/>
      </c>
    </row>
    <row r="488" customFormat="false" ht="15" hidden="false" customHeight="false" outlineLevel="0" collapsed="false">
      <c r="A488" s="0" t="s">
        <v>462</v>
      </c>
      <c r="B488" s="0" t="s">
        <v>522</v>
      </c>
      <c r="C488" s="0" t="n">
        <v>48</v>
      </c>
      <c r="D488" s="0" t="n">
        <v>1</v>
      </c>
      <c r="E488" s="0" t="n">
        <v>27</v>
      </c>
      <c r="F488" s="0" t="n">
        <f aca="false">COUNTIF($A$2:A488,A488)</f>
        <v>60</v>
      </c>
      <c r="G488" s="0" t="n">
        <f aca="false">ROUNDUP(C488*1.236/75,0)</f>
        <v>1</v>
      </c>
      <c r="H488" s="0" t="str">
        <f aca="false">IF(MOD(F488-1,2)=0,SUMPRODUCT(($A$2:$A$644=A488)*(ROW($A$2:$A$644)&gt;=ROW())*(ROW($A$2:$A$644)&lt;ROW()+2)*$C$2:$C$644),"")</f>
        <v/>
      </c>
      <c r="I488" s="0" t="str">
        <f aca="false">IF(H488="","",ROUNDUP(H488/75,0))</f>
        <v/>
      </c>
      <c r="J488" s="0" t="str">
        <f aca="false">IF(MOD(F488-1,3)=0,SUMPRODUCT(($A$2:$A$644=A488)*(ROW($A$2:$A$644)&gt;=ROW())*(ROW($A$2:$A$644)&lt;ROW()+3)*$C$2:$C$644),"")</f>
        <v/>
      </c>
      <c r="K488" s="0" t="str">
        <f aca="false">IF(J488="","",ROUNDUP(J488/75,0))</f>
        <v/>
      </c>
      <c r="L488" s="0" t="str">
        <f aca="false">IF(MOD(F488-1,5)=0,SUMPRODUCT(($A$2:$A$644=A488)*(ROW($A$2:$A$644)&gt;=ROW())*(ROW($A$2:$A$644)&lt;ROW()+5)*$C$2:$C$644),"")</f>
        <v/>
      </c>
      <c r="M488" s="0" t="str">
        <f aca="false">IF(L488="","",ROUNDUP(L488/75,0))</f>
        <v/>
      </c>
      <c r="N488" s="0" t="str">
        <f aca="false">IF(MOD(F488-1,7)=0,SUMPRODUCT(($A$2:$A$644=A488)*(ROW($A$2:$A$644)&gt;=ROW())*(ROW($A$2:$A$644)&lt;ROW()+7)*$C$2:$C$644),"")</f>
        <v/>
      </c>
      <c r="O488" s="0" t="str">
        <f aca="false">IF(N488="","",ROUNDUP(N488/75,0))</f>
        <v/>
      </c>
    </row>
    <row r="489" customFormat="false" ht="15" hidden="false" customHeight="false" outlineLevel="0" collapsed="false">
      <c r="A489" s="0" t="s">
        <v>462</v>
      </c>
      <c r="B489" s="0" t="s">
        <v>523</v>
      </c>
      <c r="C489" s="0" t="n">
        <v>54</v>
      </c>
      <c r="D489" s="0" t="n">
        <v>1</v>
      </c>
      <c r="E489" s="0" t="n">
        <v>21</v>
      </c>
      <c r="F489" s="0" t="n">
        <f aca="false">COUNTIF($A$2:A489,A489)</f>
        <v>61</v>
      </c>
      <c r="G489" s="0" t="n">
        <f aca="false">ROUNDUP(C489*1.236/75,0)</f>
        <v>1</v>
      </c>
      <c r="H489" s="0" t="n">
        <f aca="false">IF(MOD(F489-1,2)=0,SUMPRODUCT(($A$2:$A$644=A489)*(ROW($A$2:$A$644)&gt;=ROW())*(ROW($A$2:$A$644)&lt;ROW()+2)*$C$2:$C$644),"")</f>
        <v>102</v>
      </c>
      <c r="I489" s="0" t="n">
        <f aca="false">IF(H489="","",ROUNDUP(H489/75,0))</f>
        <v>2</v>
      </c>
      <c r="J489" s="0" t="n">
        <f aca="false">IF(MOD(F489-1,3)=0,SUMPRODUCT(($A$2:$A$644=A489)*(ROW($A$2:$A$644)&gt;=ROW())*(ROW($A$2:$A$644)&lt;ROW()+3)*$C$2:$C$644),"")</f>
        <v>210</v>
      </c>
      <c r="K489" s="0" t="n">
        <f aca="false">IF(J489="","",ROUNDUP(J489/75,0))</f>
        <v>3</v>
      </c>
      <c r="L489" s="0" t="n">
        <f aca="false">IF(MOD(F489-1,5)=0,SUMPRODUCT(($A$2:$A$644=A489)*(ROW($A$2:$A$644)&gt;=ROW())*(ROW($A$2:$A$644)&lt;ROW()+5)*$C$2:$C$644),"")</f>
        <v>342</v>
      </c>
      <c r="M489" s="0" t="n">
        <f aca="false">IF(L489="","",ROUNDUP(L489/75,0))</f>
        <v>5</v>
      </c>
      <c r="N489" s="0" t="str">
        <f aca="false">IF(MOD(F489-1,7)=0,SUMPRODUCT(($A$2:$A$644=A489)*(ROW($A$2:$A$644)&gt;=ROW())*(ROW($A$2:$A$644)&lt;ROW()+7)*$C$2:$C$644),"")</f>
        <v/>
      </c>
      <c r="O489" s="0" t="str">
        <f aca="false">IF(N489="","",ROUNDUP(N489/75,0))</f>
        <v/>
      </c>
    </row>
    <row r="490" customFormat="false" ht="15" hidden="false" customHeight="false" outlineLevel="0" collapsed="false">
      <c r="A490" s="0" t="s">
        <v>462</v>
      </c>
      <c r="B490" s="0" t="s">
        <v>524</v>
      </c>
      <c r="C490" s="0" t="n">
        <v>48</v>
      </c>
      <c r="D490" s="0" t="n">
        <v>1</v>
      </c>
      <c r="E490" s="0" t="n">
        <v>27</v>
      </c>
      <c r="F490" s="0" t="n">
        <f aca="false">COUNTIF($A$2:A490,A490)</f>
        <v>62</v>
      </c>
      <c r="G490" s="0" t="n">
        <f aca="false">ROUNDUP(C490*1.236/75,0)</f>
        <v>1</v>
      </c>
      <c r="H490" s="0" t="str">
        <f aca="false">IF(MOD(F490-1,2)=0,SUMPRODUCT(($A$2:$A$644=A490)*(ROW($A$2:$A$644)&gt;=ROW())*(ROW($A$2:$A$644)&lt;ROW()+2)*$C$2:$C$644),"")</f>
        <v/>
      </c>
      <c r="I490" s="0" t="str">
        <f aca="false">IF(H490="","",ROUNDUP(H490/75,0))</f>
        <v/>
      </c>
      <c r="J490" s="0" t="str">
        <f aca="false">IF(MOD(F490-1,3)=0,SUMPRODUCT(($A$2:$A$644=A490)*(ROW($A$2:$A$644)&gt;=ROW())*(ROW($A$2:$A$644)&lt;ROW()+3)*$C$2:$C$644),"")</f>
        <v/>
      </c>
      <c r="K490" s="0" t="str">
        <f aca="false">IF(J490="","",ROUNDUP(J490/75,0))</f>
        <v/>
      </c>
      <c r="L490" s="0" t="str">
        <f aca="false">IF(MOD(F490-1,5)=0,SUMPRODUCT(($A$2:$A$644=A490)*(ROW($A$2:$A$644)&gt;=ROW())*(ROW($A$2:$A$644)&lt;ROW()+5)*$C$2:$C$644),"")</f>
        <v/>
      </c>
      <c r="M490" s="0" t="str">
        <f aca="false">IF(L490="","",ROUNDUP(L490/75,0))</f>
        <v/>
      </c>
      <c r="N490" s="0" t="str">
        <f aca="false">IF(MOD(F490-1,7)=0,SUMPRODUCT(($A$2:$A$644=A490)*(ROW($A$2:$A$644)&gt;=ROW())*(ROW($A$2:$A$644)&lt;ROW()+7)*$C$2:$C$644),"")</f>
        <v/>
      </c>
      <c r="O490" s="0" t="str">
        <f aca="false">IF(N490="","",ROUNDUP(N490/75,0))</f>
        <v/>
      </c>
    </row>
    <row r="491" customFormat="false" ht="15" hidden="false" customHeight="false" outlineLevel="0" collapsed="false">
      <c r="A491" s="0" t="s">
        <v>462</v>
      </c>
      <c r="B491" s="0" t="s">
        <v>525</v>
      </c>
      <c r="C491" s="0" t="n">
        <v>108</v>
      </c>
      <c r="D491" s="0" t="n">
        <v>2</v>
      </c>
      <c r="E491" s="0" t="n">
        <v>42</v>
      </c>
      <c r="F491" s="0" t="n">
        <f aca="false">COUNTIF($A$2:A491,A491)</f>
        <v>63</v>
      </c>
      <c r="G491" s="0" t="n">
        <f aca="false">ROUNDUP(C491*1.236/75,0)</f>
        <v>2</v>
      </c>
      <c r="H491" s="0" t="n">
        <f aca="false">IF(MOD(F491-1,2)=0,SUMPRODUCT(($A$2:$A$644=A491)*(ROW($A$2:$A$644)&gt;=ROW())*(ROW($A$2:$A$644)&lt;ROW()+2)*$C$2:$C$644),"")</f>
        <v>150</v>
      </c>
      <c r="I491" s="0" t="n">
        <f aca="false">IF(H491="","",ROUNDUP(H491/75,0))</f>
        <v>2</v>
      </c>
      <c r="J491" s="0" t="str">
        <f aca="false">IF(MOD(F491-1,3)=0,SUMPRODUCT(($A$2:$A$644=A491)*(ROW($A$2:$A$644)&gt;=ROW())*(ROW($A$2:$A$644)&lt;ROW()+3)*$C$2:$C$644),"")</f>
        <v/>
      </c>
      <c r="K491" s="0" t="str">
        <f aca="false">IF(J491="","",ROUNDUP(J491/75,0))</f>
        <v/>
      </c>
      <c r="L491" s="0" t="str">
        <f aca="false">IF(MOD(F491-1,5)=0,SUMPRODUCT(($A$2:$A$644=A491)*(ROW($A$2:$A$644)&gt;=ROW())*(ROW($A$2:$A$644)&lt;ROW()+5)*$C$2:$C$644),"")</f>
        <v/>
      </c>
      <c r="M491" s="0" t="str">
        <f aca="false">IF(L491="","",ROUNDUP(L491/75,0))</f>
        <v/>
      </c>
      <c r="N491" s="0" t="str">
        <f aca="false">IF(MOD(F491-1,7)=0,SUMPRODUCT(($A$2:$A$644=A491)*(ROW($A$2:$A$644)&gt;=ROW())*(ROW($A$2:$A$644)&lt;ROW()+7)*$C$2:$C$644),"")</f>
        <v/>
      </c>
      <c r="O491" s="0" t="str">
        <f aca="false">IF(N491="","",ROUNDUP(N491/75,0))</f>
        <v/>
      </c>
    </row>
    <row r="492" customFormat="false" ht="15" hidden="false" customHeight="false" outlineLevel="0" collapsed="false">
      <c r="A492" s="0" t="s">
        <v>462</v>
      </c>
      <c r="B492" s="0" t="s">
        <v>526</v>
      </c>
      <c r="C492" s="0" t="n">
        <v>42</v>
      </c>
      <c r="D492" s="0" t="n">
        <v>1</v>
      </c>
      <c r="E492" s="0" t="n">
        <v>33</v>
      </c>
      <c r="F492" s="0" t="n">
        <f aca="false">COUNTIF($A$2:A492,A492)</f>
        <v>64</v>
      </c>
      <c r="G492" s="0" t="n">
        <f aca="false">ROUNDUP(C492*1.236/75,0)</f>
        <v>1</v>
      </c>
      <c r="H492" s="0" t="str">
        <f aca="false">IF(MOD(F492-1,2)=0,SUMPRODUCT(($A$2:$A$644=A492)*(ROW($A$2:$A$644)&gt;=ROW())*(ROW($A$2:$A$644)&lt;ROW()+2)*$C$2:$C$644),"")</f>
        <v/>
      </c>
      <c r="I492" s="0" t="str">
        <f aca="false">IF(H492="","",ROUNDUP(H492/75,0))</f>
        <v/>
      </c>
      <c r="J492" s="0" t="n">
        <f aca="false">IF(MOD(F492-1,3)=0,SUMPRODUCT(($A$2:$A$644=A492)*(ROW($A$2:$A$644)&gt;=ROW())*(ROW($A$2:$A$644)&lt;ROW()+3)*$C$2:$C$644),"")</f>
        <v>156</v>
      </c>
      <c r="K492" s="0" t="n">
        <f aca="false">IF(J492="","",ROUNDUP(J492/75,0))</f>
        <v>3</v>
      </c>
      <c r="L492" s="0" t="str">
        <f aca="false">IF(MOD(F492-1,5)=0,SUMPRODUCT(($A$2:$A$644=A492)*(ROW($A$2:$A$644)&gt;=ROW())*(ROW($A$2:$A$644)&lt;ROW()+5)*$C$2:$C$644),"")</f>
        <v/>
      </c>
      <c r="M492" s="0" t="str">
        <f aca="false">IF(L492="","",ROUNDUP(L492/75,0))</f>
        <v/>
      </c>
      <c r="N492" s="0" t="n">
        <f aca="false">IF(MOD(F492-1,7)=0,SUMPRODUCT(($A$2:$A$644=A492)*(ROW($A$2:$A$644)&gt;=ROW())*(ROW($A$2:$A$644)&lt;ROW()+7)*$C$2:$C$644),"")</f>
        <v>534</v>
      </c>
      <c r="O492" s="0" t="n">
        <f aca="false">IF(N492="","",ROUNDUP(N492/75,0))</f>
        <v>8</v>
      </c>
    </row>
    <row r="493" customFormat="false" ht="15" hidden="false" customHeight="false" outlineLevel="0" collapsed="false">
      <c r="A493" s="0" t="s">
        <v>462</v>
      </c>
      <c r="B493" s="0" t="s">
        <v>527</v>
      </c>
      <c r="C493" s="0" t="n">
        <v>90</v>
      </c>
      <c r="D493" s="0" t="n">
        <v>2</v>
      </c>
      <c r="E493" s="0" t="n">
        <v>60</v>
      </c>
      <c r="F493" s="0" t="n">
        <f aca="false">COUNTIF($A$2:A493,A493)</f>
        <v>65</v>
      </c>
      <c r="G493" s="0" t="n">
        <f aca="false">ROUNDUP(C493*1.236/75,0)</f>
        <v>2</v>
      </c>
      <c r="H493" s="0" t="n">
        <f aca="false">IF(MOD(F493-1,2)=0,SUMPRODUCT(($A$2:$A$644=A493)*(ROW($A$2:$A$644)&gt;=ROW())*(ROW($A$2:$A$644)&lt;ROW()+2)*$C$2:$C$644),"")</f>
        <v>114</v>
      </c>
      <c r="I493" s="0" t="n">
        <f aca="false">IF(H493="","",ROUNDUP(H493/75,0))</f>
        <v>2</v>
      </c>
      <c r="J493" s="0" t="str">
        <f aca="false">IF(MOD(F493-1,3)=0,SUMPRODUCT(($A$2:$A$644=A493)*(ROW($A$2:$A$644)&gt;=ROW())*(ROW($A$2:$A$644)&lt;ROW()+3)*$C$2:$C$644),"")</f>
        <v/>
      </c>
      <c r="K493" s="0" t="str">
        <f aca="false">IF(J493="","",ROUNDUP(J493/75,0))</f>
        <v/>
      </c>
      <c r="L493" s="0" t="str">
        <f aca="false">IF(MOD(F493-1,5)=0,SUMPRODUCT(($A$2:$A$644=A493)*(ROW($A$2:$A$644)&gt;=ROW())*(ROW($A$2:$A$644)&lt;ROW()+5)*$C$2:$C$644),"")</f>
        <v/>
      </c>
      <c r="M493" s="0" t="str">
        <f aca="false">IF(L493="","",ROUNDUP(L493/75,0))</f>
        <v/>
      </c>
      <c r="N493" s="0" t="str">
        <f aca="false">IF(MOD(F493-1,7)=0,SUMPRODUCT(($A$2:$A$644=A493)*(ROW($A$2:$A$644)&gt;=ROW())*(ROW($A$2:$A$644)&lt;ROW()+7)*$C$2:$C$644),"")</f>
        <v/>
      </c>
      <c r="O493" s="0" t="str">
        <f aca="false">IF(N493="","",ROUNDUP(N493/75,0))</f>
        <v/>
      </c>
    </row>
    <row r="494" customFormat="false" ht="15" hidden="false" customHeight="false" outlineLevel="0" collapsed="false">
      <c r="A494" s="0" t="s">
        <v>462</v>
      </c>
      <c r="B494" s="0" t="s">
        <v>528</v>
      </c>
      <c r="C494" s="0" t="n">
        <v>24</v>
      </c>
      <c r="D494" s="0" t="n">
        <v>1</v>
      </c>
      <c r="E494" s="0" t="n">
        <v>51</v>
      </c>
      <c r="F494" s="0" t="n">
        <f aca="false">COUNTIF($A$2:A494,A494)</f>
        <v>66</v>
      </c>
      <c r="G494" s="0" t="n">
        <f aca="false">ROUNDUP(C494*1.236/75,0)</f>
        <v>1</v>
      </c>
      <c r="H494" s="0" t="str">
        <f aca="false">IF(MOD(F494-1,2)=0,SUMPRODUCT(($A$2:$A$644=A494)*(ROW($A$2:$A$644)&gt;=ROW())*(ROW($A$2:$A$644)&lt;ROW()+2)*$C$2:$C$644),"")</f>
        <v/>
      </c>
      <c r="I494" s="0" t="str">
        <f aca="false">IF(H494="","",ROUNDUP(H494/75,0))</f>
        <v/>
      </c>
      <c r="J494" s="0" t="str">
        <f aca="false">IF(MOD(F494-1,3)=0,SUMPRODUCT(($A$2:$A$644=A494)*(ROW($A$2:$A$644)&gt;=ROW())*(ROW($A$2:$A$644)&lt;ROW()+3)*$C$2:$C$644),"")</f>
        <v/>
      </c>
      <c r="K494" s="0" t="str">
        <f aca="false">IF(J494="","",ROUNDUP(J494/75,0))</f>
        <v/>
      </c>
      <c r="L494" s="0" t="n">
        <f aca="false">IF(MOD(F494-1,5)=0,SUMPRODUCT(($A$2:$A$644=A494)*(ROW($A$2:$A$644)&gt;=ROW())*(ROW($A$2:$A$644)&lt;ROW()+5)*$C$2:$C$644),"")</f>
        <v>402</v>
      </c>
      <c r="M494" s="0" t="n">
        <f aca="false">IF(L494="","",ROUNDUP(L494/75,0))</f>
        <v>6</v>
      </c>
      <c r="N494" s="0" t="str">
        <f aca="false">IF(MOD(F494-1,7)=0,SUMPRODUCT(($A$2:$A$644=A494)*(ROW($A$2:$A$644)&gt;=ROW())*(ROW($A$2:$A$644)&lt;ROW()+7)*$C$2:$C$644),"")</f>
        <v/>
      </c>
      <c r="O494" s="0" t="str">
        <f aca="false">IF(N494="","",ROUNDUP(N494/75,0))</f>
        <v/>
      </c>
    </row>
    <row r="495" customFormat="false" ht="15" hidden="false" customHeight="false" outlineLevel="0" collapsed="false">
      <c r="A495" s="0" t="s">
        <v>462</v>
      </c>
      <c r="B495" s="0" t="s">
        <v>529</v>
      </c>
      <c r="C495" s="0" t="n">
        <v>84</v>
      </c>
      <c r="D495" s="0" t="n">
        <v>2</v>
      </c>
      <c r="E495" s="0" t="n">
        <v>66</v>
      </c>
      <c r="F495" s="0" t="n">
        <f aca="false">COUNTIF($A$2:A495,A495)</f>
        <v>67</v>
      </c>
      <c r="G495" s="0" t="n">
        <f aca="false">ROUNDUP(C495*1.236/75,0)</f>
        <v>2</v>
      </c>
      <c r="H495" s="0" t="n">
        <f aca="false">IF(MOD(F495-1,2)=0,SUMPRODUCT(($A$2:$A$644=A495)*(ROW($A$2:$A$644)&gt;=ROW())*(ROW($A$2:$A$644)&lt;ROW()+2)*$C$2:$C$644),"")</f>
        <v>198</v>
      </c>
      <c r="I495" s="0" t="n">
        <f aca="false">IF(H495="","",ROUNDUP(H495/75,0))</f>
        <v>3</v>
      </c>
      <c r="J495" s="0" t="n">
        <f aca="false">IF(MOD(F495-1,3)=0,SUMPRODUCT(($A$2:$A$644=A495)*(ROW($A$2:$A$644)&gt;=ROW())*(ROW($A$2:$A$644)&lt;ROW()+3)*$C$2:$C$644),"")</f>
        <v>288</v>
      </c>
      <c r="K495" s="0" t="n">
        <f aca="false">IF(J495="","",ROUNDUP(J495/75,0))</f>
        <v>4</v>
      </c>
      <c r="L495" s="0" t="str">
        <f aca="false">IF(MOD(F495-1,5)=0,SUMPRODUCT(($A$2:$A$644=A495)*(ROW($A$2:$A$644)&gt;=ROW())*(ROW($A$2:$A$644)&lt;ROW()+5)*$C$2:$C$644),"")</f>
        <v/>
      </c>
      <c r="M495" s="0" t="str">
        <f aca="false">IF(L495="","",ROUNDUP(L495/75,0))</f>
        <v/>
      </c>
      <c r="N495" s="0" t="str">
        <f aca="false">IF(MOD(F495-1,7)=0,SUMPRODUCT(($A$2:$A$644=A495)*(ROW($A$2:$A$644)&gt;=ROW())*(ROW($A$2:$A$644)&lt;ROW()+7)*$C$2:$C$644),"")</f>
        <v/>
      </c>
      <c r="O495" s="0" t="str">
        <f aca="false">IF(N495="","",ROUNDUP(N495/75,0))</f>
        <v/>
      </c>
    </row>
    <row r="496" customFormat="false" ht="15" hidden="false" customHeight="false" outlineLevel="0" collapsed="false">
      <c r="A496" s="0" t="s">
        <v>462</v>
      </c>
      <c r="B496" s="0" t="s">
        <v>530</v>
      </c>
      <c r="C496" s="0" t="n">
        <v>114</v>
      </c>
      <c r="D496" s="0" t="n">
        <v>2</v>
      </c>
      <c r="E496" s="0" t="n">
        <v>36</v>
      </c>
      <c r="F496" s="0" t="n">
        <f aca="false">COUNTIF($A$2:A496,A496)</f>
        <v>68</v>
      </c>
      <c r="G496" s="0" t="n">
        <f aca="false">ROUNDUP(C496*1.236/75,0)</f>
        <v>2</v>
      </c>
      <c r="H496" s="0" t="str">
        <f aca="false">IF(MOD(F496-1,2)=0,SUMPRODUCT(($A$2:$A$644=A496)*(ROW($A$2:$A$644)&gt;=ROW())*(ROW($A$2:$A$644)&lt;ROW()+2)*$C$2:$C$644),"")</f>
        <v/>
      </c>
      <c r="I496" s="0" t="str">
        <f aca="false">IF(H496="","",ROUNDUP(H496/75,0))</f>
        <v/>
      </c>
      <c r="J496" s="0" t="str">
        <f aca="false">IF(MOD(F496-1,3)=0,SUMPRODUCT(($A$2:$A$644=A496)*(ROW($A$2:$A$644)&gt;=ROW())*(ROW($A$2:$A$644)&lt;ROW()+3)*$C$2:$C$644),"")</f>
        <v/>
      </c>
      <c r="K496" s="0" t="str">
        <f aca="false">IF(J496="","",ROUNDUP(J496/75,0))</f>
        <v/>
      </c>
      <c r="L496" s="0" t="str">
        <f aca="false">IF(MOD(F496-1,5)=0,SUMPRODUCT(($A$2:$A$644=A496)*(ROW($A$2:$A$644)&gt;=ROW())*(ROW($A$2:$A$644)&lt;ROW()+5)*$C$2:$C$644),"")</f>
        <v/>
      </c>
      <c r="M496" s="0" t="str">
        <f aca="false">IF(L496="","",ROUNDUP(L496/75,0))</f>
        <v/>
      </c>
      <c r="N496" s="0" t="str">
        <f aca="false">IF(MOD(F496-1,7)=0,SUMPRODUCT(($A$2:$A$644=A496)*(ROW($A$2:$A$644)&gt;=ROW())*(ROW($A$2:$A$644)&lt;ROW()+7)*$C$2:$C$644),"")</f>
        <v/>
      </c>
      <c r="O496" s="0" t="str">
        <f aca="false">IF(N496="","",ROUNDUP(N496/75,0))</f>
        <v/>
      </c>
    </row>
    <row r="497" customFormat="false" ht="15" hidden="false" customHeight="false" outlineLevel="0" collapsed="false">
      <c r="A497" s="0" t="s">
        <v>462</v>
      </c>
      <c r="B497" s="0" t="s">
        <v>531</v>
      </c>
      <c r="C497" s="0" t="n">
        <v>90</v>
      </c>
      <c r="D497" s="0" t="n">
        <v>2</v>
      </c>
      <c r="E497" s="0" t="n">
        <v>60</v>
      </c>
      <c r="F497" s="0" t="n">
        <f aca="false">COUNTIF($A$2:A497,A497)</f>
        <v>69</v>
      </c>
      <c r="G497" s="0" t="n">
        <f aca="false">ROUNDUP(C497*1.236/75,0)</f>
        <v>2</v>
      </c>
      <c r="H497" s="0" t="n">
        <f aca="false">IF(MOD(F497-1,2)=0,SUMPRODUCT(($A$2:$A$644=A497)*(ROW($A$2:$A$644)&gt;=ROW())*(ROW($A$2:$A$644)&lt;ROW()+2)*$C$2:$C$644),"")</f>
        <v>180</v>
      </c>
      <c r="I497" s="0" t="n">
        <f aca="false">IF(H497="","",ROUNDUP(H497/75,0))</f>
        <v>3</v>
      </c>
      <c r="J497" s="0" t="str">
        <f aca="false">IF(MOD(F497-1,3)=0,SUMPRODUCT(($A$2:$A$644=A497)*(ROW($A$2:$A$644)&gt;=ROW())*(ROW($A$2:$A$644)&lt;ROW()+3)*$C$2:$C$644),"")</f>
        <v/>
      </c>
      <c r="K497" s="0" t="str">
        <f aca="false">IF(J497="","",ROUNDUP(J497/75,0))</f>
        <v/>
      </c>
      <c r="L497" s="0" t="str">
        <f aca="false">IF(MOD(F497-1,5)=0,SUMPRODUCT(($A$2:$A$644=A497)*(ROW($A$2:$A$644)&gt;=ROW())*(ROW($A$2:$A$644)&lt;ROW()+5)*$C$2:$C$644),"")</f>
        <v/>
      </c>
      <c r="M497" s="0" t="str">
        <f aca="false">IF(L497="","",ROUNDUP(L497/75,0))</f>
        <v/>
      </c>
      <c r="N497" s="0" t="str">
        <f aca="false">IF(MOD(F497-1,7)=0,SUMPRODUCT(($A$2:$A$644=A497)*(ROW($A$2:$A$644)&gt;=ROW())*(ROW($A$2:$A$644)&lt;ROW()+7)*$C$2:$C$644),"")</f>
        <v/>
      </c>
      <c r="O497" s="0" t="str">
        <f aca="false">IF(N497="","",ROUNDUP(N497/75,0))</f>
        <v/>
      </c>
    </row>
    <row r="498" customFormat="false" ht="15" hidden="false" customHeight="false" outlineLevel="0" collapsed="false">
      <c r="A498" s="0" t="s">
        <v>462</v>
      </c>
      <c r="B498" s="0" t="s">
        <v>532</v>
      </c>
      <c r="C498" s="0" t="n">
        <v>90</v>
      </c>
      <c r="D498" s="0" t="n">
        <v>2</v>
      </c>
      <c r="E498" s="0" t="n">
        <v>60</v>
      </c>
      <c r="F498" s="0" t="n">
        <f aca="false">COUNTIF($A$2:A498,A498)</f>
        <v>70</v>
      </c>
      <c r="G498" s="0" t="n">
        <f aca="false">ROUNDUP(C498*1.236/75,0)</f>
        <v>2</v>
      </c>
      <c r="H498" s="0" t="str">
        <f aca="false">IF(MOD(F498-1,2)=0,SUMPRODUCT(($A$2:$A$644=A498)*(ROW($A$2:$A$644)&gt;=ROW())*(ROW($A$2:$A$644)&lt;ROW()+2)*$C$2:$C$644),"")</f>
        <v/>
      </c>
      <c r="I498" s="0" t="str">
        <f aca="false">IF(H498="","",ROUNDUP(H498/75,0))</f>
        <v/>
      </c>
      <c r="J498" s="0" t="n">
        <f aca="false">IF(MOD(F498-1,3)=0,SUMPRODUCT(($A$2:$A$644=A498)*(ROW($A$2:$A$644)&gt;=ROW())*(ROW($A$2:$A$644)&lt;ROW()+3)*$C$2:$C$644),"")</f>
        <v>288</v>
      </c>
      <c r="K498" s="0" t="n">
        <f aca="false">IF(J498="","",ROUNDUP(J498/75,0))</f>
        <v>4</v>
      </c>
      <c r="L498" s="0" t="str">
        <f aca="false">IF(MOD(F498-1,5)=0,SUMPRODUCT(($A$2:$A$644=A498)*(ROW($A$2:$A$644)&gt;=ROW())*(ROW($A$2:$A$644)&lt;ROW()+5)*$C$2:$C$644),"")</f>
        <v/>
      </c>
      <c r="M498" s="0" t="str">
        <f aca="false">IF(L498="","",ROUNDUP(L498/75,0))</f>
        <v/>
      </c>
      <c r="N498" s="0" t="str">
        <f aca="false">IF(MOD(F498-1,7)=0,SUMPRODUCT(($A$2:$A$644=A498)*(ROW($A$2:$A$644)&gt;=ROW())*(ROW($A$2:$A$644)&lt;ROW()+7)*$C$2:$C$644),"")</f>
        <v/>
      </c>
      <c r="O498" s="0" t="str">
        <f aca="false">IF(N498="","",ROUNDUP(N498/75,0))</f>
        <v/>
      </c>
    </row>
    <row r="499" customFormat="false" ht="15" hidden="false" customHeight="false" outlineLevel="0" collapsed="false">
      <c r="A499" s="0" t="s">
        <v>462</v>
      </c>
      <c r="B499" s="0" t="s">
        <v>533</v>
      </c>
      <c r="C499" s="0" t="n">
        <v>78</v>
      </c>
      <c r="D499" s="0" t="n">
        <v>2</v>
      </c>
      <c r="E499" s="0" t="n">
        <v>72</v>
      </c>
      <c r="F499" s="0" t="n">
        <f aca="false">COUNTIF($A$2:A499,A499)</f>
        <v>71</v>
      </c>
      <c r="G499" s="0" t="n">
        <f aca="false">ROUNDUP(C499*1.236/75,0)</f>
        <v>2</v>
      </c>
      <c r="H499" s="0" t="n">
        <f aca="false">IF(MOD(F499-1,2)=0,SUMPRODUCT(($A$2:$A$644=A499)*(ROW($A$2:$A$644)&gt;=ROW())*(ROW($A$2:$A$644)&lt;ROW()+2)*$C$2:$C$644),"")</f>
        <v>198</v>
      </c>
      <c r="I499" s="0" t="n">
        <f aca="false">IF(H499="","",ROUNDUP(H499/75,0))</f>
        <v>3</v>
      </c>
      <c r="J499" s="0" t="str">
        <f aca="false">IF(MOD(F499-1,3)=0,SUMPRODUCT(($A$2:$A$644=A499)*(ROW($A$2:$A$644)&gt;=ROW())*(ROW($A$2:$A$644)&lt;ROW()+3)*$C$2:$C$644),"")</f>
        <v/>
      </c>
      <c r="K499" s="0" t="str">
        <f aca="false">IF(J499="","",ROUNDUP(J499/75,0))</f>
        <v/>
      </c>
      <c r="L499" s="0" t="n">
        <f aca="false">IF(MOD(F499-1,5)=0,SUMPRODUCT(($A$2:$A$644=A499)*(ROW($A$2:$A$644)&gt;=ROW())*(ROW($A$2:$A$644)&lt;ROW()+5)*$C$2:$C$644),"")</f>
        <v>384</v>
      </c>
      <c r="M499" s="0" t="n">
        <f aca="false">IF(L499="","",ROUNDUP(L499/75,0))</f>
        <v>6</v>
      </c>
      <c r="N499" s="0" t="n">
        <f aca="false">IF(MOD(F499-1,7)=0,SUMPRODUCT(($A$2:$A$644=A499)*(ROW($A$2:$A$644)&gt;=ROW())*(ROW($A$2:$A$644)&lt;ROW()+7)*$C$2:$C$644),"")</f>
        <v>486</v>
      </c>
      <c r="O499" s="0" t="n">
        <f aca="false">IF(N499="","",ROUNDUP(N499/75,0))</f>
        <v>7</v>
      </c>
    </row>
    <row r="500" customFormat="false" ht="15" hidden="false" customHeight="false" outlineLevel="0" collapsed="false">
      <c r="A500" s="0" t="s">
        <v>462</v>
      </c>
      <c r="B500" s="0" t="s">
        <v>534</v>
      </c>
      <c r="C500" s="0" t="n">
        <v>120</v>
      </c>
      <c r="D500" s="0" t="n">
        <v>2</v>
      </c>
      <c r="E500" s="0" t="n">
        <v>30</v>
      </c>
      <c r="F500" s="0" t="n">
        <f aca="false">COUNTIF($A$2:A500,A500)</f>
        <v>72</v>
      </c>
      <c r="G500" s="0" t="n">
        <f aca="false">ROUNDUP(C500*1.236/75,0)</f>
        <v>2</v>
      </c>
      <c r="H500" s="0" t="str">
        <f aca="false">IF(MOD(F500-1,2)=0,SUMPRODUCT(($A$2:$A$644=A500)*(ROW($A$2:$A$644)&gt;=ROW())*(ROW($A$2:$A$644)&lt;ROW()+2)*$C$2:$C$644),"")</f>
        <v/>
      </c>
      <c r="I500" s="0" t="str">
        <f aca="false">IF(H500="","",ROUNDUP(H500/75,0))</f>
        <v/>
      </c>
      <c r="J500" s="0" t="str">
        <f aca="false">IF(MOD(F500-1,3)=0,SUMPRODUCT(($A$2:$A$644=A500)*(ROW($A$2:$A$644)&gt;=ROW())*(ROW($A$2:$A$644)&lt;ROW()+3)*$C$2:$C$644),"")</f>
        <v/>
      </c>
      <c r="K500" s="0" t="str">
        <f aca="false">IF(J500="","",ROUNDUP(J500/75,0))</f>
        <v/>
      </c>
      <c r="L500" s="0" t="str">
        <f aca="false">IF(MOD(F500-1,5)=0,SUMPRODUCT(($A$2:$A$644=A500)*(ROW($A$2:$A$644)&gt;=ROW())*(ROW($A$2:$A$644)&lt;ROW()+5)*$C$2:$C$644),"")</f>
        <v/>
      </c>
      <c r="M500" s="0" t="str">
        <f aca="false">IF(L500="","",ROUNDUP(L500/75,0))</f>
        <v/>
      </c>
      <c r="N500" s="0" t="str">
        <f aca="false">IF(MOD(F500-1,7)=0,SUMPRODUCT(($A$2:$A$644=A500)*(ROW($A$2:$A$644)&gt;=ROW())*(ROW($A$2:$A$644)&lt;ROW()+7)*$C$2:$C$644),"")</f>
        <v/>
      </c>
      <c r="O500" s="0" t="str">
        <f aca="false">IF(N500="","",ROUNDUP(N500/75,0))</f>
        <v/>
      </c>
    </row>
    <row r="501" customFormat="false" ht="15" hidden="false" customHeight="false" outlineLevel="0" collapsed="false">
      <c r="A501" s="0" t="s">
        <v>462</v>
      </c>
      <c r="B501" s="0" t="s">
        <v>535</v>
      </c>
      <c r="C501" s="0" t="n">
        <v>84</v>
      </c>
      <c r="D501" s="0" t="n">
        <v>2</v>
      </c>
      <c r="E501" s="0" t="n">
        <v>66</v>
      </c>
      <c r="F501" s="0" t="n">
        <f aca="false">COUNTIF($A$2:A501,A501)</f>
        <v>73</v>
      </c>
      <c r="G501" s="0" t="n">
        <f aca="false">ROUNDUP(C501*1.236/75,0)</f>
        <v>2</v>
      </c>
      <c r="H501" s="0" t="n">
        <f aca="false">IF(MOD(F501-1,2)=0,SUMPRODUCT(($A$2:$A$644=A501)*(ROW($A$2:$A$644)&gt;=ROW())*(ROW($A$2:$A$644)&lt;ROW()+2)*$C$2:$C$644),"")</f>
        <v>132</v>
      </c>
      <c r="I501" s="0" t="n">
        <f aca="false">IF(H501="","",ROUNDUP(H501/75,0))</f>
        <v>2</v>
      </c>
      <c r="J501" s="0" t="n">
        <f aca="false">IF(MOD(F501-1,3)=0,SUMPRODUCT(($A$2:$A$644=A501)*(ROW($A$2:$A$644)&gt;=ROW())*(ROW($A$2:$A$644)&lt;ROW()+3)*$C$2:$C$644),"")</f>
        <v>186</v>
      </c>
      <c r="K501" s="0" t="n">
        <f aca="false">IF(J501="","",ROUNDUP(J501/75,0))</f>
        <v>3</v>
      </c>
      <c r="L501" s="0" t="str">
        <f aca="false">IF(MOD(F501-1,5)=0,SUMPRODUCT(($A$2:$A$644=A501)*(ROW($A$2:$A$644)&gt;=ROW())*(ROW($A$2:$A$644)&lt;ROW()+5)*$C$2:$C$644),"")</f>
        <v/>
      </c>
      <c r="M501" s="0" t="str">
        <f aca="false">IF(L501="","",ROUNDUP(L501/75,0))</f>
        <v/>
      </c>
      <c r="N501" s="0" t="str">
        <f aca="false">IF(MOD(F501-1,7)=0,SUMPRODUCT(($A$2:$A$644=A501)*(ROW($A$2:$A$644)&gt;=ROW())*(ROW($A$2:$A$644)&lt;ROW()+7)*$C$2:$C$644),"")</f>
        <v/>
      </c>
      <c r="O501" s="0" t="str">
        <f aca="false">IF(N501="","",ROUNDUP(N501/75,0))</f>
        <v/>
      </c>
    </row>
    <row r="502" customFormat="false" ht="15" hidden="false" customHeight="false" outlineLevel="0" collapsed="false">
      <c r="A502" s="0" t="s">
        <v>462</v>
      </c>
      <c r="B502" s="0" t="s">
        <v>536</v>
      </c>
      <c r="C502" s="0" t="n">
        <v>48</v>
      </c>
      <c r="D502" s="0" t="n">
        <v>1</v>
      </c>
      <c r="E502" s="0" t="n">
        <v>27</v>
      </c>
      <c r="F502" s="0" t="n">
        <f aca="false">COUNTIF($A$2:A502,A502)</f>
        <v>74</v>
      </c>
      <c r="G502" s="0" t="n">
        <f aca="false">ROUNDUP(C502*1.236/75,0)</f>
        <v>1</v>
      </c>
      <c r="H502" s="0" t="str">
        <f aca="false">IF(MOD(F502-1,2)=0,SUMPRODUCT(($A$2:$A$644=A502)*(ROW($A$2:$A$644)&gt;=ROW())*(ROW($A$2:$A$644)&lt;ROW()+2)*$C$2:$C$644),"")</f>
        <v/>
      </c>
      <c r="I502" s="0" t="str">
        <f aca="false">IF(H502="","",ROUNDUP(H502/75,0))</f>
        <v/>
      </c>
      <c r="J502" s="0" t="str">
        <f aca="false">IF(MOD(F502-1,3)=0,SUMPRODUCT(($A$2:$A$644=A502)*(ROW($A$2:$A$644)&gt;=ROW())*(ROW($A$2:$A$644)&lt;ROW()+3)*$C$2:$C$644),"")</f>
        <v/>
      </c>
      <c r="K502" s="0" t="str">
        <f aca="false">IF(J502="","",ROUNDUP(J502/75,0))</f>
        <v/>
      </c>
      <c r="L502" s="0" t="str">
        <f aca="false">IF(MOD(F502-1,5)=0,SUMPRODUCT(($A$2:$A$644=A502)*(ROW($A$2:$A$644)&gt;=ROW())*(ROW($A$2:$A$644)&lt;ROW()+5)*$C$2:$C$644),"")</f>
        <v/>
      </c>
      <c r="M502" s="0" t="str">
        <f aca="false">IF(L502="","",ROUNDUP(L502/75,0))</f>
        <v/>
      </c>
      <c r="N502" s="0" t="str">
        <f aca="false">IF(MOD(F502-1,7)=0,SUMPRODUCT(($A$2:$A$644=A502)*(ROW($A$2:$A$644)&gt;=ROW())*(ROW($A$2:$A$644)&lt;ROW()+7)*$C$2:$C$644),"")</f>
        <v/>
      </c>
      <c r="O502" s="0" t="str">
        <f aca="false">IF(N502="","",ROUNDUP(N502/75,0))</f>
        <v/>
      </c>
    </row>
    <row r="503" customFormat="false" ht="15" hidden="false" customHeight="false" outlineLevel="0" collapsed="false">
      <c r="A503" s="0" t="s">
        <v>462</v>
      </c>
      <c r="B503" s="0" t="s">
        <v>537</v>
      </c>
      <c r="C503" s="0" t="n">
        <v>54</v>
      </c>
      <c r="D503" s="0" t="n">
        <v>1</v>
      </c>
      <c r="E503" s="0" t="n">
        <v>21</v>
      </c>
      <c r="F503" s="0" t="n">
        <f aca="false">COUNTIF($A$2:A503,A503)</f>
        <v>75</v>
      </c>
      <c r="G503" s="0" t="n">
        <f aca="false">ROUNDUP(C503*1.236/75,0)</f>
        <v>1</v>
      </c>
      <c r="H503" s="0" t="n">
        <f aca="false">IF(MOD(F503-1,2)=0,SUMPRODUCT(($A$2:$A$644=A503)*(ROW($A$2:$A$644)&gt;=ROW())*(ROW($A$2:$A$644)&lt;ROW()+2)*$C$2:$C$644),"")</f>
        <v>96</v>
      </c>
      <c r="I503" s="0" t="n">
        <f aca="false">IF(H503="","",ROUNDUP(H503/75,0))</f>
        <v>2</v>
      </c>
      <c r="J503" s="0" t="str">
        <f aca="false">IF(MOD(F503-1,3)=0,SUMPRODUCT(($A$2:$A$644=A503)*(ROW($A$2:$A$644)&gt;=ROW())*(ROW($A$2:$A$644)&lt;ROW()+3)*$C$2:$C$644),"")</f>
        <v/>
      </c>
      <c r="K503" s="0" t="str">
        <f aca="false">IF(J503="","",ROUNDUP(J503/75,0))</f>
        <v/>
      </c>
      <c r="L503" s="0" t="str">
        <f aca="false">IF(MOD(F503-1,5)=0,SUMPRODUCT(($A$2:$A$644=A503)*(ROW($A$2:$A$644)&gt;=ROW())*(ROW($A$2:$A$644)&lt;ROW()+5)*$C$2:$C$644),"")</f>
        <v/>
      </c>
      <c r="M503" s="0" t="str">
        <f aca="false">IF(L503="","",ROUNDUP(L503/75,0))</f>
        <v/>
      </c>
      <c r="N503" s="0" t="str">
        <f aca="false">IF(MOD(F503-1,7)=0,SUMPRODUCT(($A$2:$A$644=A503)*(ROW($A$2:$A$644)&gt;=ROW())*(ROW($A$2:$A$644)&lt;ROW()+7)*$C$2:$C$644),"")</f>
        <v/>
      </c>
      <c r="O503" s="0" t="str">
        <f aca="false">IF(N503="","",ROUNDUP(N503/75,0))</f>
        <v/>
      </c>
    </row>
    <row r="504" customFormat="false" ht="15" hidden="false" customHeight="false" outlineLevel="0" collapsed="false">
      <c r="A504" s="0" t="s">
        <v>462</v>
      </c>
      <c r="B504" s="0" t="s">
        <v>538</v>
      </c>
      <c r="C504" s="0" t="n">
        <v>42</v>
      </c>
      <c r="D504" s="0" t="n">
        <v>1</v>
      </c>
      <c r="E504" s="0" t="n">
        <v>33</v>
      </c>
      <c r="F504" s="0" t="n">
        <f aca="false">COUNTIF($A$2:A504,A504)</f>
        <v>76</v>
      </c>
      <c r="G504" s="0" t="n">
        <f aca="false">ROUNDUP(C504*1.236/75,0)</f>
        <v>1</v>
      </c>
      <c r="H504" s="0" t="str">
        <f aca="false">IF(MOD(F504-1,2)=0,SUMPRODUCT(($A$2:$A$644=A504)*(ROW($A$2:$A$644)&gt;=ROW())*(ROW($A$2:$A$644)&lt;ROW()+2)*$C$2:$C$644),"")</f>
        <v/>
      </c>
      <c r="I504" s="0" t="str">
        <f aca="false">IF(H504="","",ROUNDUP(H504/75,0))</f>
        <v/>
      </c>
      <c r="J504" s="0" t="n">
        <f aca="false">IF(MOD(F504-1,3)=0,SUMPRODUCT(($A$2:$A$644=A504)*(ROW($A$2:$A$644)&gt;=ROW())*(ROW($A$2:$A$644)&lt;ROW()+3)*$C$2:$C$644),"")</f>
        <v>168</v>
      </c>
      <c r="K504" s="0" t="n">
        <f aca="false">IF(J504="","",ROUNDUP(J504/75,0))</f>
        <v>3</v>
      </c>
      <c r="L504" s="0" t="n">
        <f aca="false">IF(MOD(F504-1,5)=0,SUMPRODUCT(($A$2:$A$644=A504)*(ROW($A$2:$A$644)&gt;=ROW())*(ROW($A$2:$A$644)&lt;ROW()+5)*$C$2:$C$644),"")</f>
        <v>300</v>
      </c>
      <c r="M504" s="0" t="n">
        <f aca="false">IF(L504="","",ROUNDUP(L504/75,0))</f>
        <v>4</v>
      </c>
      <c r="N504" s="0" t="str">
        <f aca="false">IF(MOD(F504-1,7)=0,SUMPRODUCT(($A$2:$A$644=A504)*(ROW($A$2:$A$644)&gt;=ROW())*(ROW($A$2:$A$644)&lt;ROW()+7)*$C$2:$C$644),"")</f>
        <v/>
      </c>
      <c r="O504" s="0" t="str">
        <f aca="false">IF(N504="","",ROUNDUP(N504/75,0))</f>
        <v/>
      </c>
    </row>
    <row r="505" customFormat="false" ht="15" hidden="false" customHeight="false" outlineLevel="0" collapsed="false">
      <c r="A505" s="0" t="s">
        <v>462</v>
      </c>
      <c r="B505" s="0" t="s">
        <v>539</v>
      </c>
      <c r="C505" s="0" t="n">
        <v>60</v>
      </c>
      <c r="D505" s="0" t="n">
        <v>1</v>
      </c>
      <c r="E505" s="0" t="n">
        <v>15</v>
      </c>
      <c r="F505" s="0" t="n">
        <f aca="false">COUNTIF($A$2:A505,A505)</f>
        <v>77</v>
      </c>
      <c r="G505" s="0" t="n">
        <f aca="false">ROUNDUP(C505*1.236/75,0)</f>
        <v>1</v>
      </c>
      <c r="H505" s="0" t="n">
        <f aca="false">IF(MOD(F505-1,2)=0,SUMPRODUCT(($A$2:$A$644=A505)*(ROW($A$2:$A$644)&gt;=ROW())*(ROW($A$2:$A$644)&lt;ROW()+2)*$C$2:$C$644),"")</f>
        <v>126</v>
      </c>
      <c r="I505" s="0" t="n">
        <f aca="false">IF(H505="","",ROUNDUP(H505/75,0))</f>
        <v>2</v>
      </c>
      <c r="J505" s="0" t="str">
        <f aca="false">IF(MOD(F505-1,3)=0,SUMPRODUCT(($A$2:$A$644=A505)*(ROW($A$2:$A$644)&gt;=ROW())*(ROW($A$2:$A$644)&lt;ROW()+3)*$C$2:$C$644),"")</f>
        <v/>
      </c>
      <c r="K505" s="0" t="str">
        <f aca="false">IF(J505="","",ROUNDUP(J505/75,0))</f>
        <v/>
      </c>
      <c r="L505" s="0" t="str">
        <f aca="false">IF(MOD(F505-1,5)=0,SUMPRODUCT(($A$2:$A$644=A505)*(ROW($A$2:$A$644)&gt;=ROW())*(ROW($A$2:$A$644)&lt;ROW()+5)*$C$2:$C$644),"")</f>
        <v/>
      </c>
      <c r="M505" s="0" t="str">
        <f aca="false">IF(L505="","",ROUNDUP(L505/75,0))</f>
        <v/>
      </c>
      <c r="N505" s="0" t="str">
        <f aca="false">IF(MOD(F505-1,7)=0,SUMPRODUCT(($A$2:$A$644=A505)*(ROW($A$2:$A$644)&gt;=ROW())*(ROW($A$2:$A$644)&lt;ROW()+7)*$C$2:$C$644),"")</f>
        <v/>
      </c>
      <c r="O505" s="0" t="str">
        <f aca="false">IF(N505="","",ROUNDUP(N505/75,0))</f>
        <v/>
      </c>
    </row>
    <row r="506" customFormat="false" ht="15" hidden="false" customHeight="false" outlineLevel="0" collapsed="false">
      <c r="A506" s="0" t="s">
        <v>462</v>
      </c>
      <c r="B506" s="0" t="s">
        <v>540</v>
      </c>
      <c r="C506" s="0" t="n">
        <v>66</v>
      </c>
      <c r="D506" s="0" t="n">
        <v>1</v>
      </c>
      <c r="E506" s="0" t="n">
        <v>9</v>
      </c>
      <c r="F506" s="0" t="n">
        <f aca="false">COUNTIF($A$2:A506,A506)</f>
        <v>78</v>
      </c>
      <c r="G506" s="0" t="n">
        <f aca="false">ROUNDUP(C506*1.236/75,0)</f>
        <v>2</v>
      </c>
      <c r="H506" s="0" t="str">
        <f aca="false">IF(MOD(F506-1,2)=0,SUMPRODUCT(($A$2:$A$644=A506)*(ROW($A$2:$A$644)&gt;=ROW())*(ROW($A$2:$A$644)&lt;ROW()+2)*$C$2:$C$644),"")</f>
        <v/>
      </c>
      <c r="I506" s="0" t="str">
        <f aca="false">IF(H506="","",ROUNDUP(H506/75,0))</f>
        <v/>
      </c>
      <c r="J506" s="0" t="str">
        <f aca="false">IF(MOD(F506-1,3)=0,SUMPRODUCT(($A$2:$A$644=A506)*(ROW($A$2:$A$644)&gt;=ROW())*(ROW($A$2:$A$644)&lt;ROW()+3)*$C$2:$C$644),"")</f>
        <v/>
      </c>
      <c r="K506" s="0" t="str">
        <f aca="false">IF(J506="","",ROUNDUP(J506/75,0))</f>
        <v/>
      </c>
      <c r="L506" s="0" t="str">
        <f aca="false">IF(MOD(F506-1,5)=0,SUMPRODUCT(($A$2:$A$644=A506)*(ROW($A$2:$A$644)&gt;=ROW())*(ROW($A$2:$A$644)&lt;ROW()+5)*$C$2:$C$644),"")</f>
        <v/>
      </c>
      <c r="M506" s="0" t="str">
        <f aca="false">IF(L506="","",ROUNDUP(L506/75,0))</f>
        <v/>
      </c>
      <c r="N506" s="0" t="n">
        <f aca="false">IF(MOD(F506-1,7)=0,SUMPRODUCT(($A$2:$A$644=A506)*(ROW($A$2:$A$644)&gt;=ROW())*(ROW($A$2:$A$644)&lt;ROW()+7)*$C$2:$C$644),"")</f>
        <v>510</v>
      </c>
      <c r="O506" s="0" t="n">
        <f aca="false">IF(N506="","",ROUNDUP(N506/75,0))</f>
        <v>7</v>
      </c>
    </row>
    <row r="507" customFormat="false" ht="15" hidden="false" customHeight="false" outlineLevel="0" collapsed="false">
      <c r="A507" s="0" t="s">
        <v>462</v>
      </c>
      <c r="B507" s="0" t="s">
        <v>541</v>
      </c>
      <c r="C507" s="0" t="n">
        <v>54</v>
      </c>
      <c r="D507" s="0" t="n">
        <v>1</v>
      </c>
      <c r="E507" s="0" t="n">
        <v>21</v>
      </c>
      <c r="F507" s="0" t="n">
        <f aca="false">COUNTIF($A$2:A507,A507)</f>
        <v>79</v>
      </c>
      <c r="G507" s="0" t="n">
        <f aca="false">ROUNDUP(C507*1.236/75,0)</f>
        <v>1</v>
      </c>
      <c r="H507" s="0" t="n">
        <f aca="false">IF(MOD(F507-1,2)=0,SUMPRODUCT(($A$2:$A$644=A507)*(ROW($A$2:$A$644)&gt;=ROW())*(ROW($A$2:$A$644)&lt;ROW()+2)*$C$2:$C$644),"")</f>
        <v>132</v>
      </c>
      <c r="I507" s="0" t="n">
        <f aca="false">IF(H507="","",ROUNDUP(H507/75,0))</f>
        <v>2</v>
      </c>
      <c r="J507" s="0" t="n">
        <f aca="false">IF(MOD(F507-1,3)=0,SUMPRODUCT(($A$2:$A$644=A507)*(ROW($A$2:$A$644)&gt;=ROW())*(ROW($A$2:$A$644)&lt;ROW()+3)*$C$2:$C$644),"")</f>
        <v>204</v>
      </c>
      <c r="K507" s="0" t="n">
        <f aca="false">IF(J507="","",ROUNDUP(J507/75,0))</f>
        <v>3</v>
      </c>
      <c r="L507" s="0" t="str">
        <f aca="false">IF(MOD(F507-1,5)=0,SUMPRODUCT(($A$2:$A$644=A507)*(ROW($A$2:$A$644)&gt;=ROW())*(ROW($A$2:$A$644)&lt;ROW()+5)*$C$2:$C$644),"")</f>
        <v/>
      </c>
      <c r="M507" s="0" t="str">
        <f aca="false">IF(L507="","",ROUNDUP(L507/75,0))</f>
        <v/>
      </c>
      <c r="N507" s="0" t="str">
        <f aca="false">IF(MOD(F507-1,7)=0,SUMPRODUCT(($A$2:$A$644=A507)*(ROW($A$2:$A$644)&gt;=ROW())*(ROW($A$2:$A$644)&lt;ROW()+7)*$C$2:$C$644),"")</f>
        <v/>
      </c>
      <c r="O507" s="0" t="str">
        <f aca="false">IF(N507="","",ROUNDUP(N507/75,0))</f>
        <v/>
      </c>
    </row>
    <row r="508" customFormat="false" ht="15" hidden="false" customHeight="false" outlineLevel="0" collapsed="false">
      <c r="A508" s="0" t="s">
        <v>462</v>
      </c>
      <c r="B508" s="0" t="s">
        <v>542</v>
      </c>
      <c r="C508" s="0" t="n">
        <v>78</v>
      </c>
      <c r="D508" s="0" t="n">
        <v>2</v>
      </c>
      <c r="E508" s="0" t="n">
        <v>72</v>
      </c>
      <c r="F508" s="0" t="n">
        <f aca="false">COUNTIF($A$2:A508,A508)</f>
        <v>80</v>
      </c>
      <c r="G508" s="0" t="n">
        <f aca="false">ROUNDUP(C508*1.236/75,0)</f>
        <v>2</v>
      </c>
      <c r="H508" s="0" t="str">
        <f aca="false">IF(MOD(F508-1,2)=0,SUMPRODUCT(($A$2:$A$644=A508)*(ROW($A$2:$A$644)&gt;=ROW())*(ROW($A$2:$A$644)&lt;ROW()+2)*$C$2:$C$644),"")</f>
        <v/>
      </c>
      <c r="I508" s="0" t="str">
        <f aca="false">IF(H508="","",ROUNDUP(H508/75,0))</f>
        <v/>
      </c>
      <c r="J508" s="0" t="str">
        <f aca="false">IF(MOD(F508-1,3)=0,SUMPRODUCT(($A$2:$A$644=A508)*(ROW($A$2:$A$644)&gt;=ROW())*(ROW($A$2:$A$644)&lt;ROW()+3)*$C$2:$C$644),"")</f>
        <v/>
      </c>
      <c r="K508" s="0" t="str">
        <f aca="false">IF(J508="","",ROUNDUP(J508/75,0))</f>
        <v/>
      </c>
      <c r="L508" s="0" t="str">
        <f aca="false">IF(MOD(F508-1,5)=0,SUMPRODUCT(($A$2:$A$644=A508)*(ROW($A$2:$A$644)&gt;=ROW())*(ROW($A$2:$A$644)&lt;ROW()+5)*$C$2:$C$644),"")</f>
        <v/>
      </c>
      <c r="M508" s="0" t="str">
        <f aca="false">IF(L508="","",ROUNDUP(L508/75,0))</f>
        <v/>
      </c>
      <c r="N508" s="0" t="str">
        <f aca="false">IF(MOD(F508-1,7)=0,SUMPRODUCT(($A$2:$A$644=A508)*(ROW($A$2:$A$644)&gt;=ROW())*(ROW($A$2:$A$644)&lt;ROW()+7)*$C$2:$C$644),"")</f>
        <v/>
      </c>
      <c r="O508" s="0" t="str">
        <f aca="false">IF(N508="","",ROUNDUP(N508/75,0))</f>
        <v/>
      </c>
    </row>
    <row r="509" customFormat="false" ht="15" hidden="false" customHeight="false" outlineLevel="0" collapsed="false">
      <c r="A509" s="0" t="s">
        <v>462</v>
      </c>
      <c r="B509" s="0" t="s">
        <v>543</v>
      </c>
      <c r="C509" s="0" t="n">
        <v>72</v>
      </c>
      <c r="D509" s="0" t="n">
        <v>1</v>
      </c>
      <c r="E509" s="0" t="n">
        <v>3</v>
      </c>
      <c r="F509" s="0" t="n">
        <f aca="false">COUNTIF($A$2:A509,A509)</f>
        <v>81</v>
      </c>
      <c r="G509" s="0" t="n">
        <f aca="false">ROUNDUP(C509*1.236/75,0)</f>
        <v>2</v>
      </c>
      <c r="H509" s="0" t="n">
        <f aca="false">IF(MOD(F509-1,2)=0,SUMPRODUCT(($A$2:$A$644=A509)*(ROW($A$2:$A$644)&gt;=ROW())*(ROW($A$2:$A$644)&lt;ROW()+2)*$C$2:$C$644),"")</f>
        <v>120</v>
      </c>
      <c r="I509" s="0" t="n">
        <f aca="false">IF(H509="","",ROUNDUP(H509/75,0))</f>
        <v>2</v>
      </c>
      <c r="J509" s="0" t="str">
        <f aca="false">IF(MOD(F509-1,3)=0,SUMPRODUCT(($A$2:$A$644=A509)*(ROW($A$2:$A$644)&gt;=ROW())*(ROW($A$2:$A$644)&lt;ROW()+3)*$C$2:$C$644),"")</f>
        <v/>
      </c>
      <c r="K509" s="0" t="str">
        <f aca="false">IF(J509="","",ROUNDUP(J509/75,0))</f>
        <v/>
      </c>
      <c r="L509" s="0" t="n">
        <f aca="false">IF(MOD(F509-1,5)=0,SUMPRODUCT(($A$2:$A$644=A509)*(ROW($A$2:$A$644)&gt;=ROW())*(ROW($A$2:$A$644)&lt;ROW()+5)*$C$2:$C$644),"")</f>
        <v>480</v>
      </c>
      <c r="M509" s="0" t="n">
        <f aca="false">IF(L509="","",ROUNDUP(L509/75,0))</f>
        <v>7</v>
      </c>
      <c r="N509" s="0" t="str">
        <f aca="false">IF(MOD(F509-1,7)=0,SUMPRODUCT(($A$2:$A$644=A509)*(ROW($A$2:$A$644)&gt;=ROW())*(ROW($A$2:$A$644)&lt;ROW()+7)*$C$2:$C$644),"")</f>
        <v/>
      </c>
      <c r="O509" s="0" t="str">
        <f aca="false">IF(N509="","",ROUNDUP(N509/75,0))</f>
        <v/>
      </c>
    </row>
    <row r="510" customFormat="false" ht="15" hidden="false" customHeight="false" outlineLevel="0" collapsed="false">
      <c r="A510" s="0" t="s">
        <v>462</v>
      </c>
      <c r="B510" s="0" t="s">
        <v>544</v>
      </c>
      <c r="C510" s="0" t="n">
        <v>48</v>
      </c>
      <c r="D510" s="0" t="n">
        <v>1</v>
      </c>
      <c r="E510" s="0" t="n">
        <v>27</v>
      </c>
      <c r="F510" s="0" t="n">
        <f aca="false">COUNTIF($A$2:A510,A510)</f>
        <v>82</v>
      </c>
      <c r="G510" s="0" t="n">
        <f aca="false">ROUNDUP(C510*1.236/75,0)</f>
        <v>1</v>
      </c>
      <c r="H510" s="0" t="str">
        <f aca="false">IF(MOD(F510-1,2)=0,SUMPRODUCT(($A$2:$A$644=A510)*(ROW($A$2:$A$644)&gt;=ROW())*(ROW($A$2:$A$644)&lt;ROW()+2)*$C$2:$C$644),"")</f>
        <v/>
      </c>
      <c r="I510" s="0" t="str">
        <f aca="false">IF(H510="","",ROUNDUP(H510/75,0))</f>
        <v/>
      </c>
      <c r="J510" s="0" t="n">
        <f aca="false">IF(MOD(F510-1,3)=0,SUMPRODUCT(($A$2:$A$644=A510)*(ROW($A$2:$A$644)&gt;=ROW())*(ROW($A$2:$A$644)&lt;ROW()+3)*$C$2:$C$644),"")</f>
        <v>240</v>
      </c>
      <c r="K510" s="0" t="n">
        <f aca="false">IF(J510="","",ROUNDUP(J510/75,0))</f>
        <v>4</v>
      </c>
      <c r="L510" s="0" t="str">
        <f aca="false">IF(MOD(F510-1,5)=0,SUMPRODUCT(($A$2:$A$644=A510)*(ROW($A$2:$A$644)&gt;=ROW())*(ROW($A$2:$A$644)&lt;ROW()+5)*$C$2:$C$644),"")</f>
        <v/>
      </c>
      <c r="M510" s="0" t="str">
        <f aca="false">IF(L510="","",ROUNDUP(L510/75,0))</f>
        <v/>
      </c>
      <c r="N510" s="0" t="str">
        <f aca="false">IF(MOD(F510-1,7)=0,SUMPRODUCT(($A$2:$A$644=A510)*(ROW($A$2:$A$644)&gt;=ROW())*(ROW($A$2:$A$644)&lt;ROW()+7)*$C$2:$C$644),"")</f>
        <v/>
      </c>
      <c r="O510" s="0" t="str">
        <f aca="false">IF(N510="","",ROUNDUP(N510/75,0))</f>
        <v/>
      </c>
    </row>
    <row r="511" customFormat="false" ht="15" hidden="false" customHeight="false" outlineLevel="0" collapsed="false">
      <c r="A511" s="0" t="s">
        <v>462</v>
      </c>
      <c r="B511" s="0" t="s">
        <v>545</v>
      </c>
      <c r="C511" s="0" t="n">
        <v>114</v>
      </c>
      <c r="D511" s="0" t="n">
        <v>2</v>
      </c>
      <c r="E511" s="0" t="n">
        <v>36</v>
      </c>
      <c r="F511" s="0" t="n">
        <f aca="false">COUNTIF($A$2:A511,A511)</f>
        <v>83</v>
      </c>
      <c r="G511" s="0" t="n">
        <f aca="false">ROUNDUP(C511*1.236/75,0)</f>
        <v>2</v>
      </c>
      <c r="H511" s="0" t="n">
        <f aca="false">IF(MOD(F511-1,2)=0,SUMPRODUCT(($A$2:$A$644=A511)*(ROW($A$2:$A$644)&gt;=ROW())*(ROW($A$2:$A$644)&lt;ROW()+2)*$C$2:$C$644),"")</f>
        <v>192</v>
      </c>
      <c r="I511" s="0" t="n">
        <f aca="false">IF(H511="","",ROUNDUP(H511/75,0))</f>
        <v>3</v>
      </c>
      <c r="J511" s="0" t="str">
        <f aca="false">IF(MOD(F511-1,3)=0,SUMPRODUCT(($A$2:$A$644=A511)*(ROW($A$2:$A$644)&gt;=ROW())*(ROW($A$2:$A$644)&lt;ROW()+3)*$C$2:$C$644),"")</f>
        <v/>
      </c>
      <c r="K511" s="0" t="str">
        <f aca="false">IF(J511="","",ROUNDUP(J511/75,0))</f>
        <v/>
      </c>
      <c r="L511" s="0" t="str">
        <f aca="false">IF(MOD(F511-1,5)=0,SUMPRODUCT(($A$2:$A$644=A511)*(ROW($A$2:$A$644)&gt;=ROW())*(ROW($A$2:$A$644)&lt;ROW()+5)*$C$2:$C$644),"")</f>
        <v/>
      </c>
      <c r="M511" s="0" t="str">
        <f aca="false">IF(L511="","",ROUNDUP(L511/75,0))</f>
        <v/>
      </c>
      <c r="N511" s="0" t="str">
        <f aca="false">IF(MOD(F511-1,7)=0,SUMPRODUCT(($A$2:$A$644=A511)*(ROW($A$2:$A$644)&gt;=ROW())*(ROW($A$2:$A$644)&lt;ROW()+7)*$C$2:$C$644),"")</f>
        <v/>
      </c>
      <c r="O511" s="0" t="str">
        <f aca="false">IF(N511="","",ROUNDUP(N511/75,0))</f>
        <v/>
      </c>
    </row>
    <row r="512" customFormat="false" ht="15" hidden="false" customHeight="false" outlineLevel="0" collapsed="false">
      <c r="A512" s="0" t="s">
        <v>462</v>
      </c>
      <c r="B512" s="0" t="s">
        <v>546</v>
      </c>
      <c r="C512" s="0" t="n">
        <v>78</v>
      </c>
      <c r="D512" s="0" t="n">
        <v>2</v>
      </c>
      <c r="E512" s="0" t="n">
        <v>72</v>
      </c>
      <c r="F512" s="0" t="n">
        <f aca="false">COUNTIF($A$2:A512,A512)</f>
        <v>84</v>
      </c>
      <c r="G512" s="0" t="n">
        <f aca="false">ROUNDUP(C512*1.236/75,0)</f>
        <v>2</v>
      </c>
      <c r="H512" s="0" t="str">
        <f aca="false">IF(MOD(F512-1,2)=0,SUMPRODUCT(($A$2:$A$644=A512)*(ROW($A$2:$A$644)&gt;=ROW())*(ROW($A$2:$A$644)&lt;ROW()+2)*$C$2:$C$644),"")</f>
        <v/>
      </c>
      <c r="I512" s="0" t="str">
        <f aca="false">IF(H512="","",ROUNDUP(H512/75,0))</f>
        <v/>
      </c>
      <c r="J512" s="0" t="str">
        <f aca="false">IF(MOD(F512-1,3)=0,SUMPRODUCT(($A$2:$A$644=A512)*(ROW($A$2:$A$644)&gt;=ROW())*(ROW($A$2:$A$644)&lt;ROW()+3)*$C$2:$C$644),"")</f>
        <v/>
      </c>
      <c r="K512" s="0" t="str">
        <f aca="false">IF(J512="","",ROUNDUP(J512/75,0))</f>
        <v/>
      </c>
      <c r="L512" s="0" t="str">
        <f aca="false">IF(MOD(F512-1,5)=0,SUMPRODUCT(($A$2:$A$644=A512)*(ROW($A$2:$A$644)&gt;=ROW())*(ROW($A$2:$A$644)&lt;ROW()+5)*$C$2:$C$644),"")</f>
        <v/>
      </c>
      <c r="M512" s="0" t="str">
        <f aca="false">IF(L512="","",ROUNDUP(L512/75,0))</f>
        <v/>
      </c>
      <c r="N512" s="0" t="str">
        <f aca="false">IF(MOD(F512-1,7)=0,SUMPRODUCT(($A$2:$A$644=A512)*(ROW($A$2:$A$644)&gt;=ROW())*(ROW($A$2:$A$644)&lt;ROW()+7)*$C$2:$C$644),"")</f>
        <v/>
      </c>
      <c r="O512" s="0" t="str">
        <f aca="false">IF(N512="","",ROUNDUP(N512/75,0))</f>
        <v/>
      </c>
    </row>
    <row r="513" customFormat="false" ht="15" hidden="false" customHeight="false" outlineLevel="0" collapsed="false">
      <c r="A513" s="0" t="s">
        <v>462</v>
      </c>
      <c r="B513" s="0" t="s">
        <v>547</v>
      </c>
      <c r="C513" s="0" t="n">
        <v>168</v>
      </c>
      <c r="D513" s="0" t="n">
        <v>3</v>
      </c>
      <c r="E513" s="0" t="n">
        <v>57</v>
      </c>
      <c r="F513" s="0" t="n">
        <f aca="false">COUNTIF($A$2:A513,A513)</f>
        <v>85</v>
      </c>
      <c r="G513" s="0" t="n">
        <f aca="false">ROUNDUP(C513*1.236/75,0)</f>
        <v>3</v>
      </c>
      <c r="H513" s="0" t="n">
        <f aca="false">IF(MOD(F513-1,2)=0,SUMPRODUCT(($A$2:$A$644=A513)*(ROW($A$2:$A$644)&gt;=ROW())*(ROW($A$2:$A$644)&lt;ROW()+2)*$C$2:$C$644),"")</f>
        <v>222</v>
      </c>
      <c r="I513" s="0" t="n">
        <f aca="false">IF(H513="","",ROUNDUP(H513/75,0))</f>
        <v>3</v>
      </c>
      <c r="J513" s="0" t="n">
        <f aca="false">IF(MOD(F513-1,3)=0,SUMPRODUCT(($A$2:$A$644=A513)*(ROW($A$2:$A$644)&gt;=ROW())*(ROW($A$2:$A$644)&lt;ROW()+3)*$C$2:$C$644),"")</f>
        <v>312</v>
      </c>
      <c r="K513" s="0" t="n">
        <f aca="false">IF(J513="","",ROUNDUP(J513/75,0))</f>
        <v>5</v>
      </c>
      <c r="L513" s="0" t="str">
        <f aca="false">IF(MOD(F513-1,5)=0,SUMPRODUCT(($A$2:$A$644=A513)*(ROW($A$2:$A$644)&gt;=ROW())*(ROW($A$2:$A$644)&lt;ROW()+5)*$C$2:$C$644),"")</f>
        <v/>
      </c>
      <c r="M513" s="0" t="str">
        <f aca="false">IF(L513="","",ROUNDUP(L513/75,0))</f>
        <v/>
      </c>
      <c r="N513" s="0" t="n">
        <f aca="false">IF(MOD(F513-1,7)=0,SUMPRODUCT(($A$2:$A$644=A513)*(ROW($A$2:$A$644)&gt;=ROW())*(ROW($A$2:$A$644)&lt;ROW()+7)*$C$2:$C$644),"")</f>
        <v>594</v>
      </c>
      <c r="O513" s="0" t="n">
        <f aca="false">IF(N513="","",ROUNDUP(N513/75,0))</f>
        <v>8</v>
      </c>
    </row>
    <row r="514" customFormat="false" ht="15" hidden="false" customHeight="false" outlineLevel="0" collapsed="false">
      <c r="A514" s="0" t="s">
        <v>462</v>
      </c>
      <c r="B514" s="0" t="s">
        <v>548</v>
      </c>
      <c r="C514" s="0" t="n">
        <v>54</v>
      </c>
      <c r="D514" s="0" t="n">
        <v>1</v>
      </c>
      <c r="E514" s="0" t="n">
        <v>21</v>
      </c>
      <c r="F514" s="0" t="n">
        <f aca="false">COUNTIF($A$2:A514,A514)</f>
        <v>86</v>
      </c>
      <c r="G514" s="0" t="n">
        <f aca="false">ROUNDUP(C514*1.236/75,0)</f>
        <v>1</v>
      </c>
      <c r="H514" s="0" t="str">
        <f aca="false">IF(MOD(F514-1,2)=0,SUMPRODUCT(($A$2:$A$644=A514)*(ROW($A$2:$A$644)&gt;=ROW())*(ROW($A$2:$A$644)&lt;ROW()+2)*$C$2:$C$644),"")</f>
        <v/>
      </c>
      <c r="I514" s="0" t="str">
        <f aca="false">IF(H514="","",ROUNDUP(H514/75,0))</f>
        <v/>
      </c>
      <c r="J514" s="0" t="str">
        <f aca="false">IF(MOD(F514-1,3)=0,SUMPRODUCT(($A$2:$A$644=A514)*(ROW($A$2:$A$644)&gt;=ROW())*(ROW($A$2:$A$644)&lt;ROW()+3)*$C$2:$C$644),"")</f>
        <v/>
      </c>
      <c r="K514" s="0" t="str">
        <f aca="false">IF(J514="","",ROUNDUP(J514/75,0))</f>
        <v/>
      </c>
      <c r="L514" s="0" t="n">
        <f aca="false">IF(MOD(F514-1,5)=0,SUMPRODUCT(($A$2:$A$644=A514)*(ROW($A$2:$A$644)&gt;=ROW())*(ROW($A$2:$A$644)&lt;ROW()+5)*$C$2:$C$644),"")</f>
        <v>318</v>
      </c>
      <c r="M514" s="0" t="n">
        <f aca="false">IF(L514="","",ROUNDUP(L514/75,0))</f>
        <v>5</v>
      </c>
      <c r="N514" s="0" t="str">
        <f aca="false">IF(MOD(F514-1,7)=0,SUMPRODUCT(($A$2:$A$644=A514)*(ROW($A$2:$A$644)&gt;=ROW())*(ROW($A$2:$A$644)&lt;ROW()+7)*$C$2:$C$644),"")</f>
        <v/>
      </c>
      <c r="O514" s="0" t="str">
        <f aca="false">IF(N514="","",ROUNDUP(N514/75,0))</f>
        <v/>
      </c>
    </row>
    <row r="515" customFormat="false" ht="15" hidden="false" customHeight="false" outlineLevel="0" collapsed="false">
      <c r="A515" s="0" t="s">
        <v>462</v>
      </c>
      <c r="B515" s="0" t="s">
        <v>549</v>
      </c>
      <c r="C515" s="0" t="n">
        <v>90</v>
      </c>
      <c r="D515" s="0" t="n">
        <v>2</v>
      </c>
      <c r="E515" s="0" t="n">
        <v>60</v>
      </c>
      <c r="F515" s="0" t="n">
        <f aca="false">COUNTIF($A$2:A515,A515)</f>
        <v>87</v>
      </c>
      <c r="G515" s="0" t="n">
        <f aca="false">ROUNDUP(C515*1.236/75,0)</f>
        <v>2</v>
      </c>
      <c r="H515" s="0" t="n">
        <f aca="false">IF(MOD(F515-1,2)=0,SUMPRODUCT(($A$2:$A$644=A515)*(ROW($A$2:$A$644)&gt;=ROW())*(ROW($A$2:$A$644)&lt;ROW()+2)*$C$2:$C$644),"")</f>
        <v>120</v>
      </c>
      <c r="I515" s="0" t="n">
        <f aca="false">IF(H515="","",ROUNDUP(H515/75,0))</f>
        <v>2</v>
      </c>
      <c r="J515" s="0" t="str">
        <f aca="false">IF(MOD(F515-1,3)=0,SUMPRODUCT(($A$2:$A$644=A515)*(ROW($A$2:$A$644)&gt;=ROW())*(ROW($A$2:$A$644)&lt;ROW()+3)*$C$2:$C$644),"")</f>
        <v/>
      </c>
      <c r="K515" s="0" t="str">
        <f aca="false">IF(J515="","",ROUNDUP(J515/75,0))</f>
        <v/>
      </c>
      <c r="L515" s="0" t="str">
        <f aca="false">IF(MOD(F515-1,5)=0,SUMPRODUCT(($A$2:$A$644=A515)*(ROW($A$2:$A$644)&gt;=ROW())*(ROW($A$2:$A$644)&lt;ROW()+5)*$C$2:$C$644),"")</f>
        <v/>
      </c>
      <c r="M515" s="0" t="str">
        <f aca="false">IF(L515="","",ROUNDUP(L515/75,0))</f>
        <v/>
      </c>
      <c r="N515" s="0" t="str">
        <f aca="false">IF(MOD(F515-1,7)=0,SUMPRODUCT(($A$2:$A$644=A515)*(ROW($A$2:$A$644)&gt;=ROW())*(ROW($A$2:$A$644)&lt;ROW()+7)*$C$2:$C$644),"")</f>
        <v/>
      </c>
      <c r="O515" s="0" t="str">
        <f aca="false">IF(N515="","",ROUNDUP(N515/75,0))</f>
        <v/>
      </c>
    </row>
    <row r="516" customFormat="false" ht="15" hidden="false" customHeight="false" outlineLevel="0" collapsed="false">
      <c r="A516" s="0" t="s">
        <v>462</v>
      </c>
      <c r="B516" s="0" t="s">
        <v>550</v>
      </c>
      <c r="C516" s="0" t="n">
        <v>30</v>
      </c>
      <c r="D516" s="0" t="n">
        <v>1</v>
      </c>
      <c r="E516" s="0" t="n">
        <v>45</v>
      </c>
      <c r="F516" s="0" t="n">
        <f aca="false">COUNTIF($A$2:A516,A516)</f>
        <v>88</v>
      </c>
      <c r="G516" s="0" t="n">
        <f aca="false">ROUNDUP(C516*1.236/75,0)</f>
        <v>1</v>
      </c>
      <c r="H516" s="0" t="str">
        <f aca="false">IF(MOD(F516-1,2)=0,SUMPRODUCT(($A$2:$A$644=A516)*(ROW($A$2:$A$644)&gt;=ROW())*(ROW($A$2:$A$644)&lt;ROW()+2)*$C$2:$C$644),"")</f>
        <v/>
      </c>
      <c r="I516" s="0" t="str">
        <f aca="false">IF(H516="","",ROUNDUP(H516/75,0))</f>
        <v/>
      </c>
      <c r="J516" s="0" t="n">
        <f aca="false">IF(MOD(F516-1,3)=0,SUMPRODUCT(($A$2:$A$644=A516)*(ROW($A$2:$A$644)&gt;=ROW())*(ROW($A$2:$A$644)&lt;ROW()+3)*$C$2:$C$644),"")</f>
        <v>174</v>
      </c>
      <c r="K516" s="0" t="n">
        <f aca="false">IF(J516="","",ROUNDUP(J516/75,0))</f>
        <v>3</v>
      </c>
      <c r="L516" s="0" t="str">
        <f aca="false">IF(MOD(F516-1,5)=0,SUMPRODUCT(($A$2:$A$644=A516)*(ROW($A$2:$A$644)&gt;=ROW())*(ROW($A$2:$A$644)&lt;ROW()+5)*$C$2:$C$644),"")</f>
        <v/>
      </c>
      <c r="M516" s="0" t="str">
        <f aca="false">IF(L516="","",ROUNDUP(L516/75,0))</f>
        <v/>
      </c>
      <c r="N516" s="0" t="str">
        <f aca="false">IF(MOD(F516-1,7)=0,SUMPRODUCT(($A$2:$A$644=A516)*(ROW($A$2:$A$644)&gt;=ROW())*(ROW($A$2:$A$644)&lt;ROW()+7)*$C$2:$C$644),"")</f>
        <v/>
      </c>
      <c r="O516" s="0" t="str">
        <f aca="false">IF(N516="","",ROUNDUP(N516/75,0))</f>
        <v/>
      </c>
    </row>
    <row r="517" customFormat="false" ht="15" hidden="false" customHeight="false" outlineLevel="0" collapsed="false">
      <c r="A517" s="0" t="s">
        <v>462</v>
      </c>
      <c r="B517" s="0" t="s">
        <v>551</v>
      </c>
      <c r="C517" s="0" t="n">
        <v>60</v>
      </c>
      <c r="D517" s="0" t="n">
        <v>1</v>
      </c>
      <c r="E517" s="0" t="n">
        <v>15</v>
      </c>
      <c r="F517" s="0" t="n">
        <f aca="false">COUNTIF($A$2:A517,A517)</f>
        <v>89</v>
      </c>
      <c r="G517" s="0" t="n">
        <f aca="false">ROUNDUP(C517*1.236/75,0)</f>
        <v>1</v>
      </c>
      <c r="H517" s="0" t="n">
        <f aca="false">IF(MOD(F517-1,2)=0,SUMPRODUCT(($A$2:$A$644=A517)*(ROW($A$2:$A$644)&gt;=ROW())*(ROW($A$2:$A$644)&lt;ROW()+2)*$C$2:$C$644),"")</f>
        <v>144</v>
      </c>
      <c r="I517" s="0" t="n">
        <f aca="false">IF(H517="","",ROUNDUP(H517/75,0))</f>
        <v>2</v>
      </c>
      <c r="J517" s="0" t="str">
        <f aca="false">IF(MOD(F517-1,3)=0,SUMPRODUCT(($A$2:$A$644=A517)*(ROW($A$2:$A$644)&gt;=ROW())*(ROW($A$2:$A$644)&lt;ROW()+3)*$C$2:$C$644),"")</f>
        <v/>
      </c>
      <c r="K517" s="0" t="str">
        <f aca="false">IF(J517="","",ROUNDUP(J517/75,0))</f>
        <v/>
      </c>
      <c r="L517" s="0" t="str">
        <f aca="false">IF(MOD(F517-1,5)=0,SUMPRODUCT(($A$2:$A$644=A517)*(ROW($A$2:$A$644)&gt;=ROW())*(ROW($A$2:$A$644)&lt;ROW()+5)*$C$2:$C$644),"")</f>
        <v/>
      </c>
      <c r="M517" s="0" t="str">
        <f aca="false">IF(L517="","",ROUNDUP(L517/75,0))</f>
        <v/>
      </c>
      <c r="N517" s="0" t="str">
        <f aca="false">IF(MOD(F517-1,7)=0,SUMPRODUCT(($A$2:$A$644=A517)*(ROW($A$2:$A$644)&gt;=ROW())*(ROW($A$2:$A$644)&lt;ROW()+7)*$C$2:$C$644),"")</f>
        <v/>
      </c>
      <c r="O517" s="0" t="str">
        <f aca="false">IF(N517="","",ROUNDUP(N517/75,0))</f>
        <v/>
      </c>
    </row>
    <row r="518" customFormat="false" ht="15" hidden="false" customHeight="false" outlineLevel="0" collapsed="false">
      <c r="A518" s="0" t="s">
        <v>462</v>
      </c>
      <c r="B518" s="0" t="s">
        <v>552</v>
      </c>
      <c r="C518" s="0" t="n">
        <v>84</v>
      </c>
      <c r="D518" s="0" t="n">
        <v>2</v>
      </c>
      <c r="E518" s="0" t="n">
        <v>66</v>
      </c>
      <c r="F518" s="0" t="n">
        <f aca="false">COUNTIF($A$2:A518,A518)</f>
        <v>90</v>
      </c>
      <c r="G518" s="0" t="n">
        <f aca="false">ROUNDUP(C518*1.236/75,0)</f>
        <v>2</v>
      </c>
      <c r="H518" s="0" t="str">
        <f aca="false">IF(MOD(F518-1,2)=0,SUMPRODUCT(($A$2:$A$644=A518)*(ROW($A$2:$A$644)&gt;=ROW())*(ROW($A$2:$A$644)&lt;ROW()+2)*$C$2:$C$644),"")</f>
        <v/>
      </c>
      <c r="I518" s="0" t="str">
        <f aca="false">IF(H518="","",ROUNDUP(H518/75,0))</f>
        <v/>
      </c>
      <c r="J518" s="0" t="str">
        <f aca="false">IF(MOD(F518-1,3)=0,SUMPRODUCT(($A$2:$A$644=A518)*(ROW($A$2:$A$644)&gt;=ROW())*(ROW($A$2:$A$644)&lt;ROW()+3)*$C$2:$C$644),"")</f>
        <v/>
      </c>
      <c r="K518" s="0" t="str">
        <f aca="false">IF(J518="","",ROUNDUP(J518/75,0))</f>
        <v/>
      </c>
      <c r="L518" s="0" t="str">
        <f aca="false">IF(MOD(F518-1,5)=0,SUMPRODUCT(($A$2:$A$644=A518)*(ROW($A$2:$A$644)&gt;=ROW())*(ROW($A$2:$A$644)&lt;ROW()+5)*$C$2:$C$644),"")</f>
        <v/>
      </c>
      <c r="M518" s="0" t="str">
        <f aca="false">IF(L518="","",ROUNDUP(L518/75,0))</f>
        <v/>
      </c>
      <c r="N518" s="0" t="str">
        <f aca="false">IF(MOD(F518-1,7)=0,SUMPRODUCT(($A$2:$A$644=A518)*(ROW($A$2:$A$644)&gt;=ROW())*(ROW($A$2:$A$644)&lt;ROW()+7)*$C$2:$C$644),"")</f>
        <v/>
      </c>
      <c r="O518" s="0" t="str">
        <f aca="false">IF(N518="","",ROUNDUP(N518/75,0))</f>
        <v/>
      </c>
    </row>
    <row r="519" customFormat="false" ht="15" hidden="false" customHeight="false" outlineLevel="0" collapsed="false">
      <c r="A519" s="0" t="s">
        <v>462</v>
      </c>
      <c r="B519" s="0" t="s">
        <v>553</v>
      </c>
      <c r="C519" s="0" t="n">
        <v>108</v>
      </c>
      <c r="D519" s="0" t="n">
        <v>2</v>
      </c>
      <c r="E519" s="0" t="n">
        <v>42</v>
      </c>
      <c r="F519" s="0" t="n">
        <f aca="false">COUNTIF($A$2:A519,A519)</f>
        <v>91</v>
      </c>
      <c r="G519" s="0" t="n">
        <f aca="false">ROUNDUP(C519*1.236/75,0)</f>
        <v>2</v>
      </c>
      <c r="H519" s="0" t="n">
        <f aca="false">IF(MOD(F519-1,2)=0,SUMPRODUCT(($A$2:$A$644=A519)*(ROW($A$2:$A$644)&gt;=ROW())*(ROW($A$2:$A$644)&lt;ROW()+2)*$C$2:$C$644),"")</f>
        <v>192</v>
      </c>
      <c r="I519" s="0" t="n">
        <f aca="false">IF(H519="","",ROUNDUP(H519/75,0))</f>
        <v>3</v>
      </c>
      <c r="J519" s="0" t="n">
        <f aca="false">IF(MOD(F519-1,3)=0,SUMPRODUCT(($A$2:$A$644=A519)*(ROW($A$2:$A$644)&gt;=ROW())*(ROW($A$2:$A$644)&lt;ROW()+3)*$C$2:$C$644),"")</f>
        <v>258</v>
      </c>
      <c r="K519" s="0" t="n">
        <f aca="false">IF(J519="","",ROUNDUP(J519/75,0))</f>
        <v>4</v>
      </c>
      <c r="L519" s="0" t="n">
        <f aca="false">IF(MOD(F519-1,5)=0,SUMPRODUCT(($A$2:$A$644=A519)*(ROW($A$2:$A$644)&gt;=ROW())*(ROW($A$2:$A$644)&lt;ROW()+5)*$C$2:$C$644),"")</f>
        <v>378</v>
      </c>
      <c r="M519" s="0" t="n">
        <f aca="false">IF(L519="","",ROUNDUP(L519/75,0))</f>
        <v>6</v>
      </c>
      <c r="N519" s="0" t="str">
        <f aca="false">IF(MOD(F519-1,7)=0,SUMPRODUCT(($A$2:$A$644=A519)*(ROW($A$2:$A$644)&gt;=ROW())*(ROW($A$2:$A$644)&lt;ROW()+7)*$C$2:$C$644),"")</f>
        <v/>
      </c>
      <c r="O519" s="0" t="str">
        <f aca="false">IF(N519="","",ROUNDUP(N519/75,0))</f>
        <v/>
      </c>
    </row>
    <row r="520" customFormat="false" ht="15" hidden="false" customHeight="false" outlineLevel="0" collapsed="false">
      <c r="A520" s="0" t="s">
        <v>462</v>
      </c>
      <c r="B520" s="0" t="s">
        <v>554</v>
      </c>
      <c r="C520" s="0" t="n">
        <v>84</v>
      </c>
      <c r="D520" s="0" t="n">
        <v>2</v>
      </c>
      <c r="E520" s="0" t="n">
        <v>66</v>
      </c>
      <c r="F520" s="0" t="n">
        <f aca="false">COUNTIF($A$2:A520,A520)</f>
        <v>92</v>
      </c>
      <c r="G520" s="0" t="n">
        <f aca="false">ROUNDUP(C520*1.236/75,0)</f>
        <v>2</v>
      </c>
      <c r="H520" s="0" t="str">
        <f aca="false">IF(MOD(F520-1,2)=0,SUMPRODUCT(($A$2:$A$644=A520)*(ROW($A$2:$A$644)&gt;=ROW())*(ROW($A$2:$A$644)&lt;ROW()+2)*$C$2:$C$644),"")</f>
        <v/>
      </c>
      <c r="I520" s="0" t="str">
        <f aca="false">IF(H520="","",ROUNDUP(H520/75,0))</f>
        <v/>
      </c>
      <c r="J520" s="0" t="str">
        <f aca="false">IF(MOD(F520-1,3)=0,SUMPRODUCT(($A$2:$A$644=A520)*(ROW($A$2:$A$644)&gt;=ROW())*(ROW($A$2:$A$644)&lt;ROW()+3)*$C$2:$C$644),"")</f>
        <v/>
      </c>
      <c r="K520" s="0" t="str">
        <f aca="false">IF(J520="","",ROUNDUP(J520/75,0))</f>
        <v/>
      </c>
      <c r="L520" s="0" t="str">
        <f aca="false">IF(MOD(F520-1,5)=0,SUMPRODUCT(($A$2:$A$644=A520)*(ROW($A$2:$A$644)&gt;=ROW())*(ROW($A$2:$A$644)&lt;ROW()+5)*$C$2:$C$644),"")</f>
        <v/>
      </c>
      <c r="M520" s="0" t="str">
        <f aca="false">IF(L520="","",ROUNDUP(L520/75,0))</f>
        <v/>
      </c>
      <c r="N520" s="0" t="n">
        <f aca="false">IF(MOD(F520-1,7)=0,SUMPRODUCT(($A$2:$A$644=A520)*(ROW($A$2:$A$644)&gt;=ROW())*(ROW($A$2:$A$644)&lt;ROW()+7)*$C$2:$C$644),"")</f>
        <v>414</v>
      </c>
      <c r="O520" s="0" t="n">
        <f aca="false">IF(N520="","",ROUNDUP(N520/75,0))</f>
        <v>6</v>
      </c>
    </row>
    <row r="521" customFormat="false" ht="15" hidden="false" customHeight="false" outlineLevel="0" collapsed="false">
      <c r="A521" s="0" t="s">
        <v>462</v>
      </c>
      <c r="B521" s="0" t="s">
        <v>555</v>
      </c>
      <c r="C521" s="0" t="n">
        <v>66</v>
      </c>
      <c r="D521" s="0" t="n">
        <v>1</v>
      </c>
      <c r="E521" s="0" t="n">
        <v>9</v>
      </c>
      <c r="F521" s="0" t="n">
        <f aca="false">COUNTIF($A$2:A521,A521)</f>
        <v>93</v>
      </c>
      <c r="G521" s="0" t="n">
        <f aca="false">ROUNDUP(C521*1.236/75,0)</f>
        <v>2</v>
      </c>
      <c r="H521" s="0" t="n">
        <f aca="false">IF(MOD(F521-1,2)=0,SUMPRODUCT(($A$2:$A$644=A521)*(ROW($A$2:$A$644)&gt;=ROW())*(ROW($A$2:$A$644)&lt;ROW()+2)*$C$2:$C$644),"")</f>
        <v>96</v>
      </c>
      <c r="I521" s="0" t="n">
        <f aca="false">IF(H521="","",ROUNDUP(H521/75,0))</f>
        <v>2</v>
      </c>
      <c r="J521" s="0" t="str">
        <f aca="false">IF(MOD(F521-1,3)=0,SUMPRODUCT(($A$2:$A$644=A521)*(ROW($A$2:$A$644)&gt;=ROW())*(ROW($A$2:$A$644)&lt;ROW()+3)*$C$2:$C$644),"")</f>
        <v/>
      </c>
      <c r="K521" s="0" t="str">
        <f aca="false">IF(J521="","",ROUNDUP(J521/75,0))</f>
        <v/>
      </c>
      <c r="L521" s="0" t="str">
        <f aca="false">IF(MOD(F521-1,5)=0,SUMPRODUCT(($A$2:$A$644=A521)*(ROW($A$2:$A$644)&gt;=ROW())*(ROW($A$2:$A$644)&lt;ROW()+5)*$C$2:$C$644),"")</f>
        <v/>
      </c>
      <c r="M521" s="0" t="str">
        <f aca="false">IF(L521="","",ROUNDUP(L521/75,0))</f>
        <v/>
      </c>
      <c r="N521" s="0" t="str">
        <f aca="false">IF(MOD(F521-1,7)=0,SUMPRODUCT(($A$2:$A$644=A521)*(ROW($A$2:$A$644)&gt;=ROW())*(ROW($A$2:$A$644)&lt;ROW()+7)*$C$2:$C$644),"")</f>
        <v/>
      </c>
      <c r="O521" s="0" t="str">
        <f aca="false">IF(N521="","",ROUNDUP(N521/75,0))</f>
        <v/>
      </c>
    </row>
    <row r="522" customFormat="false" ht="15" hidden="false" customHeight="false" outlineLevel="0" collapsed="false">
      <c r="A522" s="0" t="s">
        <v>462</v>
      </c>
      <c r="B522" s="0" t="s">
        <v>556</v>
      </c>
      <c r="C522" s="0" t="n">
        <v>30</v>
      </c>
      <c r="D522" s="0" t="n">
        <v>1</v>
      </c>
      <c r="E522" s="0" t="n">
        <v>45</v>
      </c>
      <c r="F522" s="0" t="n">
        <f aca="false">COUNTIF($A$2:A522,A522)</f>
        <v>94</v>
      </c>
      <c r="G522" s="0" t="n">
        <f aca="false">ROUNDUP(C522*1.236/75,0)</f>
        <v>1</v>
      </c>
      <c r="H522" s="0" t="str">
        <f aca="false">IF(MOD(F522-1,2)=0,SUMPRODUCT(($A$2:$A$644=A522)*(ROW($A$2:$A$644)&gt;=ROW())*(ROW($A$2:$A$644)&lt;ROW()+2)*$C$2:$C$644),"")</f>
        <v/>
      </c>
      <c r="I522" s="0" t="str">
        <f aca="false">IF(H522="","",ROUNDUP(H522/75,0))</f>
        <v/>
      </c>
      <c r="J522" s="0" t="n">
        <f aca="false">IF(MOD(F522-1,3)=0,SUMPRODUCT(($A$2:$A$644=A522)*(ROW($A$2:$A$644)&gt;=ROW())*(ROW($A$2:$A$644)&lt;ROW()+3)*$C$2:$C$644),"")</f>
        <v>132</v>
      </c>
      <c r="K522" s="0" t="n">
        <f aca="false">IF(J522="","",ROUNDUP(J522/75,0))</f>
        <v>2</v>
      </c>
      <c r="L522" s="0" t="str">
        <f aca="false">IF(MOD(F522-1,5)=0,SUMPRODUCT(($A$2:$A$644=A522)*(ROW($A$2:$A$644)&gt;=ROW())*(ROW($A$2:$A$644)&lt;ROW()+5)*$C$2:$C$644),"")</f>
        <v/>
      </c>
      <c r="M522" s="0" t="str">
        <f aca="false">IF(L522="","",ROUNDUP(L522/75,0))</f>
        <v/>
      </c>
      <c r="N522" s="0" t="str">
        <f aca="false">IF(MOD(F522-1,7)=0,SUMPRODUCT(($A$2:$A$644=A522)*(ROW($A$2:$A$644)&gt;=ROW())*(ROW($A$2:$A$644)&lt;ROW()+7)*$C$2:$C$644),"")</f>
        <v/>
      </c>
      <c r="O522" s="0" t="str">
        <f aca="false">IF(N522="","",ROUNDUP(N522/75,0))</f>
        <v/>
      </c>
    </row>
    <row r="523" customFormat="false" ht="15" hidden="false" customHeight="false" outlineLevel="0" collapsed="false">
      <c r="A523" s="0" t="s">
        <v>462</v>
      </c>
      <c r="B523" s="0" t="s">
        <v>557</v>
      </c>
      <c r="C523" s="0" t="n">
        <v>90</v>
      </c>
      <c r="D523" s="0" t="n">
        <v>2</v>
      </c>
      <c r="E523" s="0" t="n">
        <v>60</v>
      </c>
      <c r="F523" s="0" t="n">
        <f aca="false">COUNTIF($A$2:A523,A523)</f>
        <v>95</v>
      </c>
      <c r="G523" s="0" t="n">
        <f aca="false">ROUNDUP(C523*1.236/75,0)</f>
        <v>2</v>
      </c>
      <c r="H523" s="0" t="n">
        <f aca="false">IF(MOD(F523-1,2)=0,SUMPRODUCT(($A$2:$A$644=A523)*(ROW($A$2:$A$644)&gt;=ROW())*(ROW($A$2:$A$644)&lt;ROW()+2)*$C$2:$C$644),"")</f>
        <v>102</v>
      </c>
      <c r="I523" s="0" t="n">
        <f aca="false">IF(H523="","",ROUNDUP(H523/75,0))</f>
        <v>2</v>
      </c>
      <c r="J523" s="0" t="str">
        <f aca="false">IF(MOD(F523-1,3)=0,SUMPRODUCT(($A$2:$A$644=A523)*(ROW($A$2:$A$644)&gt;=ROW())*(ROW($A$2:$A$644)&lt;ROW()+3)*$C$2:$C$644),"")</f>
        <v/>
      </c>
      <c r="K523" s="0" t="str">
        <f aca="false">IF(J523="","",ROUNDUP(J523/75,0))</f>
        <v/>
      </c>
      <c r="L523" s="0" t="str">
        <f aca="false">IF(MOD(F523-1,5)=0,SUMPRODUCT(($A$2:$A$644=A523)*(ROW($A$2:$A$644)&gt;=ROW())*(ROW($A$2:$A$644)&lt;ROW()+5)*$C$2:$C$644),"")</f>
        <v/>
      </c>
      <c r="M523" s="0" t="str">
        <f aca="false">IF(L523="","",ROUNDUP(L523/75,0))</f>
        <v/>
      </c>
      <c r="N523" s="0" t="str">
        <f aca="false">IF(MOD(F523-1,7)=0,SUMPRODUCT(($A$2:$A$644=A523)*(ROW($A$2:$A$644)&gt;=ROW())*(ROW($A$2:$A$644)&lt;ROW()+7)*$C$2:$C$644),"")</f>
        <v/>
      </c>
      <c r="O523" s="0" t="str">
        <f aca="false">IF(N523="","",ROUNDUP(N523/75,0))</f>
        <v/>
      </c>
    </row>
    <row r="524" customFormat="false" ht="15" hidden="false" customHeight="false" outlineLevel="0" collapsed="false">
      <c r="A524" s="0" t="s">
        <v>462</v>
      </c>
      <c r="B524" s="0" t="s">
        <v>558</v>
      </c>
      <c r="C524" s="0" t="n">
        <v>12</v>
      </c>
      <c r="D524" s="0" t="n">
        <v>1</v>
      </c>
      <c r="E524" s="0" t="n">
        <v>63</v>
      </c>
      <c r="F524" s="0" t="n">
        <f aca="false">COUNTIF($A$2:A524,A524)</f>
        <v>96</v>
      </c>
      <c r="G524" s="0" t="n">
        <f aca="false">ROUNDUP(C524*1.236/75,0)</f>
        <v>1</v>
      </c>
      <c r="H524" s="0" t="str">
        <f aca="false">IF(MOD(F524-1,2)=0,SUMPRODUCT(($A$2:$A$644=A524)*(ROW($A$2:$A$644)&gt;=ROW())*(ROW($A$2:$A$644)&lt;ROW()+2)*$C$2:$C$644),"")</f>
        <v/>
      </c>
      <c r="I524" s="0" t="str">
        <f aca="false">IF(H524="","",ROUNDUP(H524/75,0))</f>
        <v/>
      </c>
      <c r="J524" s="0" t="str">
        <f aca="false">IF(MOD(F524-1,3)=0,SUMPRODUCT(($A$2:$A$644=A524)*(ROW($A$2:$A$644)&gt;=ROW())*(ROW($A$2:$A$644)&lt;ROW()+3)*$C$2:$C$644),"")</f>
        <v/>
      </c>
      <c r="K524" s="0" t="str">
        <f aca="false">IF(J524="","",ROUNDUP(J524/75,0))</f>
        <v/>
      </c>
      <c r="L524" s="0" t="n">
        <f aca="false">IF(MOD(F524-1,5)=0,SUMPRODUCT(($A$2:$A$644=A524)*(ROW($A$2:$A$644)&gt;=ROW())*(ROW($A$2:$A$644)&lt;ROW()+5)*$C$2:$C$644),"")</f>
        <v>402</v>
      </c>
      <c r="M524" s="0" t="n">
        <f aca="false">IF(L524="","",ROUNDUP(L524/75,0))</f>
        <v>6</v>
      </c>
      <c r="N524" s="0" t="str">
        <f aca="false">IF(MOD(F524-1,7)=0,SUMPRODUCT(($A$2:$A$644=A524)*(ROW($A$2:$A$644)&gt;=ROW())*(ROW($A$2:$A$644)&lt;ROW()+7)*$C$2:$C$644),"")</f>
        <v/>
      </c>
      <c r="O524" s="0" t="str">
        <f aca="false">IF(N524="","",ROUNDUP(N524/75,0))</f>
        <v/>
      </c>
    </row>
    <row r="525" customFormat="false" ht="15" hidden="false" customHeight="false" outlineLevel="0" collapsed="false">
      <c r="A525" s="0" t="s">
        <v>462</v>
      </c>
      <c r="B525" s="0" t="s">
        <v>559</v>
      </c>
      <c r="C525" s="0" t="n">
        <v>78</v>
      </c>
      <c r="D525" s="0" t="n">
        <v>2</v>
      </c>
      <c r="E525" s="0" t="n">
        <v>72</v>
      </c>
      <c r="F525" s="0" t="n">
        <f aca="false">COUNTIF($A$2:A525,A525)</f>
        <v>97</v>
      </c>
      <c r="G525" s="0" t="n">
        <f aca="false">ROUNDUP(C525*1.236/75,0)</f>
        <v>2</v>
      </c>
      <c r="H525" s="0" t="n">
        <f aca="false">IF(MOD(F525-1,2)=0,SUMPRODUCT(($A$2:$A$644=A525)*(ROW($A$2:$A$644)&gt;=ROW())*(ROW($A$2:$A$644)&lt;ROW()+2)*$C$2:$C$644),"")</f>
        <v>132</v>
      </c>
      <c r="I525" s="0" t="n">
        <f aca="false">IF(H525="","",ROUNDUP(H525/75,0))</f>
        <v>2</v>
      </c>
      <c r="J525" s="0" t="n">
        <f aca="false">IF(MOD(F525-1,3)=0,SUMPRODUCT(($A$2:$A$644=A525)*(ROW($A$2:$A$644)&gt;=ROW())*(ROW($A$2:$A$644)&lt;ROW()+3)*$C$2:$C$644),"")</f>
        <v>222</v>
      </c>
      <c r="K525" s="0" t="n">
        <f aca="false">IF(J525="","",ROUNDUP(J525/75,0))</f>
        <v>3</v>
      </c>
      <c r="L525" s="0" t="str">
        <f aca="false">IF(MOD(F525-1,5)=0,SUMPRODUCT(($A$2:$A$644=A525)*(ROW($A$2:$A$644)&gt;=ROW())*(ROW($A$2:$A$644)&lt;ROW()+5)*$C$2:$C$644),"")</f>
        <v/>
      </c>
      <c r="M525" s="0" t="str">
        <f aca="false">IF(L525="","",ROUNDUP(L525/75,0))</f>
        <v/>
      </c>
      <c r="N525" s="0" t="str">
        <f aca="false">IF(MOD(F525-1,7)=0,SUMPRODUCT(($A$2:$A$644=A525)*(ROW($A$2:$A$644)&gt;=ROW())*(ROW($A$2:$A$644)&lt;ROW()+7)*$C$2:$C$644),"")</f>
        <v/>
      </c>
      <c r="O525" s="0" t="str">
        <f aca="false">IF(N525="","",ROUNDUP(N525/75,0))</f>
        <v/>
      </c>
    </row>
    <row r="526" customFormat="false" ht="15" hidden="false" customHeight="false" outlineLevel="0" collapsed="false">
      <c r="A526" s="0" t="s">
        <v>462</v>
      </c>
      <c r="B526" s="0" t="s">
        <v>560</v>
      </c>
      <c r="C526" s="0" t="n">
        <v>54</v>
      </c>
      <c r="D526" s="0" t="n">
        <v>1</v>
      </c>
      <c r="E526" s="0" t="n">
        <v>21</v>
      </c>
      <c r="F526" s="0" t="n">
        <f aca="false">COUNTIF($A$2:A526,A526)</f>
        <v>98</v>
      </c>
      <c r="G526" s="0" t="n">
        <f aca="false">ROUNDUP(C526*1.236/75,0)</f>
        <v>1</v>
      </c>
      <c r="H526" s="0" t="str">
        <f aca="false">IF(MOD(F526-1,2)=0,SUMPRODUCT(($A$2:$A$644=A526)*(ROW($A$2:$A$644)&gt;=ROW())*(ROW($A$2:$A$644)&lt;ROW()+2)*$C$2:$C$644),"")</f>
        <v/>
      </c>
      <c r="I526" s="0" t="str">
        <f aca="false">IF(H526="","",ROUNDUP(H526/75,0))</f>
        <v/>
      </c>
      <c r="J526" s="0" t="str">
        <f aca="false">IF(MOD(F526-1,3)=0,SUMPRODUCT(($A$2:$A$644=A526)*(ROW($A$2:$A$644)&gt;=ROW())*(ROW($A$2:$A$644)&lt;ROW()+3)*$C$2:$C$644),"")</f>
        <v/>
      </c>
      <c r="K526" s="0" t="str">
        <f aca="false">IF(J526="","",ROUNDUP(J526/75,0))</f>
        <v/>
      </c>
      <c r="L526" s="0" t="str">
        <f aca="false">IF(MOD(F526-1,5)=0,SUMPRODUCT(($A$2:$A$644=A526)*(ROW($A$2:$A$644)&gt;=ROW())*(ROW($A$2:$A$644)&lt;ROW()+5)*$C$2:$C$644),"")</f>
        <v/>
      </c>
      <c r="M526" s="0" t="str">
        <f aca="false">IF(L526="","",ROUNDUP(L526/75,0))</f>
        <v/>
      </c>
      <c r="N526" s="0" t="str">
        <f aca="false">IF(MOD(F526-1,7)=0,SUMPRODUCT(($A$2:$A$644=A526)*(ROW($A$2:$A$644)&gt;=ROW())*(ROW($A$2:$A$644)&lt;ROW()+7)*$C$2:$C$644),"")</f>
        <v/>
      </c>
      <c r="O526" s="0" t="str">
        <f aca="false">IF(N526="","",ROUNDUP(N526/75,0))</f>
        <v/>
      </c>
    </row>
    <row r="527" customFormat="false" ht="15" hidden="false" customHeight="false" outlineLevel="0" collapsed="false">
      <c r="A527" s="0" t="s">
        <v>462</v>
      </c>
      <c r="B527" s="0" t="s">
        <v>561</v>
      </c>
      <c r="C527" s="0" t="n">
        <v>90</v>
      </c>
      <c r="D527" s="0" t="n">
        <v>2</v>
      </c>
      <c r="E527" s="0" t="n">
        <v>60</v>
      </c>
      <c r="F527" s="0" t="n">
        <f aca="false">COUNTIF($A$2:A527,A527)</f>
        <v>99</v>
      </c>
      <c r="G527" s="0" t="n">
        <f aca="false">ROUNDUP(C527*1.236/75,0)</f>
        <v>2</v>
      </c>
      <c r="H527" s="0" t="n">
        <f aca="false">IF(MOD(F527-1,2)=0,SUMPRODUCT(($A$2:$A$644=A527)*(ROW($A$2:$A$644)&gt;=ROW())*(ROW($A$2:$A$644)&lt;ROW()+2)*$C$2:$C$644),"")</f>
        <v>258</v>
      </c>
      <c r="I527" s="0" t="n">
        <f aca="false">IF(H527="","",ROUNDUP(H527/75,0))</f>
        <v>4</v>
      </c>
      <c r="J527" s="0" t="str">
        <f aca="false">IF(MOD(F527-1,3)=0,SUMPRODUCT(($A$2:$A$644=A527)*(ROW($A$2:$A$644)&gt;=ROW())*(ROW($A$2:$A$644)&lt;ROW()+3)*$C$2:$C$644),"")</f>
        <v/>
      </c>
      <c r="K527" s="0" t="str">
        <f aca="false">IF(J527="","",ROUNDUP(J527/75,0))</f>
        <v/>
      </c>
      <c r="L527" s="0" t="str">
        <f aca="false">IF(MOD(F527-1,5)=0,SUMPRODUCT(($A$2:$A$644=A527)*(ROW($A$2:$A$644)&gt;=ROW())*(ROW($A$2:$A$644)&lt;ROW()+5)*$C$2:$C$644),"")</f>
        <v/>
      </c>
      <c r="M527" s="0" t="str">
        <f aca="false">IF(L527="","",ROUNDUP(L527/75,0))</f>
        <v/>
      </c>
      <c r="N527" s="0" t="n">
        <f aca="false">IF(MOD(F527-1,7)=0,SUMPRODUCT(($A$2:$A$644=A527)*(ROW($A$2:$A$644)&gt;=ROW())*(ROW($A$2:$A$644)&lt;ROW()+7)*$C$2:$C$644),"")</f>
        <v>696</v>
      </c>
      <c r="O527" s="0" t="n">
        <f aca="false">IF(N527="","",ROUNDUP(N527/75,0))</f>
        <v>10</v>
      </c>
    </row>
    <row r="528" customFormat="false" ht="15" hidden="false" customHeight="false" outlineLevel="0" collapsed="false">
      <c r="A528" s="0" t="s">
        <v>462</v>
      </c>
      <c r="B528" s="0" t="s">
        <v>562</v>
      </c>
      <c r="C528" s="0" t="n">
        <v>168</v>
      </c>
      <c r="D528" s="0" t="n">
        <v>3</v>
      </c>
      <c r="E528" s="0" t="n">
        <v>57</v>
      </c>
      <c r="F528" s="0" t="n">
        <f aca="false">COUNTIF($A$2:A528,A528)</f>
        <v>100</v>
      </c>
      <c r="G528" s="0" t="n">
        <f aca="false">ROUNDUP(C528*1.236/75,0)</f>
        <v>3</v>
      </c>
      <c r="H528" s="0" t="str">
        <f aca="false">IF(MOD(F528-1,2)=0,SUMPRODUCT(($A$2:$A$644=A528)*(ROW($A$2:$A$644)&gt;=ROW())*(ROW($A$2:$A$644)&lt;ROW()+2)*$C$2:$C$644),"")</f>
        <v/>
      </c>
      <c r="I528" s="0" t="str">
        <f aca="false">IF(H528="","",ROUNDUP(H528/75,0))</f>
        <v/>
      </c>
      <c r="J528" s="0" t="n">
        <f aca="false">IF(MOD(F528-1,3)=0,SUMPRODUCT(($A$2:$A$644=A528)*(ROW($A$2:$A$644)&gt;=ROW())*(ROW($A$2:$A$644)&lt;ROW()+3)*$C$2:$C$644),"")</f>
        <v>342</v>
      </c>
      <c r="K528" s="0" t="n">
        <f aca="false">IF(J528="","",ROUNDUP(J528/75,0))</f>
        <v>5</v>
      </c>
      <c r="L528" s="0" t="str">
        <f aca="false">IF(MOD(F528-1,5)=0,SUMPRODUCT(($A$2:$A$644=A528)*(ROW($A$2:$A$644)&gt;=ROW())*(ROW($A$2:$A$644)&lt;ROW()+5)*$C$2:$C$644),"")</f>
        <v/>
      </c>
      <c r="M528" s="0" t="str">
        <f aca="false">IF(L528="","",ROUNDUP(L528/75,0))</f>
        <v/>
      </c>
      <c r="N528" s="0" t="str">
        <f aca="false">IF(MOD(F528-1,7)=0,SUMPRODUCT(($A$2:$A$644=A528)*(ROW($A$2:$A$644)&gt;=ROW())*(ROW($A$2:$A$644)&lt;ROW()+7)*$C$2:$C$644),"")</f>
        <v/>
      </c>
      <c r="O528" s="0" t="str">
        <f aca="false">IF(N528="","",ROUNDUP(N528/75,0))</f>
        <v/>
      </c>
    </row>
    <row r="529" customFormat="false" ht="15" hidden="false" customHeight="false" outlineLevel="0" collapsed="false">
      <c r="A529" s="0" t="s">
        <v>462</v>
      </c>
      <c r="B529" s="0" t="s">
        <v>563</v>
      </c>
      <c r="C529" s="0" t="n">
        <v>84</v>
      </c>
      <c r="D529" s="0" t="n">
        <v>2</v>
      </c>
      <c r="E529" s="0" t="n">
        <v>66</v>
      </c>
      <c r="F529" s="0" t="n">
        <f aca="false">COUNTIF($A$2:A529,A529)</f>
        <v>101</v>
      </c>
      <c r="G529" s="0" t="n">
        <f aca="false">ROUNDUP(C529*1.236/75,0)</f>
        <v>2</v>
      </c>
      <c r="H529" s="0" t="n">
        <f aca="false">IF(MOD(F529-1,2)=0,SUMPRODUCT(($A$2:$A$644=A529)*(ROW($A$2:$A$644)&gt;=ROW())*(ROW($A$2:$A$644)&lt;ROW()+2)*$C$2:$C$644),"")</f>
        <v>174</v>
      </c>
      <c r="I529" s="0" t="n">
        <f aca="false">IF(H529="","",ROUNDUP(H529/75,0))</f>
        <v>3</v>
      </c>
      <c r="J529" s="0" t="str">
        <f aca="false">IF(MOD(F529-1,3)=0,SUMPRODUCT(($A$2:$A$644=A529)*(ROW($A$2:$A$644)&gt;=ROW())*(ROW($A$2:$A$644)&lt;ROW()+3)*$C$2:$C$644),"")</f>
        <v/>
      </c>
      <c r="K529" s="0" t="str">
        <f aca="false">IF(J529="","",ROUNDUP(J529/75,0))</f>
        <v/>
      </c>
      <c r="L529" s="0" t="n">
        <f aca="false">IF(MOD(F529-1,5)=0,SUMPRODUCT(($A$2:$A$644=A529)*(ROW($A$2:$A$644)&gt;=ROW())*(ROW($A$2:$A$644)&lt;ROW()+5)*$C$2:$C$644),"")</f>
        <v>438</v>
      </c>
      <c r="M529" s="0" t="n">
        <f aca="false">IF(L529="","",ROUNDUP(L529/75,0))</f>
        <v>6</v>
      </c>
      <c r="N529" s="0" t="str">
        <f aca="false">IF(MOD(F529-1,7)=0,SUMPRODUCT(($A$2:$A$644=A529)*(ROW($A$2:$A$644)&gt;=ROW())*(ROW($A$2:$A$644)&lt;ROW()+7)*$C$2:$C$644),"")</f>
        <v/>
      </c>
      <c r="O529" s="0" t="str">
        <f aca="false">IF(N529="","",ROUNDUP(N529/75,0))</f>
        <v/>
      </c>
    </row>
    <row r="530" customFormat="false" ht="15" hidden="false" customHeight="false" outlineLevel="0" collapsed="false">
      <c r="A530" s="0" t="s">
        <v>462</v>
      </c>
      <c r="B530" s="0" t="s">
        <v>564</v>
      </c>
      <c r="C530" s="0" t="n">
        <v>90</v>
      </c>
      <c r="D530" s="0" t="n">
        <v>2</v>
      </c>
      <c r="E530" s="0" t="n">
        <v>60</v>
      </c>
      <c r="F530" s="0" t="n">
        <f aca="false">COUNTIF($A$2:A530,A530)</f>
        <v>102</v>
      </c>
      <c r="G530" s="0" t="n">
        <f aca="false">ROUNDUP(C530*1.236/75,0)</f>
        <v>2</v>
      </c>
      <c r="H530" s="0" t="str">
        <f aca="false">IF(MOD(F530-1,2)=0,SUMPRODUCT(($A$2:$A$644=A530)*(ROW($A$2:$A$644)&gt;=ROW())*(ROW($A$2:$A$644)&lt;ROW()+2)*$C$2:$C$644),"")</f>
        <v/>
      </c>
      <c r="I530" s="0" t="str">
        <f aca="false">IF(H530="","",ROUNDUP(H530/75,0))</f>
        <v/>
      </c>
      <c r="J530" s="0" t="str">
        <f aca="false">IF(MOD(F530-1,3)=0,SUMPRODUCT(($A$2:$A$644=A530)*(ROW($A$2:$A$644)&gt;=ROW())*(ROW($A$2:$A$644)&lt;ROW()+3)*$C$2:$C$644),"")</f>
        <v/>
      </c>
      <c r="K530" s="0" t="str">
        <f aca="false">IF(J530="","",ROUNDUP(J530/75,0))</f>
        <v/>
      </c>
      <c r="L530" s="0" t="str">
        <f aca="false">IF(MOD(F530-1,5)=0,SUMPRODUCT(($A$2:$A$644=A530)*(ROW($A$2:$A$644)&gt;=ROW())*(ROW($A$2:$A$644)&lt;ROW()+5)*$C$2:$C$644),"")</f>
        <v/>
      </c>
      <c r="M530" s="0" t="str">
        <f aca="false">IF(L530="","",ROUNDUP(L530/75,0))</f>
        <v/>
      </c>
      <c r="N530" s="0" t="str">
        <f aca="false">IF(MOD(F530-1,7)=0,SUMPRODUCT(($A$2:$A$644=A530)*(ROW($A$2:$A$644)&gt;=ROW())*(ROW($A$2:$A$644)&lt;ROW()+7)*$C$2:$C$644),"")</f>
        <v/>
      </c>
      <c r="O530" s="0" t="str">
        <f aca="false">IF(N530="","",ROUNDUP(N530/75,0))</f>
        <v/>
      </c>
    </row>
    <row r="531" customFormat="false" ht="15" hidden="false" customHeight="false" outlineLevel="0" collapsed="false">
      <c r="A531" s="0" t="s">
        <v>462</v>
      </c>
      <c r="B531" s="0" t="s">
        <v>565</v>
      </c>
      <c r="C531" s="0" t="n">
        <v>30</v>
      </c>
      <c r="D531" s="0" t="n">
        <v>1</v>
      </c>
      <c r="E531" s="0" t="n">
        <v>45</v>
      </c>
      <c r="F531" s="0" t="n">
        <f aca="false">COUNTIF($A$2:A531,A531)</f>
        <v>103</v>
      </c>
      <c r="G531" s="0" t="n">
        <f aca="false">ROUNDUP(C531*1.236/75,0)</f>
        <v>1</v>
      </c>
      <c r="H531" s="0" t="n">
        <f aca="false">IF(MOD(F531-1,2)=0,SUMPRODUCT(($A$2:$A$644=A531)*(ROW($A$2:$A$644)&gt;=ROW())*(ROW($A$2:$A$644)&lt;ROW()+2)*$C$2:$C$644),"")</f>
        <v>144</v>
      </c>
      <c r="I531" s="0" t="n">
        <f aca="false">IF(H531="","",ROUNDUP(H531/75,0))</f>
        <v>2</v>
      </c>
      <c r="J531" s="0" t="n">
        <f aca="false">IF(MOD(F531-1,3)=0,SUMPRODUCT(($A$2:$A$644=A531)*(ROW($A$2:$A$644)&gt;=ROW())*(ROW($A$2:$A$644)&lt;ROW()+3)*$C$2:$C$644),"")</f>
        <v>264</v>
      </c>
      <c r="K531" s="0" t="n">
        <f aca="false">IF(J531="","",ROUNDUP(J531/75,0))</f>
        <v>4</v>
      </c>
      <c r="L531" s="0" t="str">
        <f aca="false">IF(MOD(F531-1,5)=0,SUMPRODUCT(($A$2:$A$644=A531)*(ROW($A$2:$A$644)&gt;=ROW())*(ROW($A$2:$A$644)&lt;ROW()+5)*$C$2:$C$644),"")</f>
        <v/>
      </c>
      <c r="M531" s="0" t="str">
        <f aca="false">IF(L531="","",ROUNDUP(L531/75,0))</f>
        <v/>
      </c>
      <c r="N531" s="0" t="str">
        <f aca="false">IF(MOD(F531-1,7)=0,SUMPRODUCT(($A$2:$A$644=A531)*(ROW($A$2:$A$644)&gt;=ROW())*(ROW($A$2:$A$644)&lt;ROW()+7)*$C$2:$C$644),"")</f>
        <v/>
      </c>
      <c r="O531" s="0" t="str">
        <f aca="false">IF(N531="","",ROUNDUP(N531/75,0))</f>
        <v/>
      </c>
    </row>
    <row r="532" customFormat="false" ht="15" hidden="false" customHeight="false" outlineLevel="0" collapsed="false">
      <c r="A532" s="0" t="s">
        <v>462</v>
      </c>
      <c r="B532" s="0" t="s">
        <v>566</v>
      </c>
      <c r="C532" s="0" t="n">
        <v>114</v>
      </c>
      <c r="D532" s="0" t="n">
        <v>2</v>
      </c>
      <c r="E532" s="0" t="n">
        <v>36</v>
      </c>
      <c r="F532" s="0" t="n">
        <f aca="false">COUNTIF($A$2:A532,A532)</f>
        <v>104</v>
      </c>
      <c r="G532" s="0" t="n">
        <f aca="false">ROUNDUP(C532*1.236/75,0)</f>
        <v>2</v>
      </c>
      <c r="H532" s="0" t="str">
        <f aca="false">IF(MOD(F532-1,2)=0,SUMPRODUCT(($A$2:$A$644=A532)*(ROW($A$2:$A$644)&gt;=ROW())*(ROW($A$2:$A$644)&lt;ROW()+2)*$C$2:$C$644),"")</f>
        <v/>
      </c>
      <c r="I532" s="0" t="str">
        <f aca="false">IF(H532="","",ROUNDUP(H532/75,0))</f>
        <v/>
      </c>
      <c r="J532" s="0" t="str">
        <f aca="false">IF(MOD(F532-1,3)=0,SUMPRODUCT(($A$2:$A$644=A532)*(ROW($A$2:$A$644)&gt;=ROW())*(ROW($A$2:$A$644)&lt;ROW()+3)*$C$2:$C$644),"")</f>
        <v/>
      </c>
      <c r="K532" s="0" t="str">
        <f aca="false">IF(J532="","",ROUNDUP(J532/75,0))</f>
        <v/>
      </c>
      <c r="L532" s="0" t="str">
        <f aca="false">IF(MOD(F532-1,5)=0,SUMPRODUCT(($A$2:$A$644=A532)*(ROW($A$2:$A$644)&gt;=ROW())*(ROW($A$2:$A$644)&lt;ROW()+5)*$C$2:$C$644),"")</f>
        <v/>
      </c>
      <c r="M532" s="0" t="str">
        <f aca="false">IF(L532="","",ROUNDUP(L532/75,0))</f>
        <v/>
      </c>
      <c r="N532" s="0" t="str">
        <f aca="false">IF(MOD(F532-1,7)=0,SUMPRODUCT(($A$2:$A$644=A532)*(ROW($A$2:$A$644)&gt;=ROW())*(ROW($A$2:$A$644)&lt;ROW()+7)*$C$2:$C$644),"")</f>
        <v/>
      </c>
      <c r="O532" s="0" t="str">
        <f aca="false">IF(N532="","",ROUNDUP(N532/75,0))</f>
        <v/>
      </c>
    </row>
    <row r="533" customFormat="false" ht="15" hidden="false" customHeight="false" outlineLevel="0" collapsed="false">
      <c r="A533" s="0" t="s">
        <v>462</v>
      </c>
      <c r="B533" s="0" t="s">
        <v>567</v>
      </c>
      <c r="C533" s="0" t="n">
        <v>120</v>
      </c>
      <c r="D533" s="0" t="n">
        <v>2</v>
      </c>
      <c r="E533" s="0" t="n">
        <v>30</v>
      </c>
      <c r="F533" s="0" t="n">
        <f aca="false">COUNTIF($A$2:A533,A533)</f>
        <v>105</v>
      </c>
      <c r="G533" s="0" t="n">
        <f aca="false">ROUNDUP(C533*1.236/75,0)</f>
        <v>2</v>
      </c>
      <c r="H533" s="0" t="n">
        <f aca="false">IF(MOD(F533-1,2)=0,SUMPRODUCT(($A$2:$A$644=A533)*(ROW($A$2:$A$644)&gt;=ROW())*(ROW($A$2:$A$644)&lt;ROW()+2)*$C$2:$C$644),"")</f>
        <v>168</v>
      </c>
      <c r="I533" s="0" t="n">
        <f aca="false">IF(H533="","",ROUNDUP(H533/75,0))</f>
        <v>3</v>
      </c>
      <c r="J533" s="0" t="str">
        <f aca="false">IF(MOD(F533-1,3)=0,SUMPRODUCT(($A$2:$A$644=A533)*(ROW($A$2:$A$644)&gt;=ROW())*(ROW($A$2:$A$644)&lt;ROW()+3)*$C$2:$C$644),"")</f>
        <v/>
      </c>
      <c r="K533" s="0" t="str">
        <f aca="false">IF(J533="","",ROUNDUP(J533/75,0))</f>
        <v/>
      </c>
      <c r="L533" s="0" t="str">
        <f aca="false">IF(MOD(F533-1,5)=0,SUMPRODUCT(($A$2:$A$644=A533)*(ROW($A$2:$A$644)&gt;=ROW())*(ROW($A$2:$A$644)&lt;ROW()+5)*$C$2:$C$644),"")</f>
        <v/>
      </c>
      <c r="M533" s="0" t="str">
        <f aca="false">IF(L533="","",ROUNDUP(L533/75,0))</f>
        <v/>
      </c>
      <c r="N533" s="0" t="str">
        <f aca="false">IF(MOD(F533-1,7)=0,SUMPRODUCT(($A$2:$A$644=A533)*(ROW($A$2:$A$644)&gt;=ROW())*(ROW($A$2:$A$644)&lt;ROW()+7)*$C$2:$C$644),"")</f>
        <v/>
      </c>
      <c r="O533" s="0" t="str">
        <f aca="false">IF(N533="","",ROUNDUP(N533/75,0))</f>
        <v/>
      </c>
    </row>
    <row r="534" customFormat="false" ht="15" hidden="false" customHeight="false" outlineLevel="0" collapsed="false">
      <c r="A534" s="0" t="s">
        <v>462</v>
      </c>
      <c r="B534" s="0" t="s">
        <v>568</v>
      </c>
      <c r="C534" s="0" t="n">
        <v>48</v>
      </c>
      <c r="D534" s="0" t="n">
        <v>1</v>
      </c>
      <c r="E534" s="0" t="n">
        <v>27</v>
      </c>
      <c r="F534" s="0" t="n">
        <f aca="false">COUNTIF($A$2:A534,A534)</f>
        <v>106</v>
      </c>
      <c r="G534" s="0" t="n">
        <f aca="false">ROUNDUP(C534*1.236/75,0)</f>
        <v>1</v>
      </c>
      <c r="H534" s="0" t="str">
        <f aca="false">IF(MOD(F534-1,2)=0,SUMPRODUCT(($A$2:$A$644=A534)*(ROW($A$2:$A$644)&gt;=ROW())*(ROW($A$2:$A$644)&lt;ROW()+2)*$C$2:$C$644),"")</f>
        <v/>
      </c>
      <c r="I534" s="0" t="str">
        <f aca="false">IF(H534="","",ROUNDUP(H534/75,0))</f>
        <v/>
      </c>
      <c r="J534" s="0" t="n">
        <f aca="false">IF(MOD(F534-1,3)=0,SUMPRODUCT(($A$2:$A$644=A534)*(ROW($A$2:$A$644)&gt;=ROW())*(ROW($A$2:$A$644)&lt;ROW()+3)*$C$2:$C$644),"")</f>
        <v>156</v>
      </c>
      <c r="K534" s="0" t="n">
        <f aca="false">IF(J534="","",ROUNDUP(J534/75,0))</f>
        <v>3</v>
      </c>
      <c r="L534" s="0" t="n">
        <f aca="false">IF(MOD(F534-1,5)=0,SUMPRODUCT(($A$2:$A$644=A534)*(ROW($A$2:$A$644)&gt;=ROW())*(ROW($A$2:$A$644)&lt;ROW()+5)*$C$2:$C$644),"")</f>
        <v>276</v>
      </c>
      <c r="M534" s="0" t="n">
        <f aca="false">IF(L534="","",ROUNDUP(L534/75,0))</f>
        <v>4</v>
      </c>
      <c r="N534" s="0" t="n">
        <f aca="false">IF(MOD(F534-1,7)=0,SUMPRODUCT(($A$2:$A$644=A534)*(ROW($A$2:$A$644)&gt;=ROW())*(ROW($A$2:$A$644)&lt;ROW()+7)*$C$2:$C$644),"")</f>
        <v>480</v>
      </c>
      <c r="O534" s="0" t="n">
        <f aca="false">IF(N534="","",ROUNDUP(N534/75,0))</f>
        <v>7</v>
      </c>
    </row>
    <row r="535" customFormat="false" ht="15" hidden="false" customHeight="false" outlineLevel="0" collapsed="false">
      <c r="A535" s="0" t="s">
        <v>462</v>
      </c>
      <c r="B535" s="0" t="s">
        <v>569</v>
      </c>
      <c r="C535" s="0" t="n">
        <v>60</v>
      </c>
      <c r="D535" s="0" t="n">
        <v>1</v>
      </c>
      <c r="E535" s="0" t="n">
        <v>15</v>
      </c>
      <c r="F535" s="0" t="n">
        <f aca="false">COUNTIF($A$2:A535,A535)</f>
        <v>107</v>
      </c>
      <c r="G535" s="0" t="n">
        <f aca="false">ROUNDUP(C535*1.236/75,0)</f>
        <v>1</v>
      </c>
      <c r="H535" s="0" t="n">
        <f aca="false">IF(MOD(F535-1,2)=0,SUMPRODUCT(($A$2:$A$644=A535)*(ROW($A$2:$A$644)&gt;=ROW())*(ROW($A$2:$A$644)&lt;ROW()+2)*$C$2:$C$644),"")</f>
        <v>108</v>
      </c>
      <c r="I535" s="0" t="n">
        <f aca="false">IF(H535="","",ROUNDUP(H535/75,0))</f>
        <v>2</v>
      </c>
      <c r="J535" s="0" t="str">
        <f aca="false">IF(MOD(F535-1,3)=0,SUMPRODUCT(($A$2:$A$644=A535)*(ROW($A$2:$A$644)&gt;=ROW())*(ROW($A$2:$A$644)&lt;ROW()+3)*$C$2:$C$644),"")</f>
        <v/>
      </c>
      <c r="K535" s="0" t="str">
        <f aca="false">IF(J535="","",ROUNDUP(J535/75,0))</f>
        <v/>
      </c>
      <c r="L535" s="0" t="str">
        <f aca="false">IF(MOD(F535-1,5)=0,SUMPRODUCT(($A$2:$A$644=A535)*(ROW($A$2:$A$644)&gt;=ROW())*(ROW($A$2:$A$644)&lt;ROW()+5)*$C$2:$C$644),"")</f>
        <v/>
      </c>
      <c r="M535" s="0" t="str">
        <f aca="false">IF(L535="","",ROUNDUP(L535/75,0))</f>
        <v/>
      </c>
      <c r="N535" s="0" t="str">
        <f aca="false">IF(MOD(F535-1,7)=0,SUMPRODUCT(($A$2:$A$644=A535)*(ROW($A$2:$A$644)&gt;=ROW())*(ROW($A$2:$A$644)&lt;ROW()+7)*$C$2:$C$644),"")</f>
        <v/>
      </c>
      <c r="O535" s="0" t="str">
        <f aca="false">IF(N535="","",ROUNDUP(N535/75,0))</f>
        <v/>
      </c>
    </row>
    <row r="536" customFormat="false" ht="15" hidden="false" customHeight="false" outlineLevel="0" collapsed="false">
      <c r="A536" s="0" t="s">
        <v>462</v>
      </c>
      <c r="B536" s="0" t="s">
        <v>570</v>
      </c>
      <c r="C536" s="0" t="n">
        <v>48</v>
      </c>
      <c r="D536" s="0" t="n">
        <v>1</v>
      </c>
      <c r="E536" s="0" t="n">
        <v>27</v>
      </c>
      <c r="F536" s="0" t="n">
        <f aca="false">COUNTIF($A$2:A536,A536)</f>
        <v>108</v>
      </c>
      <c r="G536" s="0" t="n">
        <f aca="false">ROUNDUP(C536*1.236/75,0)</f>
        <v>1</v>
      </c>
      <c r="H536" s="0" t="str">
        <f aca="false">IF(MOD(F536-1,2)=0,SUMPRODUCT(($A$2:$A$644=A536)*(ROW($A$2:$A$644)&gt;=ROW())*(ROW($A$2:$A$644)&lt;ROW()+2)*$C$2:$C$644),"")</f>
        <v/>
      </c>
      <c r="I536" s="0" t="str">
        <f aca="false">IF(H536="","",ROUNDUP(H536/75,0))</f>
        <v/>
      </c>
      <c r="J536" s="0" t="str">
        <f aca="false">IF(MOD(F536-1,3)=0,SUMPRODUCT(($A$2:$A$644=A536)*(ROW($A$2:$A$644)&gt;=ROW())*(ROW($A$2:$A$644)&lt;ROW()+3)*$C$2:$C$644),"")</f>
        <v/>
      </c>
      <c r="K536" s="0" t="str">
        <f aca="false">IF(J536="","",ROUNDUP(J536/75,0))</f>
        <v/>
      </c>
      <c r="L536" s="0" t="str">
        <f aca="false">IF(MOD(F536-1,5)=0,SUMPRODUCT(($A$2:$A$644=A536)*(ROW($A$2:$A$644)&gt;=ROW())*(ROW($A$2:$A$644)&lt;ROW()+5)*$C$2:$C$644),"")</f>
        <v/>
      </c>
      <c r="M536" s="0" t="str">
        <f aca="false">IF(L536="","",ROUNDUP(L536/75,0))</f>
        <v/>
      </c>
      <c r="N536" s="0" t="str">
        <f aca="false">IF(MOD(F536-1,7)=0,SUMPRODUCT(($A$2:$A$644=A536)*(ROW($A$2:$A$644)&gt;=ROW())*(ROW($A$2:$A$644)&lt;ROW()+7)*$C$2:$C$644),"")</f>
        <v/>
      </c>
      <c r="O536" s="0" t="str">
        <f aca="false">IF(N536="","",ROUNDUP(N536/75,0))</f>
        <v/>
      </c>
    </row>
    <row r="537" customFormat="false" ht="15" hidden="false" customHeight="false" outlineLevel="0" collapsed="false">
      <c r="A537" s="0" t="s">
        <v>462</v>
      </c>
      <c r="B537" s="0" t="s">
        <v>571</v>
      </c>
      <c r="C537" s="0" t="n">
        <v>30</v>
      </c>
      <c r="D537" s="0" t="n">
        <v>1</v>
      </c>
      <c r="E537" s="0" t="n">
        <v>45</v>
      </c>
      <c r="F537" s="0" t="n">
        <f aca="false">COUNTIF($A$2:A537,A537)</f>
        <v>109</v>
      </c>
      <c r="G537" s="0" t="n">
        <f aca="false">ROUNDUP(C537*1.236/75,0)</f>
        <v>1</v>
      </c>
      <c r="H537" s="0" t="n">
        <f aca="false">IF(MOD(F537-1,2)=0,SUMPRODUCT(($A$2:$A$644=A537)*(ROW($A$2:$A$644)&gt;=ROW())*(ROW($A$2:$A$644)&lt;ROW()+2)*$C$2:$C$644),"")</f>
        <v>120</v>
      </c>
      <c r="I537" s="0" t="n">
        <f aca="false">IF(H537="","",ROUNDUP(H537/75,0))</f>
        <v>2</v>
      </c>
      <c r="J537" s="0" t="n">
        <f aca="false">IF(MOD(F537-1,3)=0,SUMPRODUCT(($A$2:$A$644=A537)*(ROW($A$2:$A$644)&gt;=ROW())*(ROW($A$2:$A$644)&lt;ROW()+3)*$C$2:$C$644),"")</f>
        <v>234</v>
      </c>
      <c r="K537" s="0" t="n">
        <f aca="false">IF(J537="","",ROUNDUP(J537/75,0))</f>
        <v>4</v>
      </c>
      <c r="L537" s="0" t="str">
        <f aca="false">IF(MOD(F537-1,5)=0,SUMPRODUCT(($A$2:$A$644=A537)*(ROW($A$2:$A$644)&gt;=ROW())*(ROW($A$2:$A$644)&lt;ROW()+5)*$C$2:$C$644),"")</f>
        <v/>
      </c>
      <c r="M537" s="0" t="str">
        <f aca="false">IF(L537="","",ROUNDUP(L537/75,0))</f>
        <v/>
      </c>
      <c r="N537" s="0" t="str">
        <f aca="false">IF(MOD(F537-1,7)=0,SUMPRODUCT(($A$2:$A$644=A537)*(ROW($A$2:$A$644)&gt;=ROW())*(ROW($A$2:$A$644)&lt;ROW()+7)*$C$2:$C$644),"")</f>
        <v/>
      </c>
      <c r="O537" s="0" t="str">
        <f aca="false">IF(N537="","",ROUNDUP(N537/75,0))</f>
        <v/>
      </c>
    </row>
    <row r="538" customFormat="false" ht="15" hidden="false" customHeight="false" outlineLevel="0" collapsed="false">
      <c r="A538" s="0" t="s">
        <v>462</v>
      </c>
      <c r="B538" s="0" t="s">
        <v>572</v>
      </c>
      <c r="C538" s="0" t="n">
        <v>90</v>
      </c>
      <c r="D538" s="0" t="n">
        <v>2</v>
      </c>
      <c r="E538" s="0" t="n">
        <v>60</v>
      </c>
      <c r="F538" s="0" t="n">
        <f aca="false">COUNTIF($A$2:A538,A538)</f>
        <v>110</v>
      </c>
      <c r="G538" s="0" t="n">
        <f aca="false">ROUNDUP(C538*1.236/75,0)</f>
        <v>2</v>
      </c>
      <c r="H538" s="0" t="str">
        <f aca="false">IF(MOD(F538-1,2)=0,SUMPRODUCT(($A$2:$A$644=A538)*(ROW($A$2:$A$644)&gt;=ROW())*(ROW($A$2:$A$644)&lt;ROW()+2)*$C$2:$C$644),"")</f>
        <v/>
      </c>
      <c r="I538" s="0" t="str">
        <f aca="false">IF(H538="","",ROUNDUP(H538/75,0))</f>
        <v/>
      </c>
      <c r="J538" s="0" t="str">
        <f aca="false">IF(MOD(F538-1,3)=0,SUMPRODUCT(($A$2:$A$644=A538)*(ROW($A$2:$A$644)&gt;=ROW())*(ROW($A$2:$A$644)&lt;ROW()+3)*$C$2:$C$644),"")</f>
        <v/>
      </c>
      <c r="K538" s="0" t="str">
        <f aca="false">IF(J538="","",ROUNDUP(J538/75,0))</f>
        <v/>
      </c>
      <c r="L538" s="0" t="str">
        <f aca="false">IF(MOD(F538-1,5)=0,SUMPRODUCT(($A$2:$A$644=A538)*(ROW($A$2:$A$644)&gt;=ROW())*(ROW($A$2:$A$644)&lt;ROW()+5)*$C$2:$C$644),"")</f>
        <v/>
      </c>
      <c r="M538" s="0" t="str">
        <f aca="false">IF(L538="","",ROUNDUP(L538/75,0))</f>
        <v/>
      </c>
      <c r="N538" s="0" t="str">
        <f aca="false">IF(MOD(F538-1,7)=0,SUMPRODUCT(($A$2:$A$644=A538)*(ROW($A$2:$A$644)&gt;=ROW())*(ROW($A$2:$A$644)&lt;ROW()+7)*$C$2:$C$644),"")</f>
        <v/>
      </c>
      <c r="O538" s="0" t="str">
        <f aca="false">IF(N538="","",ROUNDUP(N538/75,0))</f>
        <v/>
      </c>
    </row>
    <row r="539" customFormat="false" ht="15" hidden="false" customHeight="false" outlineLevel="0" collapsed="false">
      <c r="A539" s="0" t="s">
        <v>462</v>
      </c>
      <c r="B539" s="0" t="s">
        <v>573</v>
      </c>
      <c r="C539" s="0" t="n">
        <v>114</v>
      </c>
      <c r="D539" s="0" t="n">
        <v>2</v>
      </c>
      <c r="E539" s="0" t="n">
        <v>36</v>
      </c>
      <c r="F539" s="0" t="n">
        <f aca="false">COUNTIF($A$2:A539,A539)</f>
        <v>111</v>
      </c>
      <c r="G539" s="0" t="n">
        <f aca="false">ROUNDUP(C539*1.236/75,0)</f>
        <v>2</v>
      </c>
      <c r="H539" s="0" t="n">
        <f aca="false">IF(MOD(F539-1,2)=0,SUMPRODUCT(($A$2:$A$644=A539)*(ROW($A$2:$A$644)&gt;=ROW())*(ROW($A$2:$A$644)&lt;ROW()+2)*$C$2:$C$644),"")</f>
        <v>204</v>
      </c>
      <c r="I539" s="0" t="n">
        <f aca="false">IF(H539="","",ROUNDUP(H539/75,0))</f>
        <v>3</v>
      </c>
      <c r="J539" s="0" t="str">
        <f aca="false">IF(MOD(F539-1,3)=0,SUMPRODUCT(($A$2:$A$644=A539)*(ROW($A$2:$A$644)&gt;=ROW())*(ROW($A$2:$A$644)&lt;ROW()+3)*$C$2:$C$644),"")</f>
        <v/>
      </c>
      <c r="K539" s="0" t="str">
        <f aca="false">IF(J539="","",ROUNDUP(J539/75,0))</f>
        <v/>
      </c>
      <c r="L539" s="0" t="n">
        <f aca="false">IF(MOD(F539-1,5)=0,SUMPRODUCT(($A$2:$A$644=A539)*(ROW($A$2:$A$644)&gt;=ROW())*(ROW($A$2:$A$644)&lt;ROW()+5)*$C$2:$C$644),"")</f>
        <v>336</v>
      </c>
      <c r="M539" s="0" t="n">
        <f aca="false">IF(L539="","",ROUNDUP(L539/75,0))</f>
        <v>5</v>
      </c>
      <c r="N539" s="0" t="str">
        <f aca="false">IF(MOD(F539-1,7)=0,SUMPRODUCT(($A$2:$A$644=A539)*(ROW($A$2:$A$644)&gt;=ROW())*(ROW($A$2:$A$644)&lt;ROW()+7)*$C$2:$C$644),"")</f>
        <v/>
      </c>
      <c r="O539" s="0" t="str">
        <f aca="false">IF(N539="","",ROUNDUP(N539/75,0))</f>
        <v/>
      </c>
    </row>
    <row r="540" customFormat="false" ht="15" hidden="false" customHeight="false" outlineLevel="0" collapsed="false">
      <c r="A540" s="0" t="s">
        <v>462</v>
      </c>
      <c r="B540" s="0" t="s">
        <v>574</v>
      </c>
      <c r="C540" s="0" t="n">
        <v>90</v>
      </c>
      <c r="D540" s="0" t="n">
        <v>2</v>
      </c>
      <c r="E540" s="0" t="n">
        <v>60</v>
      </c>
      <c r="F540" s="0" t="n">
        <f aca="false">COUNTIF($A$2:A540,A540)</f>
        <v>112</v>
      </c>
      <c r="G540" s="0" t="n">
        <f aca="false">ROUNDUP(C540*1.236/75,0)</f>
        <v>2</v>
      </c>
      <c r="H540" s="0" t="str">
        <f aca="false">IF(MOD(F540-1,2)=0,SUMPRODUCT(($A$2:$A$644=A540)*(ROW($A$2:$A$644)&gt;=ROW())*(ROW($A$2:$A$644)&lt;ROW()+2)*$C$2:$C$644),"")</f>
        <v/>
      </c>
      <c r="I540" s="0" t="str">
        <f aca="false">IF(H540="","",ROUNDUP(H540/75,0))</f>
        <v/>
      </c>
      <c r="J540" s="0" t="n">
        <f aca="false">IF(MOD(F540-1,3)=0,SUMPRODUCT(($A$2:$A$644=A540)*(ROW($A$2:$A$644)&gt;=ROW())*(ROW($A$2:$A$644)&lt;ROW()+3)*$C$2:$C$644),"")</f>
        <v>204</v>
      </c>
      <c r="K540" s="0" t="n">
        <f aca="false">IF(J540="","",ROUNDUP(J540/75,0))</f>
        <v>3</v>
      </c>
      <c r="L540" s="0" t="str">
        <f aca="false">IF(MOD(F540-1,5)=0,SUMPRODUCT(($A$2:$A$644=A540)*(ROW($A$2:$A$644)&gt;=ROW())*(ROW($A$2:$A$644)&lt;ROW()+5)*$C$2:$C$644),"")</f>
        <v/>
      </c>
      <c r="M540" s="0" t="str">
        <f aca="false">IF(L540="","",ROUNDUP(L540/75,0))</f>
        <v/>
      </c>
      <c r="N540" s="0" t="str">
        <f aca="false">IF(MOD(F540-1,7)=0,SUMPRODUCT(($A$2:$A$644=A540)*(ROW($A$2:$A$644)&gt;=ROW())*(ROW($A$2:$A$644)&lt;ROW()+7)*$C$2:$C$644),"")</f>
        <v/>
      </c>
      <c r="O540" s="0" t="str">
        <f aca="false">IF(N540="","",ROUNDUP(N540/75,0))</f>
        <v/>
      </c>
    </row>
    <row r="541" customFormat="false" ht="15" hidden="false" customHeight="false" outlineLevel="0" collapsed="false">
      <c r="A541" s="0" t="s">
        <v>462</v>
      </c>
      <c r="B541" s="0" t="s">
        <v>575</v>
      </c>
      <c r="C541" s="0" t="n">
        <v>60</v>
      </c>
      <c r="D541" s="0" t="n">
        <v>1</v>
      </c>
      <c r="E541" s="0" t="n">
        <v>15</v>
      </c>
      <c r="F541" s="0" t="n">
        <f aca="false">COUNTIF($A$2:A541,A541)</f>
        <v>113</v>
      </c>
      <c r="G541" s="0" t="n">
        <f aca="false">ROUNDUP(C541*1.236/75,0)</f>
        <v>1</v>
      </c>
      <c r="H541" s="0" t="n">
        <f aca="false">IF(MOD(F541-1,2)=0,SUMPRODUCT(($A$2:$A$644=A541)*(ROW($A$2:$A$644)&gt;=ROW())*(ROW($A$2:$A$644)&lt;ROW()+2)*$C$2:$C$644),"")</f>
        <v>114</v>
      </c>
      <c r="I541" s="0" t="n">
        <f aca="false">IF(H541="","",ROUNDUP(H541/75,0))</f>
        <v>2</v>
      </c>
      <c r="J541" s="0" t="str">
        <f aca="false">IF(MOD(F541-1,3)=0,SUMPRODUCT(($A$2:$A$644=A541)*(ROW($A$2:$A$644)&gt;=ROW())*(ROW($A$2:$A$644)&lt;ROW()+3)*$C$2:$C$644),"")</f>
        <v/>
      </c>
      <c r="K541" s="0" t="str">
        <f aca="false">IF(J541="","",ROUNDUP(J541/75,0))</f>
        <v/>
      </c>
      <c r="L541" s="0" t="str">
        <f aca="false">IF(MOD(F541-1,5)=0,SUMPRODUCT(($A$2:$A$644=A541)*(ROW($A$2:$A$644)&gt;=ROW())*(ROW($A$2:$A$644)&lt;ROW()+5)*$C$2:$C$644),"")</f>
        <v/>
      </c>
      <c r="M541" s="0" t="str">
        <f aca="false">IF(L541="","",ROUNDUP(L541/75,0))</f>
        <v/>
      </c>
      <c r="N541" s="0" t="n">
        <f aca="false">IF(MOD(F541-1,7)=0,SUMPRODUCT(($A$2:$A$644=A541)*(ROW($A$2:$A$644)&gt;=ROW())*(ROW($A$2:$A$644)&lt;ROW()+7)*$C$2:$C$644),"")</f>
        <v>378</v>
      </c>
      <c r="O541" s="0" t="n">
        <f aca="false">IF(N541="","",ROUNDUP(N541/75,0))</f>
        <v>6</v>
      </c>
    </row>
    <row r="542" customFormat="false" ht="15" hidden="false" customHeight="false" outlineLevel="0" collapsed="false">
      <c r="A542" s="0" t="s">
        <v>462</v>
      </c>
      <c r="B542" s="0" t="s">
        <v>576</v>
      </c>
      <c r="C542" s="0" t="n">
        <v>54</v>
      </c>
      <c r="D542" s="0" t="n">
        <v>1</v>
      </c>
      <c r="E542" s="0" t="n">
        <v>21</v>
      </c>
      <c r="F542" s="0" t="n">
        <f aca="false">COUNTIF($A$2:A542,A542)</f>
        <v>114</v>
      </c>
      <c r="G542" s="0" t="n">
        <f aca="false">ROUNDUP(C542*1.236/75,0)</f>
        <v>1</v>
      </c>
      <c r="H542" s="0" t="str">
        <f aca="false">IF(MOD(F542-1,2)=0,SUMPRODUCT(($A$2:$A$644=A542)*(ROW($A$2:$A$644)&gt;=ROW())*(ROW($A$2:$A$644)&lt;ROW()+2)*$C$2:$C$644),"")</f>
        <v/>
      </c>
      <c r="I542" s="0" t="str">
        <f aca="false">IF(H542="","",ROUNDUP(H542/75,0))</f>
        <v/>
      </c>
      <c r="J542" s="0" t="str">
        <f aca="false">IF(MOD(F542-1,3)=0,SUMPRODUCT(($A$2:$A$644=A542)*(ROW($A$2:$A$644)&gt;=ROW())*(ROW($A$2:$A$644)&lt;ROW()+3)*$C$2:$C$644),"")</f>
        <v/>
      </c>
      <c r="K542" s="0" t="str">
        <f aca="false">IF(J542="","",ROUNDUP(J542/75,0))</f>
        <v/>
      </c>
      <c r="L542" s="0" t="str">
        <f aca="false">IF(MOD(F542-1,5)=0,SUMPRODUCT(($A$2:$A$644=A542)*(ROW($A$2:$A$644)&gt;=ROW())*(ROW($A$2:$A$644)&lt;ROW()+5)*$C$2:$C$644),"")</f>
        <v/>
      </c>
      <c r="M542" s="0" t="str">
        <f aca="false">IF(L542="","",ROUNDUP(L542/75,0))</f>
        <v/>
      </c>
      <c r="N542" s="0" t="str">
        <f aca="false">IF(MOD(F542-1,7)=0,SUMPRODUCT(($A$2:$A$644=A542)*(ROW($A$2:$A$644)&gt;=ROW())*(ROW($A$2:$A$644)&lt;ROW()+7)*$C$2:$C$644),"")</f>
        <v/>
      </c>
      <c r="O542" s="0" t="str">
        <f aca="false">IF(N542="","",ROUNDUP(N542/75,0))</f>
        <v/>
      </c>
    </row>
    <row r="543" customFormat="false" ht="15" hidden="false" customHeight="false" outlineLevel="0" collapsed="false">
      <c r="A543" s="0" t="s">
        <v>462</v>
      </c>
      <c r="B543" s="0" t="s">
        <v>577</v>
      </c>
      <c r="C543" s="0" t="n">
        <v>18</v>
      </c>
      <c r="D543" s="0" t="n">
        <v>1</v>
      </c>
      <c r="E543" s="0" t="n">
        <v>57</v>
      </c>
      <c r="F543" s="0" t="n">
        <f aca="false">COUNTIF($A$2:A543,A543)</f>
        <v>115</v>
      </c>
      <c r="G543" s="0" t="n">
        <f aca="false">ROUNDUP(C543*1.236/75,0)</f>
        <v>1</v>
      </c>
      <c r="H543" s="0" t="n">
        <f aca="false">IF(MOD(F543-1,2)=0,SUMPRODUCT(($A$2:$A$644=A543)*(ROW($A$2:$A$644)&gt;=ROW())*(ROW($A$2:$A$644)&lt;ROW()+2)*$C$2:$C$644),"")</f>
        <v>114</v>
      </c>
      <c r="I543" s="0" t="n">
        <f aca="false">IF(H543="","",ROUNDUP(H543/75,0))</f>
        <v>2</v>
      </c>
      <c r="J543" s="0" t="n">
        <f aca="false">IF(MOD(F543-1,3)=0,SUMPRODUCT(($A$2:$A$644=A543)*(ROW($A$2:$A$644)&gt;=ROW())*(ROW($A$2:$A$644)&lt;ROW()+3)*$C$2:$C$644),"")</f>
        <v>186</v>
      </c>
      <c r="K543" s="0" t="n">
        <f aca="false">IF(J543="","",ROUNDUP(J543/75,0))</f>
        <v>3</v>
      </c>
      <c r="L543" s="0" t="str">
        <f aca="false">IF(MOD(F543-1,5)=0,SUMPRODUCT(($A$2:$A$644=A543)*(ROW($A$2:$A$644)&gt;=ROW())*(ROW($A$2:$A$644)&lt;ROW()+5)*$C$2:$C$644),"")</f>
        <v/>
      </c>
      <c r="M543" s="0" t="str">
        <f aca="false">IF(L543="","",ROUNDUP(L543/75,0))</f>
        <v/>
      </c>
      <c r="N543" s="0" t="str">
        <f aca="false">IF(MOD(F543-1,7)=0,SUMPRODUCT(($A$2:$A$644=A543)*(ROW($A$2:$A$644)&gt;=ROW())*(ROW($A$2:$A$644)&lt;ROW()+7)*$C$2:$C$644),"")</f>
        <v/>
      </c>
      <c r="O543" s="0" t="str">
        <f aca="false">IF(N543="","",ROUNDUP(N543/75,0))</f>
        <v/>
      </c>
    </row>
    <row r="544" customFormat="false" ht="15" hidden="false" customHeight="false" outlineLevel="0" collapsed="false">
      <c r="A544" s="0" t="s">
        <v>462</v>
      </c>
      <c r="B544" s="0" t="s">
        <v>578</v>
      </c>
      <c r="C544" s="0" t="n">
        <v>96</v>
      </c>
      <c r="D544" s="0" t="n">
        <v>2</v>
      </c>
      <c r="E544" s="0" t="n">
        <v>54</v>
      </c>
      <c r="F544" s="0" t="n">
        <f aca="false">COUNTIF($A$2:A544,A544)</f>
        <v>116</v>
      </c>
      <c r="G544" s="0" t="n">
        <f aca="false">ROUNDUP(C544*1.236/75,0)</f>
        <v>2</v>
      </c>
      <c r="H544" s="0" t="str">
        <f aca="false">IF(MOD(F544-1,2)=0,SUMPRODUCT(($A$2:$A$644=A544)*(ROW($A$2:$A$644)&gt;=ROW())*(ROW($A$2:$A$644)&lt;ROW()+2)*$C$2:$C$644),"")</f>
        <v/>
      </c>
      <c r="I544" s="0" t="str">
        <f aca="false">IF(H544="","",ROUNDUP(H544/75,0))</f>
        <v/>
      </c>
      <c r="J544" s="0" t="str">
        <f aca="false">IF(MOD(F544-1,3)=0,SUMPRODUCT(($A$2:$A$644=A544)*(ROW($A$2:$A$644)&gt;=ROW())*(ROW($A$2:$A$644)&lt;ROW()+3)*$C$2:$C$644),"")</f>
        <v/>
      </c>
      <c r="K544" s="0" t="str">
        <f aca="false">IF(J544="","",ROUNDUP(J544/75,0))</f>
        <v/>
      </c>
      <c r="L544" s="0" t="n">
        <f aca="false">IF(MOD(F544-1,5)=0,SUMPRODUCT(($A$2:$A$644=A544)*(ROW($A$2:$A$644)&gt;=ROW())*(ROW($A$2:$A$644)&lt;ROW()+5)*$C$2:$C$644),"")</f>
        <v>306</v>
      </c>
      <c r="M544" s="0" t="n">
        <f aca="false">IF(L544="","",ROUNDUP(L544/75,0))</f>
        <v>5</v>
      </c>
      <c r="N544" s="0" t="str">
        <f aca="false">IF(MOD(F544-1,7)=0,SUMPRODUCT(($A$2:$A$644=A544)*(ROW($A$2:$A$644)&gt;=ROW())*(ROW($A$2:$A$644)&lt;ROW()+7)*$C$2:$C$644),"")</f>
        <v/>
      </c>
      <c r="O544" s="0" t="str">
        <f aca="false">IF(N544="","",ROUNDUP(N544/75,0))</f>
        <v/>
      </c>
    </row>
    <row r="545" customFormat="false" ht="15" hidden="false" customHeight="false" outlineLevel="0" collapsed="false">
      <c r="A545" s="0" t="s">
        <v>462</v>
      </c>
      <c r="B545" s="0" t="s">
        <v>579</v>
      </c>
      <c r="C545" s="0" t="n">
        <v>72</v>
      </c>
      <c r="D545" s="0" t="n">
        <v>1</v>
      </c>
      <c r="E545" s="0" t="n">
        <v>3</v>
      </c>
      <c r="F545" s="0" t="n">
        <f aca="false">COUNTIF($A$2:A545,A545)</f>
        <v>117</v>
      </c>
      <c r="G545" s="0" t="n">
        <f aca="false">ROUNDUP(C545*1.236/75,0)</f>
        <v>2</v>
      </c>
      <c r="H545" s="0" t="n">
        <f aca="false">IF(MOD(F545-1,2)=0,SUMPRODUCT(($A$2:$A$644=A545)*(ROW($A$2:$A$644)&gt;=ROW())*(ROW($A$2:$A$644)&lt;ROW()+2)*$C$2:$C$644),"")</f>
        <v>138</v>
      </c>
      <c r="I545" s="0" t="n">
        <f aca="false">IF(H545="","",ROUNDUP(H545/75,0))</f>
        <v>2</v>
      </c>
      <c r="J545" s="0" t="str">
        <f aca="false">IF(MOD(F545-1,3)=0,SUMPRODUCT(($A$2:$A$644=A545)*(ROW($A$2:$A$644)&gt;=ROW())*(ROW($A$2:$A$644)&lt;ROW()+3)*$C$2:$C$644),"")</f>
        <v/>
      </c>
      <c r="K545" s="0" t="str">
        <f aca="false">IF(J545="","",ROUNDUP(J545/75,0))</f>
        <v/>
      </c>
      <c r="L545" s="0" t="str">
        <f aca="false">IF(MOD(F545-1,5)=0,SUMPRODUCT(($A$2:$A$644=A545)*(ROW($A$2:$A$644)&gt;=ROW())*(ROW($A$2:$A$644)&lt;ROW()+5)*$C$2:$C$644),"")</f>
        <v/>
      </c>
      <c r="M545" s="0" t="str">
        <f aca="false">IF(L545="","",ROUNDUP(L545/75,0))</f>
        <v/>
      </c>
      <c r="N545" s="0" t="str">
        <f aca="false">IF(MOD(F545-1,7)=0,SUMPRODUCT(($A$2:$A$644=A545)*(ROW($A$2:$A$644)&gt;=ROW())*(ROW($A$2:$A$644)&lt;ROW()+7)*$C$2:$C$644),"")</f>
        <v/>
      </c>
      <c r="O545" s="0" t="str">
        <f aca="false">IF(N545="","",ROUNDUP(N545/75,0))</f>
        <v/>
      </c>
    </row>
    <row r="546" customFormat="false" ht="15" hidden="false" customHeight="false" outlineLevel="0" collapsed="false">
      <c r="A546" s="0" t="s">
        <v>462</v>
      </c>
      <c r="B546" s="0" t="s">
        <v>580</v>
      </c>
      <c r="C546" s="0" t="n">
        <v>66</v>
      </c>
      <c r="D546" s="0" t="n">
        <v>1</v>
      </c>
      <c r="E546" s="0" t="n">
        <v>9</v>
      </c>
      <c r="F546" s="0" t="n">
        <f aca="false">COUNTIF($A$2:A546,A546)</f>
        <v>118</v>
      </c>
      <c r="G546" s="0" t="n">
        <f aca="false">ROUNDUP(C546*1.236/75,0)</f>
        <v>2</v>
      </c>
      <c r="H546" s="0" t="str">
        <f aca="false">IF(MOD(F546-1,2)=0,SUMPRODUCT(($A$2:$A$644=A546)*(ROW($A$2:$A$644)&gt;=ROW())*(ROW($A$2:$A$644)&lt;ROW()+2)*$C$2:$C$644),"")</f>
        <v/>
      </c>
      <c r="I546" s="0" t="str">
        <f aca="false">IF(H546="","",ROUNDUP(H546/75,0))</f>
        <v/>
      </c>
      <c r="J546" s="0" t="n">
        <f aca="false">IF(MOD(F546-1,3)=0,SUMPRODUCT(($A$2:$A$644=A546)*(ROW($A$2:$A$644)&gt;=ROW())*(ROW($A$2:$A$644)&lt;ROW()+3)*$C$2:$C$644),"")</f>
        <v>138</v>
      </c>
      <c r="K546" s="0" t="n">
        <f aca="false">IF(J546="","",ROUNDUP(J546/75,0))</f>
        <v>2</v>
      </c>
      <c r="L546" s="0" t="str">
        <f aca="false">IF(MOD(F546-1,5)=0,SUMPRODUCT(($A$2:$A$644=A546)*(ROW($A$2:$A$644)&gt;=ROW())*(ROW($A$2:$A$644)&lt;ROW()+5)*$C$2:$C$644),"")</f>
        <v/>
      </c>
      <c r="M546" s="0" t="str">
        <f aca="false">IF(L546="","",ROUNDUP(L546/75,0))</f>
        <v/>
      </c>
      <c r="N546" s="0" t="str">
        <f aca="false">IF(MOD(F546-1,7)=0,SUMPRODUCT(($A$2:$A$644=A546)*(ROW($A$2:$A$644)&gt;=ROW())*(ROW($A$2:$A$644)&lt;ROW()+7)*$C$2:$C$644),"")</f>
        <v/>
      </c>
      <c r="O546" s="0" t="str">
        <f aca="false">IF(N546="","",ROUNDUP(N546/75,0))</f>
        <v/>
      </c>
    </row>
    <row r="547" customFormat="false" ht="15" hidden="false" customHeight="false" outlineLevel="0" collapsed="false">
      <c r="A547" s="0" t="s">
        <v>462</v>
      </c>
      <c r="B547" s="0" t="s">
        <v>581</v>
      </c>
      <c r="C547" s="0" t="n">
        <v>12</v>
      </c>
      <c r="D547" s="0" t="n">
        <v>1</v>
      </c>
      <c r="E547" s="0" t="n">
        <v>63</v>
      </c>
      <c r="F547" s="0" t="n">
        <f aca="false">COUNTIF($A$2:A547,A547)</f>
        <v>119</v>
      </c>
      <c r="G547" s="0" t="n">
        <f aca="false">ROUNDUP(C547*1.236/75,0)</f>
        <v>1</v>
      </c>
      <c r="H547" s="0" t="n">
        <f aca="false">IF(MOD(F547-1,2)=0,SUMPRODUCT(($A$2:$A$644=A547)*(ROW($A$2:$A$644)&gt;=ROW())*(ROW($A$2:$A$644)&lt;ROW()+2)*$C$2:$C$644),"")</f>
        <v>72</v>
      </c>
      <c r="I547" s="0" t="n">
        <f aca="false">IF(H547="","",ROUNDUP(H547/75,0))</f>
        <v>1</v>
      </c>
      <c r="J547" s="0" t="str">
        <f aca="false">IF(MOD(F547-1,3)=0,SUMPRODUCT(($A$2:$A$644=A547)*(ROW($A$2:$A$644)&gt;=ROW())*(ROW($A$2:$A$644)&lt;ROW()+3)*$C$2:$C$644),"")</f>
        <v/>
      </c>
      <c r="K547" s="0" t="str">
        <f aca="false">IF(J547="","",ROUNDUP(J547/75,0))</f>
        <v/>
      </c>
      <c r="L547" s="0" t="str">
        <f aca="false">IF(MOD(F547-1,5)=0,SUMPRODUCT(($A$2:$A$644=A547)*(ROW($A$2:$A$644)&gt;=ROW())*(ROW($A$2:$A$644)&lt;ROW()+5)*$C$2:$C$644),"")</f>
        <v/>
      </c>
      <c r="M547" s="0" t="str">
        <f aca="false">IF(L547="","",ROUNDUP(L547/75,0))</f>
        <v/>
      </c>
      <c r="N547" s="0" t="str">
        <f aca="false">IF(MOD(F547-1,7)=0,SUMPRODUCT(($A$2:$A$644=A547)*(ROW($A$2:$A$644)&gt;=ROW())*(ROW($A$2:$A$644)&lt;ROW()+7)*$C$2:$C$644),"")</f>
        <v/>
      </c>
      <c r="O547" s="0" t="str">
        <f aca="false">IF(N547="","",ROUNDUP(N547/75,0))</f>
        <v/>
      </c>
    </row>
    <row r="548" customFormat="false" ht="15" hidden="false" customHeight="false" outlineLevel="0" collapsed="false">
      <c r="A548" s="0" t="s">
        <v>462</v>
      </c>
      <c r="B548" s="0" t="s">
        <v>582</v>
      </c>
      <c r="C548" s="0" t="n">
        <v>60</v>
      </c>
      <c r="D548" s="0" t="n">
        <v>1</v>
      </c>
      <c r="E548" s="0" t="n">
        <v>15</v>
      </c>
      <c r="F548" s="0" t="n">
        <f aca="false">COUNTIF($A$2:A548,A548)</f>
        <v>120</v>
      </c>
      <c r="G548" s="0" t="n">
        <f aca="false">ROUNDUP(C548*1.236/75,0)</f>
        <v>1</v>
      </c>
      <c r="H548" s="0" t="str">
        <f aca="false">IF(MOD(F548-1,2)=0,SUMPRODUCT(($A$2:$A$644=A548)*(ROW($A$2:$A$644)&gt;=ROW())*(ROW($A$2:$A$644)&lt;ROW()+2)*$C$2:$C$644),"")</f>
        <v/>
      </c>
      <c r="I548" s="0" t="str">
        <f aca="false">IF(H548="","",ROUNDUP(H548/75,0))</f>
        <v/>
      </c>
      <c r="J548" s="0" t="str">
        <f aca="false">IF(MOD(F548-1,3)=0,SUMPRODUCT(($A$2:$A$644=A548)*(ROW($A$2:$A$644)&gt;=ROW())*(ROW($A$2:$A$644)&lt;ROW()+3)*$C$2:$C$644),"")</f>
        <v/>
      </c>
      <c r="K548" s="0" t="str">
        <f aca="false">IF(J548="","",ROUNDUP(J548/75,0))</f>
        <v/>
      </c>
      <c r="L548" s="0" t="str">
        <f aca="false">IF(MOD(F548-1,5)=0,SUMPRODUCT(($A$2:$A$644=A548)*(ROW($A$2:$A$644)&gt;=ROW())*(ROW($A$2:$A$644)&lt;ROW()+5)*$C$2:$C$644),"")</f>
        <v/>
      </c>
      <c r="M548" s="0" t="str">
        <f aca="false">IF(L548="","",ROUNDUP(L548/75,0))</f>
        <v/>
      </c>
      <c r="N548" s="0" t="n">
        <f aca="false">IF(MOD(F548-1,7)=0,SUMPRODUCT(($A$2:$A$644=A548)*(ROW($A$2:$A$644)&gt;=ROW())*(ROW($A$2:$A$644)&lt;ROW()+7)*$C$2:$C$644),"")</f>
        <v>414</v>
      </c>
      <c r="O548" s="0" t="n">
        <f aca="false">IF(N548="","",ROUNDUP(N548/75,0))</f>
        <v>6</v>
      </c>
    </row>
    <row r="549" customFormat="false" ht="15" hidden="false" customHeight="false" outlineLevel="0" collapsed="false">
      <c r="A549" s="0" t="s">
        <v>462</v>
      </c>
      <c r="B549" s="0" t="s">
        <v>583</v>
      </c>
      <c r="C549" s="0" t="n">
        <v>114</v>
      </c>
      <c r="D549" s="0" t="n">
        <v>2</v>
      </c>
      <c r="E549" s="0" t="n">
        <v>36</v>
      </c>
      <c r="F549" s="0" t="n">
        <f aca="false">COUNTIF($A$2:A549,A549)</f>
        <v>121</v>
      </c>
      <c r="G549" s="0" t="n">
        <f aca="false">ROUNDUP(C549*1.236/75,0)</f>
        <v>2</v>
      </c>
      <c r="H549" s="0" t="n">
        <f aca="false">IF(MOD(F549-1,2)=0,SUMPRODUCT(($A$2:$A$644=A549)*(ROW($A$2:$A$644)&gt;=ROW())*(ROW($A$2:$A$644)&lt;ROW()+2)*$C$2:$C$644),"")</f>
        <v>150</v>
      </c>
      <c r="I549" s="0" t="n">
        <f aca="false">IF(H549="","",ROUNDUP(H549/75,0))</f>
        <v>2</v>
      </c>
      <c r="J549" s="0" t="n">
        <f aca="false">IF(MOD(F549-1,3)=0,SUMPRODUCT(($A$2:$A$644=A549)*(ROW($A$2:$A$644)&gt;=ROW())*(ROW($A$2:$A$644)&lt;ROW()+3)*$C$2:$C$644),"")</f>
        <v>258</v>
      </c>
      <c r="K549" s="0" t="n">
        <f aca="false">IF(J549="","",ROUNDUP(J549/75,0))</f>
        <v>4</v>
      </c>
      <c r="L549" s="0" t="n">
        <f aca="false">IF(MOD(F549-1,5)=0,SUMPRODUCT(($A$2:$A$644=A549)*(ROW($A$2:$A$644)&gt;=ROW())*(ROW($A$2:$A$644)&lt;ROW()+5)*$C$2:$C$644),"")</f>
        <v>330</v>
      </c>
      <c r="M549" s="0" t="n">
        <f aca="false">IF(L549="","",ROUNDUP(L549/75,0))</f>
        <v>5</v>
      </c>
      <c r="N549" s="0" t="str">
        <f aca="false">IF(MOD(F549-1,7)=0,SUMPRODUCT(($A$2:$A$644=A549)*(ROW($A$2:$A$644)&gt;=ROW())*(ROW($A$2:$A$644)&lt;ROW()+7)*$C$2:$C$644),"")</f>
        <v/>
      </c>
      <c r="O549" s="0" t="str">
        <f aca="false">IF(N549="","",ROUNDUP(N549/75,0))</f>
        <v/>
      </c>
    </row>
    <row r="550" customFormat="false" ht="15" hidden="false" customHeight="false" outlineLevel="0" collapsed="false">
      <c r="A550" s="0" t="s">
        <v>462</v>
      </c>
      <c r="B550" s="0" t="s">
        <v>584</v>
      </c>
      <c r="C550" s="0" t="n">
        <v>36</v>
      </c>
      <c r="D550" s="0" t="n">
        <v>1</v>
      </c>
      <c r="E550" s="0" t="n">
        <v>39</v>
      </c>
      <c r="F550" s="0" t="n">
        <f aca="false">COUNTIF($A$2:A550,A550)</f>
        <v>122</v>
      </c>
      <c r="G550" s="0" t="n">
        <f aca="false">ROUNDUP(C550*1.236/75,0)</f>
        <v>1</v>
      </c>
      <c r="H550" s="0" t="str">
        <f aca="false">IF(MOD(F550-1,2)=0,SUMPRODUCT(($A$2:$A$644=A550)*(ROW($A$2:$A$644)&gt;=ROW())*(ROW($A$2:$A$644)&lt;ROW()+2)*$C$2:$C$644),"")</f>
        <v/>
      </c>
      <c r="I550" s="0" t="str">
        <f aca="false">IF(H550="","",ROUNDUP(H550/75,0))</f>
        <v/>
      </c>
      <c r="J550" s="0" t="str">
        <f aca="false">IF(MOD(F550-1,3)=0,SUMPRODUCT(($A$2:$A$644=A550)*(ROW($A$2:$A$644)&gt;=ROW())*(ROW($A$2:$A$644)&lt;ROW()+3)*$C$2:$C$644),"")</f>
        <v/>
      </c>
      <c r="K550" s="0" t="str">
        <f aca="false">IF(J550="","",ROUNDUP(J550/75,0))</f>
        <v/>
      </c>
      <c r="L550" s="0" t="str">
        <f aca="false">IF(MOD(F550-1,5)=0,SUMPRODUCT(($A$2:$A$644=A550)*(ROW($A$2:$A$644)&gt;=ROW())*(ROW($A$2:$A$644)&lt;ROW()+5)*$C$2:$C$644),"")</f>
        <v/>
      </c>
      <c r="M550" s="0" t="str">
        <f aca="false">IF(L550="","",ROUNDUP(L550/75,0))</f>
        <v/>
      </c>
      <c r="N550" s="0" t="str">
        <f aca="false">IF(MOD(F550-1,7)=0,SUMPRODUCT(($A$2:$A$644=A550)*(ROW($A$2:$A$644)&gt;=ROW())*(ROW($A$2:$A$644)&lt;ROW()+7)*$C$2:$C$644),"")</f>
        <v/>
      </c>
      <c r="O550" s="0" t="str">
        <f aca="false">IF(N550="","",ROUNDUP(N550/75,0))</f>
        <v/>
      </c>
    </row>
    <row r="551" customFormat="false" ht="15" hidden="false" customHeight="false" outlineLevel="0" collapsed="false">
      <c r="A551" s="0" t="s">
        <v>462</v>
      </c>
      <c r="B551" s="0" t="s">
        <v>585</v>
      </c>
      <c r="C551" s="0" t="n">
        <v>108</v>
      </c>
      <c r="D551" s="0" t="n">
        <v>2</v>
      </c>
      <c r="E551" s="0" t="n">
        <v>42</v>
      </c>
      <c r="F551" s="0" t="n">
        <f aca="false">COUNTIF($A$2:A551,A551)</f>
        <v>123</v>
      </c>
      <c r="G551" s="0" t="n">
        <f aca="false">ROUNDUP(C551*1.236/75,0)</f>
        <v>2</v>
      </c>
      <c r="H551" s="0" t="n">
        <f aca="false">IF(MOD(F551-1,2)=0,SUMPRODUCT(($A$2:$A$644=A551)*(ROW($A$2:$A$644)&gt;=ROW())*(ROW($A$2:$A$644)&lt;ROW()+2)*$C$2:$C$644),"")</f>
        <v>162</v>
      </c>
      <c r="I551" s="0" t="n">
        <f aca="false">IF(H551="","",ROUNDUP(H551/75,0))</f>
        <v>3</v>
      </c>
      <c r="J551" s="0" t="str">
        <f aca="false">IF(MOD(F551-1,3)=0,SUMPRODUCT(($A$2:$A$644=A551)*(ROW($A$2:$A$644)&gt;=ROW())*(ROW($A$2:$A$644)&lt;ROW()+3)*$C$2:$C$644),"")</f>
        <v/>
      </c>
      <c r="K551" s="0" t="str">
        <f aca="false">IF(J551="","",ROUNDUP(J551/75,0))</f>
        <v/>
      </c>
      <c r="L551" s="0" t="str">
        <f aca="false">IF(MOD(F551-1,5)=0,SUMPRODUCT(($A$2:$A$644=A551)*(ROW($A$2:$A$644)&gt;=ROW())*(ROW($A$2:$A$644)&lt;ROW()+5)*$C$2:$C$644),"")</f>
        <v/>
      </c>
      <c r="M551" s="0" t="str">
        <f aca="false">IF(L551="","",ROUNDUP(L551/75,0))</f>
        <v/>
      </c>
      <c r="N551" s="0" t="str">
        <f aca="false">IF(MOD(F551-1,7)=0,SUMPRODUCT(($A$2:$A$644=A551)*(ROW($A$2:$A$644)&gt;=ROW())*(ROW($A$2:$A$644)&lt;ROW()+7)*$C$2:$C$644),"")</f>
        <v/>
      </c>
      <c r="O551" s="0" t="str">
        <f aca="false">IF(N551="","",ROUNDUP(N551/75,0))</f>
        <v/>
      </c>
    </row>
    <row r="552" customFormat="false" ht="15" hidden="false" customHeight="false" outlineLevel="0" collapsed="false">
      <c r="A552" s="0" t="s">
        <v>462</v>
      </c>
      <c r="B552" s="0" t="s">
        <v>586</v>
      </c>
      <c r="C552" s="0" t="n">
        <v>54</v>
      </c>
      <c r="D552" s="0" t="n">
        <v>1</v>
      </c>
      <c r="E552" s="0" t="n">
        <v>21</v>
      </c>
      <c r="F552" s="0" t="n">
        <f aca="false">COUNTIF($A$2:A552,A552)</f>
        <v>124</v>
      </c>
      <c r="G552" s="0" t="n">
        <f aca="false">ROUNDUP(C552*1.236/75,0)</f>
        <v>1</v>
      </c>
      <c r="H552" s="0" t="str">
        <f aca="false">IF(MOD(F552-1,2)=0,SUMPRODUCT(($A$2:$A$644=A552)*(ROW($A$2:$A$644)&gt;=ROW())*(ROW($A$2:$A$644)&lt;ROW()+2)*$C$2:$C$644),"")</f>
        <v/>
      </c>
      <c r="I552" s="0" t="str">
        <f aca="false">IF(H552="","",ROUNDUP(H552/75,0))</f>
        <v/>
      </c>
      <c r="J552" s="0" t="n">
        <f aca="false">IF(MOD(F552-1,3)=0,SUMPRODUCT(($A$2:$A$644=A552)*(ROW($A$2:$A$644)&gt;=ROW())*(ROW($A$2:$A$644)&lt;ROW()+3)*$C$2:$C$644),"")</f>
        <v>96</v>
      </c>
      <c r="K552" s="0" t="n">
        <f aca="false">IF(J552="","",ROUNDUP(J552/75,0))</f>
        <v>2</v>
      </c>
      <c r="L552" s="0" t="str">
        <f aca="false">IF(MOD(F552-1,5)=0,SUMPRODUCT(($A$2:$A$644=A552)*(ROW($A$2:$A$644)&gt;=ROW())*(ROW($A$2:$A$644)&lt;ROW()+5)*$C$2:$C$644),"")</f>
        <v/>
      </c>
      <c r="M552" s="0" t="str">
        <f aca="false">IF(L552="","",ROUNDUP(L552/75,0))</f>
        <v/>
      </c>
      <c r="N552" s="0" t="str">
        <f aca="false">IF(MOD(F552-1,7)=0,SUMPRODUCT(($A$2:$A$644=A552)*(ROW($A$2:$A$644)&gt;=ROW())*(ROW($A$2:$A$644)&lt;ROW()+7)*$C$2:$C$644),"")</f>
        <v/>
      </c>
      <c r="O552" s="0" t="str">
        <f aca="false">IF(N552="","",ROUNDUP(N552/75,0))</f>
        <v/>
      </c>
    </row>
    <row r="553" customFormat="false" ht="15" hidden="false" customHeight="false" outlineLevel="0" collapsed="false">
      <c r="A553" s="0" t="s">
        <v>462</v>
      </c>
      <c r="B553" s="0" t="s">
        <v>587</v>
      </c>
      <c r="C553" s="0" t="n">
        <v>18</v>
      </c>
      <c r="D553" s="0" t="n">
        <v>1</v>
      </c>
      <c r="E553" s="0" t="n">
        <v>57</v>
      </c>
      <c r="F553" s="0" t="n">
        <f aca="false">COUNTIF($A$2:A553,A553)</f>
        <v>125</v>
      </c>
      <c r="G553" s="0" t="n">
        <f aca="false">ROUNDUP(C553*1.236/75,0)</f>
        <v>1</v>
      </c>
      <c r="H553" s="0" t="n">
        <f aca="false">IF(MOD(F553-1,2)=0,SUMPRODUCT(($A$2:$A$644=A553)*(ROW($A$2:$A$644)&gt;=ROW())*(ROW($A$2:$A$644)&lt;ROW()+2)*$C$2:$C$644),"")</f>
        <v>42</v>
      </c>
      <c r="I553" s="0" t="n">
        <f aca="false">IF(H553="","",ROUNDUP(H553/75,0))</f>
        <v>1</v>
      </c>
      <c r="J553" s="0" t="str">
        <f aca="false">IF(MOD(F553-1,3)=0,SUMPRODUCT(($A$2:$A$644=A553)*(ROW($A$2:$A$644)&gt;=ROW())*(ROW($A$2:$A$644)&lt;ROW()+3)*$C$2:$C$644),"")</f>
        <v/>
      </c>
      <c r="K553" s="0" t="str">
        <f aca="false">IF(J553="","",ROUNDUP(J553/75,0))</f>
        <v/>
      </c>
      <c r="L553" s="0" t="str">
        <f aca="false">IF(MOD(F553-1,5)=0,SUMPRODUCT(($A$2:$A$644=A553)*(ROW($A$2:$A$644)&gt;=ROW())*(ROW($A$2:$A$644)&lt;ROW()+5)*$C$2:$C$644),"")</f>
        <v/>
      </c>
      <c r="M553" s="0" t="str">
        <f aca="false">IF(L553="","",ROUNDUP(L553/75,0))</f>
        <v/>
      </c>
      <c r="N553" s="0" t="str">
        <f aca="false">IF(MOD(F553-1,7)=0,SUMPRODUCT(($A$2:$A$644=A553)*(ROW($A$2:$A$644)&gt;=ROW())*(ROW($A$2:$A$644)&lt;ROW()+7)*$C$2:$C$644),"")</f>
        <v/>
      </c>
      <c r="O553" s="0" t="str">
        <f aca="false">IF(N553="","",ROUNDUP(N553/75,0))</f>
        <v/>
      </c>
    </row>
    <row r="554" customFormat="false" ht="15" hidden="false" customHeight="false" outlineLevel="0" collapsed="false">
      <c r="A554" s="0" t="s">
        <v>462</v>
      </c>
      <c r="B554" s="0" t="s">
        <v>588</v>
      </c>
      <c r="C554" s="0" t="n">
        <v>24</v>
      </c>
      <c r="D554" s="0" t="n">
        <v>1</v>
      </c>
      <c r="E554" s="0" t="n">
        <v>51</v>
      </c>
      <c r="F554" s="0" t="n">
        <f aca="false">COUNTIF($A$2:A554,A554)</f>
        <v>126</v>
      </c>
      <c r="G554" s="0" t="n">
        <f aca="false">ROUNDUP(C554*1.236/75,0)</f>
        <v>1</v>
      </c>
      <c r="H554" s="0" t="str">
        <f aca="false">IF(MOD(F554-1,2)=0,SUMPRODUCT(($A$2:$A$644=A554)*(ROW($A$2:$A$644)&gt;=ROW())*(ROW($A$2:$A$644)&lt;ROW()+2)*$C$2:$C$644),"")</f>
        <v/>
      </c>
      <c r="I554" s="0" t="str">
        <f aca="false">IF(H554="","",ROUNDUP(H554/75,0))</f>
        <v/>
      </c>
      <c r="J554" s="0" t="str">
        <f aca="false">IF(MOD(F554-1,3)=0,SUMPRODUCT(($A$2:$A$644=A554)*(ROW($A$2:$A$644)&gt;=ROW())*(ROW($A$2:$A$644)&lt;ROW()+3)*$C$2:$C$644),"")</f>
        <v/>
      </c>
      <c r="K554" s="0" t="str">
        <f aca="false">IF(J554="","",ROUNDUP(J554/75,0))</f>
        <v/>
      </c>
      <c r="L554" s="0" t="n">
        <f aca="false">IF(MOD(F554-1,5)=0,SUMPRODUCT(($A$2:$A$644=A554)*(ROW($A$2:$A$644)&gt;=ROW())*(ROW($A$2:$A$644)&lt;ROW()+5)*$C$2:$C$644),"")</f>
        <v>234</v>
      </c>
      <c r="M554" s="0" t="n">
        <f aca="false">IF(L554="","",ROUNDUP(L554/75,0))</f>
        <v>4</v>
      </c>
      <c r="N554" s="0" t="str">
        <f aca="false">IF(MOD(F554-1,7)=0,SUMPRODUCT(($A$2:$A$644=A554)*(ROW($A$2:$A$644)&gt;=ROW())*(ROW($A$2:$A$644)&lt;ROW()+7)*$C$2:$C$644),"")</f>
        <v/>
      </c>
      <c r="O554" s="0" t="str">
        <f aca="false">IF(N554="","",ROUNDUP(N554/75,0))</f>
        <v/>
      </c>
    </row>
    <row r="555" customFormat="false" ht="15" hidden="false" customHeight="false" outlineLevel="0" collapsed="false">
      <c r="A555" s="0" t="s">
        <v>462</v>
      </c>
      <c r="B555" s="0" t="s">
        <v>589</v>
      </c>
      <c r="C555" s="0" t="n">
        <v>72</v>
      </c>
      <c r="D555" s="0" t="n">
        <v>1</v>
      </c>
      <c r="E555" s="0" t="n">
        <v>3</v>
      </c>
      <c r="F555" s="0" t="n">
        <f aca="false">COUNTIF($A$2:A555,A555)</f>
        <v>127</v>
      </c>
      <c r="G555" s="0" t="n">
        <f aca="false">ROUNDUP(C555*1.236/75,0)</f>
        <v>2</v>
      </c>
      <c r="H555" s="0" t="n">
        <f aca="false">IF(MOD(F555-1,2)=0,SUMPRODUCT(($A$2:$A$644=A555)*(ROW($A$2:$A$644)&gt;=ROW())*(ROW($A$2:$A$644)&lt;ROW()+2)*$C$2:$C$644),"")</f>
        <v>102</v>
      </c>
      <c r="I555" s="0" t="n">
        <f aca="false">IF(H555="","",ROUNDUP(H555/75,0))</f>
        <v>2</v>
      </c>
      <c r="J555" s="0" t="n">
        <f aca="false">IF(MOD(F555-1,3)=0,SUMPRODUCT(($A$2:$A$644=A555)*(ROW($A$2:$A$644)&gt;=ROW())*(ROW($A$2:$A$644)&lt;ROW()+3)*$C$2:$C$644),"")</f>
        <v>192</v>
      </c>
      <c r="K555" s="0" t="n">
        <f aca="false">IF(J555="","",ROUNDUP(J555/75,0))</f>
        <v>3</v>
      </c>
      <c r="L555" s="0" t="str">
        <f aca="false">IF(MOD(F555-1,5)=0,SUMPRODUCT(($A$2:$A$644=A555)*(ROW($A$2:$A$644)&gt;=ROW())*(ROW($A$2:$A$644)&lt;ROW()+5)*$C$2:$C$644),"")</f>
        <v/>
      </c>
      <c r="M555" s="0" t="str">
        <f aca="false">IF(L555="","",ROUNDUP(L555/75,0))</f>
        <v/>
      </c>
      <c r="N555" s="0" t="n">
        <f aca="false">IF(MOD(F555-1,7)=0,SUMPRODUCT(($A$2:$A$644=A555)*(ROW($A$2:$A$644)&gt;=ROW())*(ROW($A$2:$A$644)&lt;ROW()+7)*$C$2:$C$644),"")</f>
        <v>468</v>
      </c>
      <c r="O555" s="0" t="n">
        <f aca="false">IF(N555="","",ROUNDUP(N555/75,0))</f>
        <v>7</v>
      </c>
    </row>
    <row r="556" customFormat="false" ht="15" hidden="false" customHeight="false" outlineLevel="0" collapsed="false">
      <c r="A556" s="0" t="s">
        <v>462</v>
      </c>
      <c r="B556" s="0" t="s">
        <v>590</v>
      </c>
      <c r="C556" s="0" t="n">
        <v>30</v>
      </c>
      <c r="D556" s="0" t="n">
        <v>1</v>
      </c>
      <c r="E556" s="0" t="n">
        <v>45</v>
      </c>
      <c r="F556" s="0" t="n">
        <f aca="false">COUNTIF($A$2:A556,A556)</f>
        <v>128</v>
      </c>
      <c r="G556" s="0" t="n">
        <f aca="false">ROUNDUP(C556*1.236/75,0)</f>
        <v>1</v>
      </c>
      <c r="H556" s="0" t="str">
        <f aca="false">IF(MOD(F556-1,2)=0,SUMPRODUCT(($A$2:$A$644=A556)*(ROW($A$2:$A$644)&gt;=ROW())*(ROW($A$2:$A$644)&lt;ROW()+2)*$C$2:$C$644),"")</f>
        <v/>
      </c>
      <c r="I556" s="0" t="str">
        <f aca="false">IF(H556="","",ROUNDUP(H556/75,0))</f>
        <v/>
      </c>
      <c r="J556" s="0" t="str">
        <f aca="false">IF(MOD(F556-1,3)=0,SUMPRODUCT(($A$2:$A$644=A556)*(ROW($A$2:$A$644)&gt;=ROW())*(ROW($A$2:$A$644)&lt;ROW()+3)*$C$2:$C$644),"")</f>
        <v/>
      </c>
      <c r="K556" s="0" t="str">
        <f aca="false">IF(J556="","",ROUNDUP(J556/75,0))</f>
        <v/>
      </c>
      <c r="L556" s="0" t="str">
        <f aca="false">IF(MOD(F556-1,5)=0,SUMPRODUCT(($A$2:$A$644=A556)*(ROW($A$2:$A$644)&gt;=ROW())*(ROW($A$2:$A$644)&lt;ROW()+5)*$C$2:$C$644),"")</f>
        <v/>
      </c>
      <c r="M556" s="0" t="str">
        <f aca="false">IF(L556="","",ROUNDUP(L556/75,0))</f>
        <v/>
      </c>
      <c r="N556" s="0" t="str">
        <f aca="false">IF(MOD(F556-1,7)=0,SUMPRODUCT(($A$2:$A$644=A556)*(ROW($A$2:$A$644)&gt;=ROW())*(ROW($A$2:$A$644)&lt;ROW()+7)*$C$2:$C$644),"")</f>
        <v/>
      </c>
      <c r="O556" s="0" t="str">
        <f aca="false">IF(N556="","",ROUNDUP(N556/75,0))</f>
        <v/>
      </c>
    </row>
    <row r="557" customFormat="false" ht="15" hidden="false" customHeight="false" outlineLevel="0" collapsed="false">
      <c r="A557" s="0" t="s">
        <v>462</v>
      </c>
      <c r="B557" s="0" t="s">
        <v>591</v>
      </c>
      <c r="C557" s="0" t="n">
        <v>90</v>
      </c>
      <c r="D557" s="0" t="n">
        <v>2</v>
      </c>
      <c r="E557" s="0" t="n">
        <v>60</v>
      </c>
      <c r="F557" s="0" t="n">
        <f aca="false">COUNTIF($A$2:A557,A557)</f>
        <v>129</v>
      </c>
      <c r="G557" s="0" t="n">
        <f aca="false">ROUNDUP(C557*1.236/75,0)</f>
        <v>2</v>
      </c>
      <c r="H557" s="0" t="n">
        <f aca="false">IF(MOD(F557-1,2)=0,SUMPRODUCT(($A$2:$A$644=A557)*(ROW($A$2:$A$644)&gt;=ROW())*(ROW($A$2:$A$644)&lt;ROW()+2)*$C$2:$C$644),"")</f>
        <v>108</v>
      </c>
      <c r="I557" s="0" t="n">
        <f aca="false">IF(H557="","",ROUNDUP(H557/75,0))</f>
        <v>2</v>
      </c>
      <c r="J557" s="0" t="str">
        <f aca="false">IF(MOD(F557-1,3)=0,SUMPRODUCT(($A$2:$A$644=A557)*(ROW($A$2:$A$644)&gt;=ROW())*(ROW($A$2:$A$644)&lt;ROW()+3)*$C$2:$C$644),"")</f>
        <v/>
      </c>
      <c r="K557" s="0" t="str">
        <f aca="false">IF(J557="","",ROUNDUP(J557/75,0))</f>
        <v/>
      </c>
      <c r="L557" s="0" t="str">
        <f aca="false">IF(MOD(F557-1,5)=0,SUMPRODUCT(($A$2:$A$644=A557)*(ROW($A$2:$A$644)&gt;=ROW())*(ROW($A$2:$A$644)&lt;ROW()+5)*$C$2:$C$644),"")</f>
        <v/>
      </c>
      <c r="M557" s="0" t="str">
        <f aca="false">IF(L557="","",ROUNDUP(L557/75,0))</f>
        <v/>
      </c>
      <c r="N557" s="0" t="str">
        <f aca="false">IF(MOD(F557-1,7)=0,SUMPRODUCT(($A$2:$A$644=A557)*(ROW($A$2:$A$644)&gt;=ROW())*(ROW($A$2:$A$644)&lt;ROW()+7)*$C$2:$C$644),"")</f>
        <v/>
      </c>
      <c r="O557" s="0" t="str">
        <f aca="false">IF(N557="","",ROUNDUP(N557/75,0))</f>
        <v/>
      </c>
    </row>
    <row r="558" customFormat="false" ht="15" hidden="false" customHeight="false" outlineLevel="0" collapsed="false">
      <c r="A558" s="0" t="s">
        <v>462</v>
      </c>
      <c r="B558" s="0" t="s">
        <v>592</v>
      </c>
      <c r="C558" s="0" t="n">
        <v>18</v>
      </c>
      <c r="D558" s="0" t="n">
        <v>1</v>
      </c>
      <c r="E558" s="0" t="n">
        <v>57</v>
      </c>
      <c r="F558" s="0" t="n">
        <f aca="false">COUNTIF($A$2:A558,A558)</f>
        <v>130</v>
      </c>
      <c r="G558" s="0" t="n">
        <f aca="false">ROUNDUP(C558*1.236/75,0)</f>
        <v>1</v>
      </c>
      <c r="H558" s="0" t="str">
        <f aca="false">IF(MOD(F558-1,2)=0,SUMPRODUCT(($A$2:$A$644=A558)*(ROW($A$2:$A$644)&gt;=ROW())*(ROW($A$2:$A$644)&lt;ROW()+2)*$C$2:$C$644),"")</f>
        <v/>
      </c>
      <c r="I558" s="0" t="str">
        <f aca="false">IF(H558="","",ROUNDUP(H558/75,0))</f>
        <v/>
      </c>
      <c r="J558" s="0" t="n">
        <f aca="false">IF(MOD(F558-1,3)=0,SUMPRODUCT(($A$2:$A$644=A558)*(ROW($A$2:$A$644)&gt;=ROW())*(ROW($A$2:$A$644)&lt;ROW()+3)*$C$2:$C$644),"")</f>
        <v>174</v>
      </c>
      <c r="K558" s="0" t="n">
        <f aca="false">IF(J558="","",ROUNDUP(J558/75,0))</f>
        <v>3</v>
      </c>
      <c r="L558" s="0" t="str">
        <f aca="false">IF(MOD(F558-1,5)=0,SUMPRODUCT(($A$2:$A$644=A558)*(ROW($A$2:$A$644)&gt;=ROW())*(ROW($A$2:$A$644)&lt;ROW()+5)*$C$2:$C$644),"")</f>
        <v/>
      </c>
      <c r="M558" s="0" t="str">
        <f aca="false">IF(L558="","",ROUNDUP(L558/75,0))</f>
        <v/>
      </c>
      <c r="N558" s="0" t="str">
        <f aca="false">IF(MOD(F558-1,7)=0,SUMPRODUCT(($A$2:$A$644=A558)*(ROW($A$2:$A$644)&gt;=ROW())*(ROW($A$2:$A$644)&lt;ROW()+7)*$C$2:$C$644),"")</f>
        <v/>
      </c>
      <c r="O558" s="0" t="str">
        <f aca="false">IF(N558="","",ROUNDUP(N558/75,0))</f>
        <v/>
      </c>
    </row>
    <row r="559" customFormat="false" ht="15" hidden="false" customHeight="false" outlineLevel="0" collapsed="false">
      <c r="A559" s="0" t="s">
        <v>462</v>
      </c>
      <c r="B559" s="0" t="s">
        <v>593</v>
      </c>
      <c r="C559" s="0" t="n">
        <v>72</v>
      </c>
      <c r="D559" s="0" t="n">
        <v>1</v>
      </c>
      <c r="E559" s="0" t="n">
        <v>3</v>
      </c>
      <c r="F559" s="0" t="n">
        <f aca="false">COUNTIF($A$2:A559,A559)</f>
        <v>131</v>
      </c>
      <c r="G559" s="0" t="n">
        <f aca="false">ROUNDUP(C559*1.236/75,0)</f>
        <v>2</v>
      </c>
      <c r="H559" s="0" t="n">
        <f aca="false">IF(MOD(F559-1,2)=0,SUMPRODUCT(($A$2:$A$644=A559)*(ROW($A$2:$A$644)&gt;=ROW())*(ROW($A$2:$A$644)&lt;ROW()+2)*$C$2:$C$644),"")</f>
        <v>156</v>
      </c>
      <c r="I559" s="0" t="n">
        <f aca="false">IF(H559="","",ROUNDUP(H559/75,0))</f>
        <v>3</v>
      </c>
      <c r="J559" s="0" t="str">
        <f aca="false">IF(MOD(F559-1,3)=0,SUMPRODUCT(($A$2:$A$644=A559)*(ROW($A$2:$A$644)&gt;=ROW())*(ROW($A$2:$A$644)&lt;ROW()+3)*$C$2:$C$644),"")</f>
        <v/>
      </c>
      <c r="K559" s="0" t="str">
        <f aca="false">IF(J559="","",ROUNDUP(J559/75,0))</f>
        <v/>
      </c>
      <c r="L559" s="0" t="n">
        <f aca="false">IF(MOD(F559-1,5)=0,SUMPRODUCT(($A$2:$A$644=A559)*(ROW($A$2:$A$644)&gt;=ROW())*(ROW($A$2:$A$644)&lt;ROW()+5)*$C$2:$C$644),"")</f>
        <v>306</v>
      </c>
      <c r="M559" s="0" t="n">
        <f aca="false">IF(L559="","",ROUNDUP(L559/75,0))</f>
        <v>5</v>
      </c>
      <c r="N559" s="0" t="str">
        <f aca="false">IF(MOD(F559-1,7)=0,SUMPRODUCT(($A$2:$A$644=A559)*(ROW($A$2:$A$644)&gt;=ROW())*(ROW($A$2:$A$644)&lt;ROW()+7)*$C$2:$C$644),"")</f>
        <v/>
      </c>
      <c r="O559" s="0" t="str">
        <f aca="false">IF(N559="","",ROUNDUP(N559/75,0))</f>
        <v/>
      </c>
    </row>
    <row r="560" customFormat="false" ht="15" hidden="false" customHeight="false" outlineLevel="0" collapsed="false">
      <c r="A560" s="0" t="s">
        <v>462</v>
      </c>
      <c r="B560" s="0" t="s">
        <v>594</v>
      </c>
      <c r="C560" s="0" t="n">
        <v>84</v>
      </c>
      <c r="D560" s="0" t="n">
        <v>2</v>
      </c>
      <c r="E560" s="0" t="n">
        <v>66</v>
      </c>
      <c r="F560" s="0" t="n">
        <f aca="false">COUNTIF($A$2:A560,A560)</f>
        <v>132</v>
      </c>
      <c r="G560" s="0" t="n">
        <f aca="false">ROUNDUP(C560*1.236/75,0)</f>
        <v>2</v>
      </c>
      <c r="H560" s="0" t="str">
        <f aca="false">IF(MOD(F560-1,2)=0,SUMPRODUCT(($A$2:$A$644=A560)*(ROW($A$2:$A$644)&gt;=ROW())*(ROW($A$2:$A$644)&lt;ROW()+2)*$C$2:$C$644),"")</f>
        <v/>
      </c>
      <c r="I560" s="0" t="str">
        <f aca="false">IF(H560="","",ROUNDUP(H560/75,0))</f>
        <v/>
      </c>
      <c r="J560" s="0" t="str">
        <f aca="false">IF(MOD(F560-1,3)=0,SUMPRODUCT(($A$2:$A$644=A560)*(ROW($A$2:$A$644)&gt;=ROW())*(ROW($A$2:$A$644)&lt;ROW()+3)*$C$2:$C$644),"")</f>
        <v/>
      </c>
      <c r="K560" s="0" t="str">
        <f aca="false">IF(J560="","",ROUNDUP(J560/75,0))</f>
        <v/>
      </c>
      <c r="L560" s="0" t="str">
        <f aca="false">IF(MOD(F560-1,5)=0,SUMPRODUCT(($A$2:$A$644=A560)*(ROW($A$2:$A$644)&gt;=ROW())*(ROW($A$2:$A$644)&lt;ROW()+5)*$C$2:$C$644),"")</f>
        <v/>
      </c>
      <c r="M560" s="0" t="str">
        <f aca="false">IF(L560="","",ROUNDUP(L560/75,0))</f>
        <v/>
      </c>
      <c r="N560" s="0" t="str">
        <f aca="false">IF(MOD(F560-1,7)=0,SUMPRODUCT(($A$2:$A$644=A560)*(ROW($A$2:$A$644)&gt;=ROW())*(ROW($A$2:$A$644)&lt;ROW()+7)*$C$2:$C$644),"")</f>
        <v/>
      </c>
      <c r="O560" s="0" t="str">
        <f aca="false">IF(N560="","",ROUNDUP(N560/75,0))</f>
        <v/>
      </c>
    </row>
    <row r="561" customFormat="false" ht="15" hidden="false" customHeight="false" outlineLevel="0" collapsed="false">
      <c r="A561" s="0" t="s">
        <v>462</v>
      </c>
      <c r="B561" s="0" t="s">
        <v>595</v>
      </c>
      <c r="C561" s="0" t="n">
        <v>102</v>
      </c>
      <c r="D561" s="0" t="n">
        <v>2</v>
      </c>
      <c r="E561" s="0" t="n">
        <v>48</v>
      </c>
      <c r="F561" s="0" t="n">
        <f aca="false">COUNTIF($A$2:A561,A561)</f>
        <v>133</v>
      </c>
      <c r="G561" s="0" t="n">
        <f aca="false">ROUNDUP(C561*1.236/75,0)</f>
        <v>2</v>
      </c>
      <c r="H561" s="0" t="n">
        <f aca="false">IF(MOD(F561-1,2)=0,SUMPRODUCT(($A$2:$A$644=A561)*(ROW($A$2:$A$644)&gt;=ROW())*(ROW($A$2:$A$644)&lt;ROW()+2)*$C$2:$C$644),"")</f>
        <v>126</v>
      </c>
      <c r="I561" s="0" t="n">
        <f aca="false">IF(H561="","",ROUNDUP(H561/75,0))</f>
        <v>2</v>
      </c>
      <c r="J561" s="0" t="n">
        <f aca="false">IF(MOD(F561-1,3)=0,SUMPRODUCT(($A$2:$A$644=A561)*(ROW($A$2:$A$644)&gt;=ROW())*(ROW($A$2:$A$644)&lt;ROW()+3)*$C$2:$C$644),"")</f>
        <v>150</v>
      </c>
      <c r="K561" s="0" t="n">
        <f aca="false">IF(J561="","",ROUNDUP(J561/75,0))</f>
        <v>2</v>
      </c>
      <c r="L561" s="0" t="str">
        <f aca="false">IF(MOD(F561-1,5)=0,SUMPRODUCT(($A$2:$A$644=A561)*(ROW($A$2:$A$644)&gt;=ROW())*(ROW($A$2:$A$644)&lt;ROW()+5)*$C$2:$C$644),"")</f>
        <v/>
      </c>
      <c r="M561" s="0" t="str">
        <f aca="false">IF(L561="","",ROUNDUP(L561/75,0))</f>
        <v/>
      </c>
      <c r="N561" s="0" t="str">
        <f aca="false">IF(MOD(F561-1,7)=0,SUMPRODUCT(($A$2:$A$644=A561)*(ROW($A$2:$A$644)&gt;=ROW())*(ROW($A$2:$A$644)&lt;ROW()+7)*$C$2:$C$644),"")</f>
        <v/>
      </c>
      <c r="O561" s="0" t="str">
        <f aca="false">IF(N561="","",ROUNDUP(N561/75,0))</f>
        <v/>
      </c>
    </row>
    <row r="562" customFormat="false" ht="15" hidden="false" customHeight="false" outlineLevel="0" collapsed="false">
      <c r="A562" s="0" t="s">
        <v>462</v>
      </c>
      <c r="B562" s="0" t="s">
        <v>596</v>
      </c>
      <c r="C562" s="0" t="n">
        <v>24</v>
      </c>
      <c r="D562" s="0" t="n">
        <v>1</v>
      </c>
      <c r="E562" s="0" t="n">
        <v>51</v>
      </c>
      <c r="F562" s="0" t="n">
        <f aca="false">COUNTIF($A$2:A562,A562)</f>
        <v>134</v>
      </c>
      <c r="G562" s="0" t="n">
        <f aca="false">ROUNDUP(C562*1.236/75,0)</f>
        <v>1</v>
      </c>
      <c r="H562" s="0" t="str">
        <f aca="false">IF(MOD(F562-1,2)=0,SUMPRODUCT(($A$2:$A$644=A562)*(ROW($A$2:$A$644)&gt;=ROW())*(ROW($A$2:$A$644)&lt;ROW()+2)*$C$2:$C$644),"")</f>
        <v/>
      </c>
      <c r="I562" s="0" t="str">
        <f aca="false">IF(H562="","",ROUNDUP(H562/75,0))</f>
        <v/>
      </c>
      <c r="J562" s="0" t="str">
        <f aca="false">IF(MOD(F562-1,3)=0,SUMPRODUCT(($A$2:$A$644=A562)*(ROW($A$2:$A$644)&gt;=ROW())*(ROW($A$2:$A$644)&lt;ROW()+3)*$C$2:$C$644),"")</f>
        <v/>
      </c>
      <c r="K562" s="0" t="str">
        <f aca="false">IF(J562="","",ROUNDUP(J562/75,0))</f>
        <v/>
      </c>
      <c r="L562" s="0" t="str">
        <f aca="false">IF(MOD(F562-1,5)=0,SUMPRODUCT(($A$2:$A$644=A562)*(ROW($A$2:$A$644)&gt;=ROW())*(ROW($A$2:$A$644)&lt;ROW()+5)*$C$2:$C$644),"")</f>
        <v/>
      </c>
      <c r="M562" s="0" t="str">
        <f aca="false">IF(L562="","",ROUNDUP(L562/75,0))</f>
        <v/>
      </c>
      <c r="N562" s="0" t="n">
        <f aca="false">IF(MOD(F562-1,7)=0,SUMPRODUCT(($A$2:$A$644=A562)*(ROW($A$2:$A$644)&gt;=ROW())*(ROW($A$2:$A$644)&lt;ROW()+7)*$C$2:$C$644),"")</f>
        <v>330</v>
      </c>
      <c r="O562" s="0" t="n">
        <f aca="false">IF(N562="","",ROUNDUP(N562/75,0))</f>
        <v>5</v>
      </c>
    </row>
    <row r="563" customFormat="false" ht="15" hidden="false" customHeight="false" outlineLevel="0" collapsed="false">
      <c r="A563" s="0" t="s">
        <v>462</v>
      </c>
      <c r="B563" s="0" t="s">
        <v>597</v>
      </c>
      <c r="C563" s="0" t="n">
        <v>24</v>
      </c>
      <c r="D563" s="0" t="n">
        <v>1</v>
      </c>
      <c r="E563" s="0" t="n">
        <v>51</v>
      </c>
      <c r="F563" s="0" t="n">
        <f aca="false">COUNTIF($A$2:A563,A563)</f>
        <v>135</v>
      </c>
      <c r="G563" s="0" t="n">
        <f aca="false">ROUNDUP(C563*1.236/75,0)</f>
        <v>1</v>
      </c>
      <c r="H563" s="0" t="n">
        <f aca="false">IF(MOD(F563-1,2)=0,SUMPRODUCT(($A$2:$A$644=A563)*(ROW($A$2:$A$644)&gt;=ROW())*(ROW($A$2:$A$644)&lt;ROW()+2)*$C$2:$C$644),"")</f>
        <v>48</v>
      </c>
      <c r="I563" s="0" t="n">
        <f aca="false">IF(H563="","",ROUNDUP(H563/75,0))</f>
        <v>1</v>
      </c>
      <c r="J563" s="0" t="str">
        <f aca="false">IF(MOD(F563-1,3)=0,SUMPRODUCT(($A$2:$A$644=A563)*(ROW($A$2:$A$644)&gt;=ROW())*(ROW($A$2:$A$644)&lt;ROW()+3)*$C$2:$C$644),"")</f>
        <v/>
      </c>
      <c r="K563" s="0" t="str">
        <f aca="false">IF(J563="","",ROUNDUP(J563/75,0))</f>
        <v/>
      </c>
      <c r="L563" s="0" t="str">
        <f aca="false">IF(MOD(F563-1,5)=0,SUMPRODUCT(($A$2:$A$644=A563)*(ROW($A$2:$A$644)&gt;=ROW())*(ROW($A$2:$A$644)&lt;ROW()+5)*$C$2:$C$644),"")</f>
        <v/>
      </c>
      <c r="M563" s="0" t="str">
        <f aca="false">IF(L563="","",ROUNDUP(L563/75,0))</f>
        <v/>
      </c>
      <c r="N563" s="0" t="str">
        <f aca="false">IF(MOD(F563-1,7)=0,SUMPRODUCT(($A$2:$A$644=A563)*(ROW($A$2:$A$644)&gt;=ROW())*(ROW($A$2:$A$644)&lt;ROW()+7)*$C$2:$C$644),"")</f>
        <v/>
      </c>
      <c r="O563" s="0" t="str">
        <f aca="false">IF(N563="","",ROUNDUP(N563/75,0))</f>
        <v/>
      </c>
    </row>
    <row r="564" customFormat="false" ht="15" hidden="false" customHeight="false" outlineLevel="0" collapsed="false">
      <c r="A564" s="0" t="s">
        <v>462</v>
      </c>
      <c r="B564" s="0" t="s">
        <v>598</v>
      </c>
      <c r="C564" s="0" t="n">
        <v>24</v>
      </c>
      <c r="D564" s="0" t="n">
        <v>1</v>
      </c>
      <c r="E564" s="0" t="n">
        <v>51</v>
      </c>
      <c r="F564" s="0" t="n">
        <f aca="false">COUNTIF($A$2:A564,A564)</f>
        <v>136</v>
      </c>
      <c r="G564" s="0" t="n">
        <f aca="false">ROUNDUP(C564*1.236/75,0)</f>
        <v>1</v>
      </c>
      <c r="H564" s="0" t="str">
        <f aca="false">IF(MOD(F564-1,2)=0,SUMPRODUCT(($A$2:$A$644=A564)*(ROW($A$2:$A$644)&gt;=ROW())*(ROW($A$2:$A$644)&lt;ROW()+2)*$C$2:$C$644),"")</f>
        <v/>
      </c>
      <c r="I564" s="0" t="str">
        <f aca="false">IF(H564="","",ROUNDUP(H564/75,0))</f>
        <v/>
      </c>
      <c r="J564" s="0" t="n">
        <f aca="false">IF(MOD(F564-1,3)=0,SUMPRODUCT(($A$2:$A$644=A564)*(ROW($A$2:$A$644)&gt;=ROW())*(ROW($A$2:$A$644)&lt;ROW()+3)*$C$2:$C$644),"")</f>
        <v>126</v>
      </c>
      <c r="K564" s="0" t="n">
        <f aca="false">IF(J564="","",ROUNDUP(J564/75,0))</f>
        <v>2</v>
      </c>
      <c r="L564" s="0" t="n">
        <f aca="false">IF(MOD(F564-1,5)=0,SUMPRODUCT(($A$2:$A$644=A564)*(ROW($A$2:$A$644)&gt;=ROW())*(ROW($A$2:$A$644)&lt;ROW()+5)*$C$2:$C$644),"")</f>
        <v>282</v>
      </c>
      <c r="M564" s="0" t="n">
        <f aca="false">IF(L564="","",ROUNDUP(L564/75,0))</f>
        <v>4</v>
      </c>
      <c r="N564" s="0" t="str">
        <f aca="false">IF(MOD(F564-1,7)=0,SUMPRODUCT(($A$2:$A$644=A564)*(ROW($A$2:$A$644)&gt;=ROW())*(ROW($A$2:$A$644)&lt;ROW()+7)*$C$2:$C$644),"")</f>
        <v/>
      </c>
      <c r="O564" s="0" t="str">
        <f aca="false">IF(N564="","",ROUNDUP(N564/75,0))</f>
        <v/>
      </c>
    </row>
    <row r="565" customFormat="false" ht="15" hidden="false" customHeight="false" outlineLevel="0" collapsed="false">
      <c r="A565" s="0" t="s">
        <v>462</v>
      </c>
      <c r="B565" s="0" t="s">
        <v>599</v>
      </c>
      <c r="C565" s="0" t="n">
        <v>54</v>
      </c>
      <c r="D565" s="0" t="n">
        <v>1</v>
      </c>
      <c r="E565" s="0" t="n">
        <v>21</v>
      </c>
      <c r="F565" s="0" t="n">
        <f aca="false">COUNTIF($A$2:A565,A565)</f>
        <v>137</v>
      </c>
      <c r="G565" s="0" t="n">
        <f aca="false">ROUNDUP(C565*1.236/75,0)</f>
        <v>1</v>
      </c>
      <c r="H565" s="0" t="n">
        <f aca="false">IF(MOD(F565-1,2)=0,SUMPRODUCT(($A$2:$A$644=A565)*(ROW($A$2:$A$644)&gt;=ROW())*(ROW($A$2:$A$644)&lt;ROW()+2)*$C$2:$C$644),"")</f>
        <v>102</v>
      </c>
      <c r="I565" s="0" t="n">
        <f aca="false">IF(H565="","",ROUNDUP(H565/75,0))</f>
        <v>2</v>
      </c>
      <c r="J565" s="0" t="str">
        <f aca="false">IF(MOD(F565-1,3)=0,SUMPRODUCT(($A$2:$A$644=A565)*(ROW($A$2:$A$644)&gt;=ROW())*(ROW($A$2:$A$644)&lt;ROW()+3)*$C$2:$C$644),"")</f>
        <v/>
      </c>
      <c r="K565" s="0" t="str">
        <f aca="false">IF(J565="","",ROUNDUP(J565/75,0))</f>
        <v/>
      </c>
      <c r="L565" s="0" t="str">
        <f aca="false">IF(MOD(F565-1,5)=0,SUMPRODUCT(($A$2:$A$644=A565)*(ROW($A$2:$A$644)&gt;=ROW())*(ROW($A$2:$A$644)&lt;ROW()+5)*$C$2:$C$644),"")</f>
        <v/>
      </c>
      <c r="M565" s="0" t="str">
        <f aca="false">IF(L565="","",ROUNDUP(L565/75,0))</f>
        <v/>
      </c>
      <c r="N565" s="0" t="str">
        <f aca="false">IF(MOD(F565-1,7)=0,SUMPRODUCT(($A$2:$A$644=A565)*(ROW($A$2:$A$644)&gt;=ROW())*(ROW($A$2:$A$644)&lt;ROW()+7)*$C$2:$C$644),"")</f>
        <v/>
      </c>
      <c r="O565" s="0" t="str">
        <f aca="false">IF(N565="","",ROUNDUP(N565/75,0))</f>
        <v/>
      </c>
    </row>
    <row r="566" customFormat="false" ht="15" hidden="false" customHeight="false" outlineLevel="0" collapsed="false">
      <c r="A566" s="0" t="s">
        <v>462</v>
      </c>
      <c r="B566" s="0" t="s">
        <v>600</v>
      </c>
      <c r="C566" s="0" t="n">
        <v>48</v>
      </c>
      <c r="D566" s="0" t="n">
        <v>1</v>
      </c>
      <c r="E566" s="0" t="n">
        <v>27</v>
      </c>
      <c r="F566" s="0" t="n">
        <f aca="false">COUNTIF($A$2:A566,A566)</f>
        <v>138</v>
      </c>
      <c r="G566" s="0" t="n">
        <f aca="false">ROUNDUP(C566*1.236/75,0)</f>
        <v>1</v>
      </c>
      <c r="H566" s="0" t="str">
        <f aca="false">IF(MOD(F566-1,2)=0,SUMPRODUCT(($A$2:$A$644=A566)*(ROW($A$2:$A$644)&gt;=ROW())*(ROW($A$2:$A$644)&lt;ROW()+2)*$C$2:$C$644),"")</f>
        <v/>
      </c>
      <c r="I566" s="0" t="str">
        <f aca="false">IF(H566="","",ROUNDUP(H566/75,0))</f>
        <v/>
      </c>
      <c r="J566" s="0" t="str">
        <f aca="false">IF(MOD(F566-1,3)=0,SUMPRODUCT(($A$2:$A$644=A566)*(ROW($A$2:$A$644)&gt;=ROW())*(ROW($A$2:$A$644)&lt;ROW()+3)*$C$2:$C$644),"")</f>
        <v/>
      </c>
      <c r="K566" s="0" t="str">
        <f aca="false">IF(J566="","",ROUNDUP(J566/75,0))</f>
        <v/>
      </c>
      <c r="L566" s="0" t="str">
        <f aca="false">IF(MOD(F566-1,5)=0,SUMPRODUCT(($A$2:$A$644=A566)*(ROW($A$2:$A$644)&gt;=ROW())*(ROW($A$2:$A$644)&lt;ROW()+5)*$C$2:$C$644),"")</f>
        <v/>
      </c>
      <c r="M566" s="0" t="str">
        <f aca="false">IF(L566="","",ROUNDUP(L566/75,0))</f>
        <v/>
      </c>
      <c r="N566" s="0" t="str">
        <f aca="false">IF(MOD(F566-1,7)=0,SUMPRODUCT(($A$2:$A$644=A566)*(ROW($A$2:$A$644)&gt;=ROW())*(ROW($A$2:$A$644)&lt;ROW()+7)*$C$2:$C$644),"")</f>
        <v/>
      </c>
      <c r="O566" s="0" t="str">
        <f aca="false">IF(N566="","",ROUNDUP(N566/75,0))</f>
        <v/>
      </c>
    </row>
    <row r="567" customFormat="false" ht="15" hidden="false" customHeight="false" outlineLevel="0" collapsed="false">
      <c r="A567" s="0" t="s">
        <v>462</v>
      </c>
      <c r="B567" s="0" t="s">
        <v>601</v>
      </c>
      <c r="C567" s="0" t="n">
        <v>42</v>
      </c>
      <c r="D567" s="0" t="n">
        <v>1</v>
      </c>
      <c r="E567" s="0" t="n">
        <v>33</v>
      </c>
      <c r="F567" s="0" t="n">
        <f aca="false">COUNTIF($A$2:A567,A567)</f>
        <v>139</v>
      </c>
      <c r="G567" s="0" t="n">
        <f aca="false">ROUNDUP(C567*1.236/75,0)</f>
        <v>1</v>
      </c>
      <c r="H567" s="0" t="n">
        <f aca="false">IF(MOD(F567-1,2)=0,SUMPRODUCT(($A$2:$A$644=A567)*(ROW($A$2:$A$644)&gt;=ROW())*(ROW($A$2:$A$644)&lt;ROW()+2)*$C$2:$C$644),"")</f>
        <v>156</v>
      </c>
      <c r="I567" s="0" t="n">
        <f aca="false">IF(H567="","",ROUNDUP(H567/75,0))</f>
        <v>3</v>
      </c>
      <c r="J567" s="0" t="n">
        <f aca="false">IF(MOD(F567-1,3)=0,SUMPRODUCT(($A$2:$A$644=A567)*(ROW($A$2:$A$644)&gt;=ROW())*(ROW($A$2:$A$644)&lt;ROW()+3)*$C$2:$C$644),"")</f>
        <v>210</v>
      </c>
      <c r="K567" s="0" t="n">
        <f aca="false">IF(J567="","",ROUNDUP(J567/75,0))</f>
        <v>3</v>
      </c>
      <c r="L567" s="0" t="str">
        <f aca="false">IF(MOD(F567-1,5)=0,SUMPRODUCT(($A$2:$A$644=A567)*(ROW($A$2:$A$644)&gt;=ROW())*(ROW($A$2:$A$644)&lt;ROW()+5)*$C$2:$C$644),"")</f>
        <v/>
      </c>
      <c r="M567" s="0" t="str">
        <f aca="false">IF(L567="","",ROUNDUP(L567/75,0))</f>
        <v/>
      </c>
      <c r="N567" s="0" t="str">
        <f aca="false">IF(MOD(F567-1,7)=0,SUMPRODUCT(($A$2:$A$644=A567)*(ROW($A$2:$A$644)&gt;=ROW())*(ROW($A$2:$A$644)&lt;ROW()+7)*$C$2:$C$644),"")</f>
        <v/>
      </c>
      <c r="O567" s="0" t="str">
        <f aca="false">IF(N567="","",ROUNDUP(N567/75,0))</f>
        <v/>
      </c>
    </row>
    <row r="568" customFormat="false" ht="15" hidden="false" customHeight="false" outlineLevel="0" collapsed="false">
      <c r="A568" s="0" t="s">
        <v>462</v>
      </c>
      <c r="B568" s="0" t="s">
        <v>602</v>
      </c>
      <c r="C568" s="0" t="n">
        <v>114</v>
      </c>
      <c r="D568" s="0" t="n">
        <v>2</v>
      </c>
      <c r="E568" s="0" t="n">
        <v>36</v>
      </c>
      <c r="F568" s="0" t="n">
        <f aca="false">COUNTIF($A$2:A568,A568)</f>
        <v>140</v>
      </c>
      <c r="G568" s="0" t="n">
        <f aca="false">ROUNDUP(C568*1.236/75,0)</f>
        <v>2</v>
      </c>
      <c r="H568" s="0" t="str">
        <f aca="false">IF(MOD(F568-1,2)=0,SUMPRODUCT(($A$2:$A$644=A568)*(ROW($A$2:$A$644)&gt;=ROW())*(ROW($A$2:$A$644)&lt;ROW()+2)*$C$2:$C$644),"")</f>
        <v/>
      </c>
      <c r="I568" s="0" t="str">
        <f aca="false">IF(H568="","",ROUNDUP(H568/75,0))</f>
        <v/>
      </c>
      <c r="J568" s="0" t="str">
        <f aca="false">IF(MOD(F568-1,3)=0,SUMPRODUCT(($A$2:$A$644=A568)*(ROW($A$2:$A$644)&gt;=ROW())*(ROW($A$2:$A$644)&lt;ROW()+3)*$C$2:$C$644),"")</f>
        <v/>
      </c>
      <c r="K568" s="0" t="str">
        <f aca="false">IF(J568="","",ROUNDUP(J568/75,0))</f>
        <v/>
      </c>
      <c r="L568" s="0" t="str">
        <f aca="false">IF(MOD(F568-1,5)=0,SUMPRODUCT(($A$2:$A$644=A568)*(ROW($A$2:$A$644)&gt;=ROW())*(ROW($A$2:$A$644)&lt;ROW()+5)*$C$2:$C$644),"")</f>
        <v/>
      </c>
      <c r="M568" s="0" t="str">
        <f aca="false">IF(L568="","",ROUNDUP(L568/75,0))</f>
        <v/>
      </c>
      <c r="N568" s="0" t="str">
        <f aca="false">IF(MOD(F568-1,7)=0,SUMPRODUCT(($A$2:$A$644=A568)*(ROW($A$2:$A$644)&gt;=ROW())*(ROW($A$2:$A$644)&lt;ROW()+7)*$C$2:$C$644),"")</f>
        <v/>
      </c>
      <c r="O568" s="0" t="str">
        <f aca="false">IF(N568="","",ROUNDUP(N568/75,0))</f>
        <v/>
      </c>
    </row>
    <row r="569" customFormat="false" ht="15" hidden="false" customHeight="false" outlineLevel="0" collapsed="false">
      <c r="A569" s="0" t="s">
        <v>462</v>
      </c>
      <c r="B569" s="0" t="s">
        <v>603</v>
      </c>
      <c r="C569" s="0" t="n">
        <v>54</v>
      </c>
      <c r="D569" s="0" t="n">
        <v>1</v>
      </c>
      <c r="E569" s="0" t="n">
        <v>21</v>
      </c>
      <c r="F569" s="0" t="n">
        <f aca="false">COUNTIF($A$2:A569,A569)</f>
        <v>141</v>
      </c>
      <c r="G569" s="0" t="n">
        <f aca="false">ROUNDUP(C569*1.236/75,0)</f>
        <v>1</v>
      </c>
      <c r="H569" s="0" t="n">
        <f aca="false">IF(MOD(F569-1,2)=0,SUMPRODUCT(($A$2:$A$644=A569)*(ROW($A$2:$A$644)&gt;=ROW())*(ROW($A$2:$A$644)&lt;ROW()+2)*$C$2:$C$644),"")</f>
        <v>198</v>
      </c>
      <c r="I569" s="0" t="n">
        <f aca="false">IF(H569="","",ROUNDUP(H569/75,0))</f>
        <v>3</v>
      </c>
      <c r="J569" s="0" t="str">
        <f aca="false">IF(MOD(F569-1,3)=0,SUMPRODUCT(($A$2:$A$644=A569)*(ROW($A$2:$A$644)&gt;=ROW())*(ROW($A$2:$A$644)&lt;ROW()+3)*$C$2:$C$644),"")</f>
        <v/>
      </c>
      <c r="K569" s="0" t="str">
        <f aca="false">IF(J569="","",ROUNDUP(J569/75,0))</f>
        <v/>
      </c>
      <c r="L569" s="0" t="n">
        <f aca="false">IF(MOD(F569-1,5)=0,SUMPRODUCT(($A$2:$A$644=A569)*(ROW($A$2:$A$644)&gt;=ROW())*(ROW($A$2:$A$644)&lt;ROW()+5)*$C$2:$C$644),"")</f>
        <v>282</v>
      </c>
      <c r="M569" s="0" t="n">
        <f aca="false">IF(L569="","",ROUNDUP(L569/75,0))</f>
        <v>4</v>
      </c>
      <c r="N569" s="0" t="n">
        <f aca="false">IF(MOD(F569-1,7)=0,SUMPRODUCT(($A$2:$A$644=A569)*(ROW($A$2:$A$644)&gt;=ROW())*(ROW($A$2:$A$644)&lt;ROW()+7)*$C$2:$C$644),"")</f>
        <v>378</v>
      </c>
      <c r="O569" s="0" t="n">
        <f aca="false">IF(N569="","",ROUNDUP(N569/75,0))</f>
        <v>6</v>
      </c>
    </row>
    <row r="570" customFormat="false" ht="15" hidden="false" customHeight="false" outlineLevel="0" collapsed="false">
      <c r="A570" s="0" t="s">
        <v>462</v>
      </c>
      <c r="B570" s="0" t="s">
        <v>604</v>
      </c>
      <c r="C570" s="0" t="n">
        <v>144</v>
      </c>
      <c r="D570" s="0" t="n">
        <v>2</v>
      </c>
      <c r="E570" s="0" t="n">
        <v>6</v>
      </c>
      <c r="F570" s="0" t="n">
        <f aca="false">COUNTIF($A$2:A570,A570)</f>
        <v>142</v>
      </c>
      <c r="G570" s="0" t="n">
        <f aca="false">ROUNDUP(C570*1.236/75,0)</f>
        <v>3</v>
      </c>
      <c r="H570" s="0" t="str">
        <f aca="false">IF(MOD(F570-1,2)=0,SUMPRODUCT(($A$2:$A$644=A570)*(ROW($A$2:$A$644)&gt;=ROW())*(ROW($A$2:$A$644)&lt;ROW()+2)*$C$2:$C$644),"")</f>
        <v/>
      </c>
      <c r="I570" s="0" t="str">
        <f aca="false">IF(H570="","",ROUNDUP(H570/75,0))</f>
        <v/>
      </c>
      <c r="J570" s="0" t="n">
        <f aca="false">IF(MOD(F570-1,3)=0,SUMPRODUCT(($A$2:$A$644=A570)*(ROW($A$2:$A$644)&gt;=ROW())*(ROW($A$2:$A$644)&lt;ROW()+3)*$C$2:$C$644),"")</f>
        <v>198</v>
      </c>
      <c r="K570" s="0" t="n">
        <f aca="false">IF(J570="","",ROUNDUP(J570/75,0))</f>
        <v>3</v>
      </c>
      <c r="L570" s="0" t="str">
        <f aca="false">IF(MOD(F570-1,5)=0,SUMPRODUCT(($A$2:$A$644=A570)*(ROW($A$2:$A$644)&gt;=ROW())*(ROW($A$2:$A$644)&lt;ROW()+5)*$C$2:$C$644),"")</f>
        <v/>
      </c>
      <c r="M570" s="0" t="str">
        <f aca="false">IF(L570="","",ROUNDUP(L570/75,0))</f>
        <v/>
      </c>
      <c r="N570" s="0" t="str">
        <f aca="false">IF(MOD(F570-1,7)=0,SUMPRODUCT(($A$2:$A$644=A570)*(ROW($A$2:$A$644)&gt;=ROW())*(ROW($A$2:$A$644)&lt;ROW()+7)*$C$2:$C$644),"")</f>
        <v/>
      </c>
      <c r="O570" s="0" t="str">
        <f aca="false">IF(N570="","",ROUNDUP(N570/75,0))</f>
        <v/>
      </c>
    </row>
    <row r="571" customFormat="false" ht="15" hidden="false" customHeight="false" outlineLevel="0" collapsed="false">
      <c r="A571" s="0" t="s">
        <v>462</v>
      </c>
      <c r="B571" s="0" t="s">
        <v>605</v>
      </c>
      <c r="C571" s="0" t="n">
        <v>30</v>
      </c>
      <c r="D571" s="0" t="n">
        <v>1</v>
      </c>
      <c r="E571" s="0" t="n">
        <v>45</v>
      </c>
      <c r="F571" s="0" t="n">
        <f aca="false">COUNTIF($A$2:A571,A571)</f>
        <v>143</v>
      </c>
      <c r="G571" s="0" t="n">
        <f aca="false">ROUNDUP(C571*1.236/75,0)</f>
        <v>1</v>
      </c>
      <c r="H571" s="0" t="n">
        <f aca="false">IF(MOD(F571-1,2)=0,SUMPRODUCT(($A$2:$A$644=A571)*(ROW($A$2:$A$644)&gt;=ROW())*(ROW($A$2:$A$644)&lt;ROW()+2)*$C$2:$C$644),"")</f>
        <v>54</v>
      </c>
      <c r="I571" s="0" t="n">
        <f aca="false">IF(H571="","",ROUNDUP(H571/75,0))</f>
        <v>1</v>
      </c>
      <c r="J571" s="0" t="str">
        <f aca="false">IF(MOD(F571-1,3)=0,SUMPRODUCT(($A$2:$A$644=A571)*(ROW($A$2:$A$644)&gt;=ROW())*(ROW($A$2:$A$644)&lt;ROW()+3)*$C$2:$C$644),"")</f>
        <v/>
      </c>
      <c r="K571" s="0" t="str">
        <f aca="false">IF(J571="","",ROUNDUP(J571/75,0))</f>
        <v/>
      </c>
      <c r="L571" s="0" t="str">
        <f aca="false">IF(MOD(F571-1,5)=0,SUMPRODUCT(($A$2:$A$644=A571)*(ROW($A$2:$A$644)&gt;=ROW())*(ROW($A$2:$A$644)&lt;ROW()+5)*$C$2:$C$644),"")</f>
        <v/>
      </c>
      <c r="M571" s="0" t="str">
        <f aca="false">IF(L571="","",ROUNDUP(L571/75,0))</f>
        <v/>
      </c>
      <c r="N571" s="0" t="str">
        <f aca="false">IF(MOD(F571-1,7)=0,SUMPRODUCT(($A$2:$A$644=A571)*(ROW($A$2:$A$644)&gt;=ROW())*(ROW($A$2:$A$644)&lt;ROW()+7)*$C$2:$C$644),"")</f>
        <v/>
      </c>
      <c r="O571" s="0" t="str">
        <f aca="false">IF(N571="","",ROUNDUP(N571/75,0))</f>
        <v/>
      </c>
    </row>
    <row r="572" customFormat="false" ht="15" hidden="false" customHeight="false" outlineLevel="0" collapsed="false">
      <c r="A572" s="0" t="s">
        <v>462</v>
      </c>
      <c r="B572" s="0" t="s">
        <v>606</v>
      </c>
      <c r="C572" s="0" t="n">
        <v>24</v>
      </c>
      <c r="D572" s="0" t="n">
        <v>1</v>
      </c>
      <c r="E572" s="0" t="n">
        <v>51</v>
      </c>
      <c r="F572" s="0" t="n">
        <f aca="false">COUNTIF($A$2:A572,A572)</f>
        <v>144</v>
      </c>
      <c r="G572" s="0" t="n">
        <f aca="false">ROUNDUP(C572*1.236/75,0)</f>
        <v>1</v>
      </c>
      <c r="H572" s="0" t="str">
        <f aca="false">IF(MOD(F572-1,2)=0,SUMPRODUCT(($A$2:$A$644=A572)*(ROW($A$2:$A$644)&gt;=ROW())*(ROW($A$2:$A$644)&lt;ROW()+2)*$C$2:$C$644),"")</f>
        <v/>
      </c>
      <c r="I572" s="0" t="str">
        <f aca="false">IF(H572="","",ROUNDUP(H572/75,0))</f>
        <v/>
      </c>
      <c r="J572" s="0" t="str">
        <f aca="false">IF(MOD(F572-1,3)=0,SUMPRODUCT(($A$2:$A$644=A572)*(ROW($A$2:$A$644)&gt;=ROW())*(ROW($A$2:$A$644)&lt;ROW()+3)*$C$2:$C$644),"")</f>
        <v/>
      </c>
      <c r="K572" s="0" t="str">
        <f aca="false">IF(J572="","",ROUNDUP(J572/75,0))</f>
        <v/>
      </c>
      <c r="L572" s="0" t="str">
        <f aca="false">IF(MOD(F572-1,5)=0,SUMPRODUCT(($A$2:$A$644=A572)*(ROW($A$2:$A$644)&gt;=ROW())*(ROW($A$2:$A$644)&lt;ROW()+5)*$C$2:$C$644),"")</f>
        <v/>
      </c>
      <c r="M572" s="0" t="str">
        <f aca="false">IF(L572="","",ROUNDUP(L572/75,0))</f>
        <v/>
      </c>
      <c r="N572" s="0" t="str">
        <f aca="false">IF(MOD(F572-1,7)=0,SUMPRODUCT(($A$2:$A$644=A572)*(ROW($A$2:$A$644)&gt;=ROW())*(ROW($A$2:$A$644)&lt;ROW()+7)*$C$2:$C$644),"")</f>
        <v/>
      </c>
      <c r="O572" s="0" t="str">
        <f aca="false">IF(N572="","",ROUNDUP(N572/75,0))</f>
        <v/>
      </c>
    </row>
    <row r="573" customFormat="false" ht="15" hidden="false" customHeight="false" outlineLevel="0" collapsed="false">
      <c r="A573" s="0" t="s">
        <v>462</v>
      </c>
      <c r="B573" s="0" t="s">
        <v>607</v>
      </c>
      <c r="C573" s="0" t="n">
        <v>30</v>
      </c>
      <c r="D573" s="0" t="n">
        <v>1</v>
      </c>
      <c r="E573" s="0" t="n">
        <v>45</v>
      </c>
      <c r="F573" s="0" t="n">
        <f aca="false">COUNTIF($A$2:A573,A573)</f>
        <v>145</v>
      </c>
      <c r="G573" s="0" t="n">
        <f aca="false">ROUNDUP(C573*1.236/75,0)</f>
        <v>1</v>
      </c>
      <c r="H573" s="0" t="n">
        <f aca="false">IF(MOD(F573-1,2)=0,SUMPRODUCT(($A$2:$A$644=A573)*(ROW($A$2:$A$644)&gt;=ROW())*(ROW($A$2:$A$644)&lt;ROW()+2)*$C$2:$C$644),"")</f>
        <v>48</v>
      </c>
      <c r="I573" s="0" t="n">
        <f aca="false">IF(H573="","",ROUNDUP(H573/75,0))</f>
        <v>1</v>
      </c>
      <c r="J573" s="0" t="n">
        <f aca="false">IF(MOD(F573-1,3)=0,SUMPRODUCT(($A$2:$A$644=A573)*(ROW($A$2:$A$644)&gt;=ROW())*(ROW($A$2:$A$644)&lt;ROW()+3)*$C$2:$C$644),"")</f>
        <v>126</v>
      </c>
      <c r="K573" s="0" t="n">
        <f aca="false">IF(J573="","",ROUNDUP(J573/75,0))</f>
        <v>2</v>
      </c>
      <c r="L573" s="0" t="str">
        <f aca="false">IF(MOD(F573-1,5)=0,SUMPRODUCT(($A$2:$A$644=A573)*(ROW($A$2:$A$644)&gt;=ROW())*(ROW($A$2:$A$644)&lt;ROW()+5)*$C$2:$C$644),"")</f>
        <v/>
      </c>
      <c r="M573" s="0" t="str">
        <f aca="false">IF(L573="","",ROUNDUP(L573/75,0))</f>
        <v/>
      </c>
      <c r="N573" s="0" t="str">
        <f aca="false">IF(MOD(F573-1,7)=0,SUMPRODUCT(($A$2:$A$644=A573)*(ROW($A$2:$A$644)&gt;=ROW())*(ROW($A$2:$A$644)&lt;ROW()+7)*$C$2:$C$644),"")</f>
        <v/>
      </c>
      <c r="O573" s="0" t="str">
        <f aca="false">IF(N573="","",ROUNDUP(N573/75,0))</f>
        <v/>
      </c>
    </row>
    <row r="574" customFormat="false" ht="15" hidden="false" customHeight="false" outlineLevel="0" collapsed="false">
      <c r="A574" s="0" t="s">
        <v>462</v>
      </c>
      <c r="B574" s="0" t="s">
        <v>608</v>
      </c>
      <c r="C574" s="0" t="n">
        <v>18</v>
      </c>
      <c r="D574" s="0" t="n">
        <v>1</v>
      </c>
      <c r="E574" s="0" t="n">
        <v>57</v>
      </c>
      <c r="F574" s="0" t="n">
        <f aca="false">COUNTIF($A$2:A574,A574)</f>
        <v>146</v>
      </c>
      <c r="G574" s="0" t="n">
        <f aca="false">ROUNDUP(C574*1.236/75,0)</f>
        <v>1</v>
      </c>
      <c r="H574" s="0" t="str">
        <f aca="false">IF(MOD(F574-1,2)=0,SUMPRODUCT(($A$2:$A$644=A574)*(ROW($A$2:$A$644)&gt;=ROW())*(ROW($A$2:$A$644)&lt;ROW()+2)*$C$2:$C$644),"")</f>
        <v/>
      </c>
      <c r="I574" s="0" t="str">
        <f aca="false">IF(H574="","",ROUNDUP(H574/75,0))</f>
        <v/>
      </c>
      <c r="J574" s="0" t="str">
        <f aca="false">IF(MOD(F574-1,3)=0,SUMPRODUCT(($A$2:$A$644=A574)*(ROW($A$2:$A$644)&gt;=ROW())*(ROW($A$2:$A$644)&lt;ROW()+3)*$C$2:$C$644),"")</f>
        <v/>
      </c>
      <c r="K574" s="0" t="str">
        <f aca="false">IF(J574="","",ROUNDUP(J574/75,0))</f>
        <v/>
      </c>
      <c r="L574" s="0" t="n">
        <f aca="false">IF(MOD(F574-1,5)=0,SUMPRODUCT(($A$2:$A$644=A574)*(ROW($A$2:$A$644)&gt;=ROW())*(ROW($A$2:$A$644)&lt;ROW()+5)*$C$2:$C$644),"")</f>
        <v>267</v>
      </c>
      <c r="M574" s="0" t="n">
        <f aca="false">IF(L574="","",ROUNDUP(L574/75,0))</f>
        <v>4</v>
      </c>
      <c r="N574" s="0" t="str">
        <f aca="false">IF(MOD(F574-1,7)=0,SUMPRODUCT(($A$2:$A$644=A574)*(ROW($A$2:$A$644)&gt;=ROW())*(ROW($A$2:$A$644)&lt;ROW()+7)*$C$2:$C$644),"")</f>
        <v/>
      </c>
      <c r="O574" s="0" t="str">
        <f aca="false">IF(N574="","",ROUNDUP(N574/75,0))</f>
        <v/>
      </c>
    </row>
    <row r="575" customFormat="false" ht="15" hidden="false" customHeight="false" outlineLevel="0" collapsed="false">
      <c r="A575" s="0" t="s">
        <v>462</v>
      </c>
      <c r="B575" s="0" t="s">
        <v>609</v>
      </c>
      <c r="C575" s="0" t="n">
        <v>78</v>
      </c>
      <c r="D575" s="0" t="n">
        <v>2</v>
      </c>
      <c r="E575" s="0" t="n">
        <v>72</v>
      </c>
      <c r="F575" s="0" t="n">
        <f aca="false">COUNTIF($A$2:A575,A575)</f>
        <v>147</v>
      </c>
      <c r="G575" s="0" t="n">
        <f aca="false">ROUNDUP(C575*1.236/75,0)</f>
        <v>2</v>
      </c>
      <c r="H575" s="0" t="n">
        <f aca="false">IF(MOD(F575-1,2)=0,SUMPRODUCT(($A$2:$A$644=A575)*(ROW($A$2:$A$644)&gt;=ROW())*(ROW($A$2:$A$644)&lt;ROW()+2)*$C$2:$C$644),"")</f>
        <v>108</v>
      </c>
      <c r="I575" s="0" t="n">
        <f aca="false">IF(H575="","",ROUNDUP(H575/75,0))</f>
        <v>2</v>
      </c>
      <c r="J575" s="0" t="str">
        <f aca="false">IF(MOD(F575-1,3)=0,SUMPRODUCT(($A$2:$A$644=A575)*(ROW($A$2:$A$644)&gt;=ROW())*(ROW($A$2:$A$644)&lt;ROW()+3)*$C$2:$C$644),"")</f>
        <v/>
      </c>
      <c r="K575" s="0" t="str">
        <f aca="false">IF(J575="","",ROUNDUP(J575/75,0))</f>
        <v/>
      </c>
      <c r="L575" s="0" t="str">
        <f aca="false">IF(MOD(F575-1,5)=0,SUMPRODUCT(($A$2:$A$644=A575)*(ROW($A$2:$A$644)&gt;=ROW())*(ROW($A$2:$A$644)&lt;ROW()+5)*$C$2:$C$644),"")</f>
        <v/>
      </c>
      <c r="M575" s="0" t="str">
        <f aca="false">IF(L575="","",ROUNDUP(L575/75,0))</f>
        <v/>
      </c>
      <c r="N575" s="0" t="str">
        <f aca="false">IF(MOD(F575-1,7)=0,SUMPRODUCT(($A$2:$A$644=A575)*(ROW($A$2:$A$644)&gt;=ROW())*(ROW($A$2:$A$644)&lt;ROW()+7)*$C$2:$C$644),"")</f>
        <v/>
      </c>
      <c r="O575" s="0" t="str">
        <f aca="false">IF(N575="","",ROUNDUP(N575/75,0))</f>
        <v/>
      </c>
    </row>
    <row r="576" customFormat="false" ht="15" hidden="false" customHeight="false" outlineLevel="0" collapsed="false">
      <c r="A576" s="0" t="s">
        <v>462</v>
      </c>
      <c r="B576" s="0" t="s">
        <v>610</v>
      </c>
      <c r="C576" s="0" t="n">
        <v>30</v>
      </c>
      <c r="D576" s="0" t="n">
        <v>1</v>
      </c>
      <c r="E576" s="0" t="n">
        <v>45</v>
      </c>
      <c r="F576" s="0" t="n">
        <f aca="false">COUNTIF($A$2:A576,A576)</f>
        <v>148</v>
      </c>
      <c r="G576" s="0" t="n">
        <f aca="false">ROUNDUP(C576*1.236/75,0)</f>
        <v>1</v>
      </c>
      <c r="H576" s="0" t="str">
        <f aca="false">IF(MOD(F576-1,2)=0,SUMPRODUCT(($A$2:$A$644=A576)*(ROW($A$2:$A$644)&gt;=ROW())*(ROW($A$2:$A$644)&lt;ROW()+2)*$C$2:$C$644),"")</f>
        <v/>
      </c>
      <c r="I576" s="0" t="str">
        <f aca="false">IF(H576="","",ROUNDUP(H576/75,0))</f>
        <v/>
      </c>
      <c r="J576" s="0" t="n">
        <f aca="false">IF(MOD(F576-1,3)=0,SUMPRODUCT(($A$2:$A$644=A576)*(ROW($A$2:$A$644)&gt;=ROW())*(ROW($A$2:$A$644)&lt;ROW()+3)*$C$2:$C$644),"")</f>
        <v>171</v>
      </c>
      <c r="K576" s="0" t="n">
        <f aca="false">IF(J576="","",ROUNDUP(J576/75,0))</f>
        <v>3</v>
      </c>
      <c r="L576" s="0" t="str">
        <f aca="false">IF(MOD(F576-1,5)=0,SUMPRODUCT(($A$2:$A$644=A576)*(ROW($A$2:$A$644)&gt;=ROW())*(ROW($A$2:$A$644)&lt;ROW()+5)*$C$2:$C$644),"")</f>
        <v/>
      </c>
      <c r="M576" s="0" t="str">
        <f aca="false">IF(L576="","",ROUNDUP(L576/75,0))</f>
        <v/>
      </c>
      <c r="N576" s="0" t="n">
        <f aca="false">IF(MOD(F576-1,7)=0,SUMPRODUCT(($A$2:$A$644=A576)*(ROW($A$2:$A$644)&gt;=ROW())*(ROW($A$2:$A$644)&lt;ROW()+7)*$C$2:$C$644),"")</f>
        <v>399</v>
      </c>
      <c r="O576" s="0" t="n">
        <f aca="false">IF(N576="","",ROUNDUP(N576/75,0))</f>
        <v>6</v>
      </c>
    </row>
    <row r="577" customFormat="false" ht="15" hidden="false" customHeight="false" outlineLevel="0" collapsed="false">
      <c r="A577" s="0" t="s">
        <v>462</v>
      </c>
      <c r="B577" s="0" t="s">
        <v>611</v>
      </c>
      <c r="C577" s="0" t="n">
        <v>51</v>
      </c>
      <c r="D577" s="0" t="n">
        <v>1</v>
      </c>
      <c r="E577" s="0" t="n">
        <v>24</v>
      </c>
      <c r="F577" s="0" t="n">
        <f aca="false">COUNTIF($A$2:A577,A577)</f>
        <v>149</v>
      </c>
      <c r="G577" s="0" t="n">
        <f aca="false">ROUNDUP(C577*1.236/75,0)</f>
        <v>1</v>
      </c>
      <c r="H577" s="0" t="n">
        <f aca="false">IF(MOD(F577-1,2)=0,SUMPRODUCT(($A$2:$A$644=A577)*(ROW($A$2:$A$644)&gt;=ROW())*(ROW($A$2:$A$644)&lt;ROW()+2)*$C$2:$C$644),"")</f>
        <v>141</v>
      </c>
      <c r="I577" s="0" t="n">
        <f aca="false">IF(H577="","",ROUNDUP(H577/75,0))</f>
        <v>2</v>
      </c>
      <c r="J577" s="0" t="str">
        <f aca="false">IF(MOD(F577-1,3)=0,SUMPRODUCT(($A$2:$A$644=A577)*(ROW($A$2:$A$644)&gt;=ROW())*(ROW($A$2:$A$644)&lt;ROW()+3)*$C$2:$C$644),"")</f>
        <v/>
      </c>
      <c r="K577" s="0" t="str">
        <f aca="false">IF(J577="","",ROUNDUP(J577/75,0))</f>
        <v/>
      </c>
      <c r="L577" s="0" t="str">
        <f aca="false">IF(MOD(F577-1,5)=0,SUMPRODUCT(($A$2:$A$644=A577)*(ROW($A$2:$A$644)&gt;=ROW())*(ROW($A$2:$A$644)&lt;ROW()+5)*$C$2:$C$644),"")</f>
        <v/>
      </c>
      <c r="M577" s="0" t="str">
        <f aca="false">IF(L577="","",ROUNDUP(L577/75,0))</f>
        <v/>
      </c>
      <c r="N577" s="0" t="str">
        <f aca="false">IF(MOD(F577-1,7)=0,SUMPRODUCT(($A$2:$A$644=A577)*(ROW($A$2:$A$644)&gt;=ROW())*(ROW($A$2:$A$644)&lt;ROW()+7)*$C$2:$C$644),"")</f>
        <v/>
      </c>
      <c r="O577" s="0" t="str">
        <f aca="false">IF(N577="","",ROUNDUP(N577/75,0))</f>
        <v/>
      </c>
    </row>
    <row r="578" customFormat="false" ht="15" hidden="false" customHeight="false" outlineLevel="0" collapsed="false">
      <c r="A578" s="0" t="s">
        <v>462</v>
      </c>
      <c r="B578" s="0" t="s">
        <v>612</v>
      </c>
      <c r="C578" s="0" t="n">
        <v>90</v>
      </c>
      <c r="D578" s="0" t="n">
        <v>2</v>
      </c>
      <c r="E578" s="0" t="n">
        <v>60</v>
      </c>
      <c r="F578" s="0" t="n">
        <f aca="false">COUNTIF($A$2:A578,A578)</f>
        <v>150</v>
      </c>
      <c r="G578" s="0" t="n">
        <f aca="false">ROUNDUP(C578*1.236/75,0)</f>
        <v>2</v>
      </c>
      <c r="H578" s="0" t="str">
        <f aca="false">IF(MOD(F578-1,2)=0,SUMPRODUCT(($A$2:$A$644=A578)*(ROW($A$2:$A$644)&gt;=ROW())*(ROW($A$2:$A$644)&lt;ROW()+2)*$C$2:$C$644),"")</f>
        <v/>
      </c>
      <c r="I578" s="0" t="str">
        <f aca="false">IF(H578="","",ROUNDUP(H578/75,0))</f>
        <v/>
      </c>
      <c r="J578" s="0" t="str">
        <f aca="false">IF(MOD(F578-1,3)=0,SUMPRODUCT(($A$2:$A$644=A578)*(ROW($A$2:$A$644)&gt;=ROW())*(ROW($A$2:$A$644)&lt;ROW()+3)*$C$2:$C$644),"")</f>
        <v/>
      </c>
      <c r="K578" s="0" t="str">
        <f aca="false">IF(J578="","",ROUNDUP(J578/75,0))</f>
        <v/>
      </c>
      <c r="L578" s="0" t="str">
        <f aca="false">IF(MOD(F578-1,5)=0,SUMPRODUCT(($A$2:$A$644=A578)*(ROW($A$2:$A$644)&gt;=ROW())*(ROW($A$2:$A$644)&lt;ROW()+5)*$C$2:$C$644),"")</f>
        <v/>
      </c>
      <c r="M578" s="0" t="str">
        <f aca="false">IF(L578="","",ROUNDUP(L578/75,0))</f>
        <v/>
      </c>
      <c r="N578" s="0" t="str">
        <f aca="false">IF(MOD(F578-1,7)=0,SUMPRODUCT(($A$2:$A$644=A578)*(ROW($A$2:$A$644)&gt;=ROW())*(ROW($A$2:$A$644)&lt;ROW()+7)*$C$2:$C$644),"")</f>
        <v/>
      </c>
      <c r="O578" s="0" t="str">
        <f aca="false">IF(N578="","",ROUNDUP(N578/75,0))</f>
        <v/>
      </c>
    </row>
    <row r="579" customFormat="false" ht="15" hidden="false" customHeight="false" outlineLevel="0" collapsed="false">
      <c r="A579" s="0" t="s">
        <v>462</v>
      </c>
      <c r="B579" s="0" t="s">
        <v>613</v>
      </c>
      <c r="C579" s="0" t="n">
        <v>72</v>
      </c>
      <c r="D579" s="0" t="n">
        <v>1</v>
      </c>
      <c r="E579" s="0" t="n">
        <v>3</v>
      </c>
      <c r="F579" s="0" t="n">
        <f aca="false">COUNTIF($A$2:A579,A579)</f>
        <v>151</v>
      </c>
      <c r="G579" s="0" t="n">
        <f aca="false">ROUNDUP(C579*1.236/75,0)</f>
        <v>2</v>
      </c>
      <c r="H579" s="0" t="n">
        <f aca="false">IF(MOD(F579-1,2)=0,SUMPRODUCT(($A$2:$A$644=A579)*(ROW($A$2:$A$644)&gt;=ROW())*(ROW($A$2:$A$644)&lt;ROW()+2)*$C$2:$C$644),"")</f>
        <v>120</v>
      </c>
      <c r="I579" s="0" t="n">
        <f aca="false">IF(H579="","",ROUNDUP(H579/75,0))</f>
        <v>2</v>
      </c>
      <c r="J579" s="0" t="n">
        <f aca="false">IF(MOD(F579-1,3)=0,SUMPRODUCT(($A$2:$A$644=A579)*(ROW($A$2:$A$644)&gt;=ROW())*(ROW($A$2:$A$644)&lt;ROW()+3)*$C$2:$C$644),"")</f>
        <v>168</v>
      </c>
      <c r="K579" s="0" t="n">
        <f aca="false">IF(J579="","",ROUNDUP(J579/75,0))</f>
        <v>3</v>
      </c>
      <c r="L579" s="0" t="n">
        <f aca="false">IF(MOD(F579-1,5)=0,SUMPRODUCT(($A$2:$A$644=A579)*(ROW($A$2:$A$644)&gt;=ROW())*(ROW($A$2:$A$644)&lt;ROW()+5)*$C$2:$C$644),"")</f>
        <v>264</v>
      </c>
      <c r="M579" s="0" t="n">
        <f aca="false">IF(L579="","",ROUNDUP(L579/75,0))</f>
        <v>4</v>
      </c>
      <c r="N579" s="0" t="str">
        <f aca="false">IF(MOD(F579-1,7)=0,SUMPRODUCT(($A$2:$A$644=A579)*(ROW($A$2:$A$644)&gt;=ROW())*(ROW($A$2:$A$644)&lt;ROW()+7)*$C$2:$C$644),"")</f>
        <v/>
      </c>
      <c r="O579" s="0" t="str">
        <f aca="false">IF(N579="","",ROUNDUP(N579/75,0))</f>
        <v/>
      </c>
    </row>
    <row r="580" customFormat="false" ht="15" hidden="false" customHeight="false" outlineLevel="0" collapsed="false">
      <c r="A580" s="0" t="s">
        <v>462</v>
      </c>
      <c r="B580" s="0" t="s">
        <v>614</v>
      </c>
      <c r="C580" s="0" t="n">
        <v>48</v>
      </c>
      <c r="D580" s="0" t="n">
        <v>1</v>
      </c>
      <c r="E580" s="0" t="n">
        <v>27</v>
      </c>
      <c r="F580" s="0" t="n">
        <f aca="false">COUNTIF($A$2:A580,A580)</f>
        <v>152</v>
      </c>
      <c r="G580" s="0" t="n">
        <f aca="false">ROUNDUP(C580*1.236/75,0)</f>
        <v>1</v>
      </c>
      <c r="H580" s="0" t="str">
        <f aca="false">IF(MOD(F580-1,2)=0,SUMPRODUCT(($A$2:$A$644=A580)*(ROW($A$2:$A$644)&gt;=ROW())*(ROW($A$2:$A$644)&lt;ROW()+2)*$C$2:$C$644),"")</f>
        <v/>
      </c>
      <c r="I580" s="0" t="str">
        <f aca="false">IF(H580="","",ROUNDUP(H580/75,0))</f>
        <v/>
      </c>
      <c r="J580" s="0" t="str">
        <f aca="false">IF(MOD(F580-1,3)=0,SUMPRODUCT(($A$2:$A$644=A580)*(ROW($A$2:$A$644)&gt;=ROW())*(ROW($A$2:$A$644)&lt;ROW()+3)*$C$2:$C$644),"")</f>
        <v/>
      </c>
      <c r="K580" s="0" t="str">
        <f aca="false">IF(J580="","",ROUNDUP(J580/75,0))</f>
        <v/>
      </c>
      <c r="L580" s="0" t="str">
        <f aca="false">IF(MOD(F580-1,5)=0,SUMPRODUCT(($A$2:$A$644=A580)*(ROW($A$2:$A$644)&gt;=ROW())*(ROW($A$2:$A$644)&lt;ROW()+5)*$C$2:$C$644),"")</f>
        <v/>
      </c>
      <c r="M580" s="0" t="str">
        <f aca="false">IF(L580="","",ROUNDUP(L580/75,0))</f>
        <v/>
      </c>
      <c r="N580" s="0" t="str">
        <f aca="false">IF(MOD(F580-1,7)=0,SUMPRODUCT(($A$2:$A$644=A580)*(ROW($A$2:$A$644)&gt;=ROW())*(ROW($A$2:$A$644)&lt;ROW()+7)*$C$2:$C$644),"")</f>
        <v/>
      </c>
      <c r="O580" s="0" t="str">
        <f aca="false">IF(N580="","",ROUNDUP(N580/75,0))</f>
        <v/>
      </c>
    </row>
    <row r="581" customFormat="false" ht="15" hidden="false" customHeight="false" outlineLevel="0" collapsed="false">
      <c r="A581" s="0" t="s">
        <v>462</v>
      </c>
      <c r="B581" s="0" t="s">
        <v>615</v>
      </c>
      <c r="C581" s="0" t="n">
        <v>48</v>
      </c>
      <c r="D581" s="0" t="n">
        <v>1</v>
      </c>
      <c r="E581" s="0" t="n">
        <v>27</v>
      </c>
      <c r="F581" s="0" t="n">
        <f aca="false">COUNTIF($A$2:A581,A581)</f>
        <v>153</v>
      </c>
      <c r="G581" s="0" t="n">
        <f aca="false">ROUNDUP(C581*1.236/75,0)</f>
        <v>1</v>
      </c>
      <c r="H581" s="0" t="n">
        <f aca="false">IF(MOD(F581-1,2)=0,SUMPRODUCT(($A$2:$A$644=A581)*(ROW($A$2:$A$644)&gt;=ROW())*(ROW($A$2:$A$644)&lt;ROW()+2)*$C$2:$C$644),"")</f>
        <v>108</v>
      </c>
      <c r="I581" s="0" t="n">
        <f aca="false">IF(H581="","",ROUNDUP(H581/75,0))</f>
        <v>2</v>
      </c>
      <c r="J581" s="0" t="str">
        <f aca="false">IF(MOD(F581-1,3)=0,SUMPRODUCT(($A$2:$A$644=A581)*(ROW($A$2:$A$644)&gt;=ROW())*(ROW($A$2:$A$644)&lt;ROW()+3)*$C$2:$C$644),"")</f>
        <v/>
      </c>
      <c r="K581" s="0" t="str">
        <f aca="false">IF(J581="","",ROUNDUP(J581/75,0))</f>
        <v/>
      </c>
      <c r="L581" s="0" t="str">
        <f aca="false">IF(MOD(F581-1,5)=0,SUMPRODUCT(($A$2:$A$644=A581)*(ROW($A$2:$A$644)&gt;=ROW())*(ROW($A$2:$A$644)&lt;ROW()+5)*$C$2:$C$644),"")</f>
        <v/>
      </c>
      <c r="M581" s="0" t="str">
        <f aca="false">IF(L581="","",ROUNDUP(L581/75,0))</f>
        <v/>
      </c>
      <c r="N581" s="0" t="str">
        <f aca="false">IF(MOD(F581-1,7)=0,SUMPRODUCT(($A$2:$A$644=A581)*(ROW($A$2:$A$644)&gt;=ROW())*(ROW($A$2:$A$644)&lt;ROW()+7)*$C$2:$C$644),"")</f>
        <v/>
      </c>
      <c r="O581" s="0" t="str">
        <f aca="false">IF(N581="","",ROUNDUP(N581/75,0))</f>
        <v/>
      </c>
    </row>
    <row r="582" customFormat="false" ht="15" hidden="false" customHeight="false" outlineLevel="0" collapsed="false">
      <c r="A582" s="0" t="s">
        <v>462</v>
      </c>
      <c r="B582" s="0" t="s">
        <v>616</v>
      </c>
      <c r="C582" s="0" t="n">
        <v>60</v>
      </c>
      <c r="D582" s="0" t="n">
        <v>1</v>
      </c>
      <c r="E582" s="0" t="n">
        <v>15</v>
      </c>
      <c r="F582" s="0" t="n">
        <f aca="false">COUNTIF($A$2:A582,A582)</f>
        <v>154</v>
      </c>
      <c r="G582" s="0" t="n">
        <f aca="false">ROUNDUP(C582*1.236/75,0)</f>
        <v>1</v>
      </c>
      <c r="H582" s="0" t="str">
        <f aca="false">IF(MOD(F582-1,2)=0,SUMPRODUCT(($A$2:$A$644=A582)*(ROW($A$2:$A$644)&gt;=ROW())*(ROW($A$2:$A$644)&lt;ROW()+2)*$C$2:$C$644),"")</f>
        <v/>
      </c>
      <c r="I582" s="0" t="str">
        <f aca="false">IF(H582="","",ROUNDUP(H582/75,0))</f>
        <v/>
      </c>
      <c r="J582" s="0" t="n">
        <f aca="false">IF(MOD(F582-1,3)=0,SUMPRODUCT(($A$2:$A$644=A582)*(ROW($A$2:$A$644)&gt;=ROW())*(ROW($A$2:$A$644)&lt;ROW()+3)*$C$2:$C$644),"")</f>
        <v>150</v>
      </c>
      <c r="K582" s="0" t="n">
        <f aca="false">IF(J582="","",ROUNDUP(J582/75,0))</f>
        <v>2</v>
      </c>
      <c r="L582" s="0" t="str">
        <f aca="false">IF(MOD(F582-1,5)=0,SUMPRODUCT(($A$2:$A$644=A582)*(ROW($A$2:$A$644)&gt;=ROW())*(ROW($A$2:$A$644)&lt;ROW()+5)*$C$2:$C$644),"")</f>
        <v/>
      </c>
      <c r="M582" s="0" t="str">
        <f aca="false">IF(L582="","",ROUNDUP(L582/75,0))</f>
        <v/>
      </c>
      <c r="N582" s="0" t="str">
        <f aca="false">IF(MOD(F582-1,7)=0,SUMPRODUCT(($A$2:$A$644=A582)*(ROW($A$2:$A$644)&gt;=ROW())*(ROW($A$2:$A$644)&lt;ROW()+7)*$C$2:$C$644),"")</f>
        <v/>
      </c>
      <c r="O582" s="0" t="str">
        <f aca="false">IF(N582="","",ROUNDUP(N582/75,0))</f>
        <v/>
      </c>
    </row>
    <row r="583" customFormat="false" ht="15" hidden="false" customHeight="false" outlineLevel="0" collapsed="false">
      <c r="A583" s="0" t="s">
        <v>462</v>
      </c>
      <c r="B583" s="0" t="s">
        <v>617</v>
      </c>
      <c r="C583" s="0" t="n">
        <v>36</v>
      </c>
      <c r="D583" s="0" t="n">
        <v>1</v>
      </c>
      <c r="E583" s="0" t="n">
        <v>39</v>
      </c>
      <c r="F583" s="0" t="n">
        <f aca="false">COUNTIF($A$2:A583,A583)</f>
        <v>155</v>
      </c>
      <c r="G583" s="0" t="n">
        <f aca="false">ROUNDUP(C583*1.236/75,0)</f>
        <v>1</v>
      </c>
      <c r="H583" s="0" t="n">
        <f aca="false">IF(MOD(F583-1,2)=0,SUMPRODUCT(($A$2:$A$644=A583)*(ROW($A$2:$A$644)&gt;=ROW())*(ROW($A$2:$A$644)&lt;ROW()+2)*$C$2:$C$644),"")</f>
        <v>90</v>
      </c>
      <c r="I583" s="0" t="n">
        <f aca="false">IF(H583="","",ROUNDUP(H583/75,0))</f>
        <v>2</v>
      </c>
      <c r="J583" s="0" t="str">
        <f aca="false">IF(MOD(F583-1,3)=0,SUMPRODUCT(($A$2:$A$644=A583)*(ROW($A$2:$A$644)&gt;=ROW())*(ROW($A$2:$A$644)&lt;ROW()+3)*$C$2:$C$644),"")</f>
        <v/>
      </c>
      <c r="K583" s="0" t="str">
        <f aca="false">IF(J583="","",ROUNDUP(J583/75,0))</f>
        <v/>
      </c>
      <c r="L583" s="0" t="str">
        <f aca="false">IF(MOD(F583-1,5)=0,SUMPRODUCT(($A$2:$A$644=A583)*(ROW($A$2:$A$644)&gt;=ROW())*(ROW($A$2:$A$644)&lt;ROW()+5)*$C$2:$C$644),"")</f>
        <v/>
      </c>
      <c r="M583" s="0" t="str">
        <f aca="false">IF(L583="","",ROUNDUP(L583/75,0))</f>
        <v/>
      </c>
      <c r="N583" s="0" t="n">
        <f aca="false">IF(MOD(F583-1,7)=0,SUMPRODUCT(($A$2:$A$644=A583)*(ROW($A$2:$A$644)&gt;=ROW())*(ROW($A$2:$A$644)&lt;ROW()+7)*$C$2:$C$644),"")</f>
        <v>342</v>
      </c>
      <c r="O583" s="0" t="n">
        <f aca="false">IF(N583="","",ROUNDUP(N583/75,0))</f>
        <v>5</v>
      </c>
    </row>
    <row r="584" customFormat="false" ht="15" hidden="false" customHeight="false" outlineLevel="0" collapsed="false">
      <c r="A584" s="0" t="s">
        <v>462</v>
      </c>
      <c r="B584" s="0" t="s">
        <v>618</v>
      </c>
      <c r="C584" s="0" t="n">
        <v>54</v>
      </c>
      <c r="D584" s="0" t="n">
        <v>1</v>
      </c>
      <c r="E584" s="0" t="n">
        <v>21</v>
      </c>
      <c r="F584" s="0" t="n">
        <f aca="false">COUNTIF($A$2:A584,A584)</f>
        <v>156</v>
      </c>
      <c r="G584" s="0" t="n">
        <f aca="false">ROUNDUP(C584*1.236/75,0)</f>
        <v>1</v>
      </c>
      <c r="H584" s="0" t="str">
        <f aca="false">IF(MOD(F584-1,2)=0,SUMPRODUCT(($A$2:$A$644=A584)*(ROW($A$2:$A$644)&gt;=ROW())*(ROW($A$2:$A$644)&lt;ROW()+2)*$C$2:$C$644),"")</f>
        <v/>
      </c>
      <c r="I584" s="0" t="str">
        <f aca="false">IF(H584="","",ROUNDUP(H584/75,0))</f>
        <v/>
      </c>
      <c r="J584" s="0" t="str">
        <f aca="false">IF(MOD(F584-1,3)=0,SUMPRODUCT(($A$2:$A$644=A584)*(ROW($A$2:$A$644)&gt;=ROW())*(ROW($A$2:$A$644)&lt;ROW()+3)*$C$2:$C$644),"")</f>
        <v/>
      </c>
      <c r="K584" s="0" t="str">
        <f aca="false">IF(J584="","",ROUNDUP(J584/75,0))</f>
        <v/>
      </c>
      <c r="L584" s="0" t="n">
        <f aca="false">IF(MOD(F584-1,5)=0,SUMPRODUCT(($A$2:$A$644=A584)*(ROW($A$2:$A$644)&gt;=ROW())*(ROW($A$2:$A$644)&lt;ROW()+5)*$C$2:$C$644),"")</f>
        <v>270</v>
      </c>
      <c r="M584" s="0" t="n">
        <f aca="false">IF(L584="","",ROUNDUP(L584/75,0))</f>
        <v>4</v>
      </c>
      <c r="N584" s="0" t="str">
        <f aca="false">IF(MOD(F584-1,7)=0,SUMPRODUCT(($A$2:$A$644=A584)*(ROW($A$2:$A$644)&gt;=ROW())*(ROW($A$2:$A$644)&lt;ROW()+7)*$C$2:$C$644),"")</f>
        <v/>
      </c>
      <c r="O584" s="0" t="str">
        <f aca="false">IF(N584="","",ROUNDUP(N584/75,0))</f>
        <v/>
      </c>
    </row>
    <row r="585" customFormat="false" ht="15" hidden="false" customHeight="false" outlineLevel="0" collapsed="false">
      <c r="A585" s="0" t="s">
        <v>462</v>
      </c>
      <c r="B585" s="0" t="s">
        <v>619</v>
      </c>
      <c r="C585" s="0" t="n">
        <v>126</v>
      </c>
      <c r="D585" s="0" t="n">
        <v>2</v>
      </c>
      <c r="E585" s="0" t="n">
        <v>24</v>
      </c>
      <c r="F585" s="0" t="n">
        <f aca="false">COUNTIF($A$2:A585,A585)</f>
        <v>157</v>
      </c>
      <c r="G585" s="0" t="n">
        <f aca="false">ROUNDUP(C585*1.236/75,0)</f>
        <v>3</v>
      </c>
      <c r="H585" s="0" t="n">
        <f aca="false">IF(MOD(F585-1,2)=0,SUMPRODUCT(($A$2:$A$644=A585)*(ROW($A$2:$A$644)&gt;=ROW())*(ROW($A$2:$A$644)&lt;ROW()+2)*$C$2:$C$644),"")</f>
        <v>144</v>
      </c>
      <c r="I585" s="0" t="n">
        <f aca="false">IF(H585="","",ROUNDUP(H585/75,0))</f>
        <v>2</v>
      </c>
      <c r="J585" s="0" t="n">
        <f aca="false">IF(MOD(F585-1,3)=0,SUMPRODUCT(($A$2:$A$644=A585)*(ROW($A$2:$A$644)&gt;=ROW())*(ROW($A$2:$A$644)&lt;ROW()+3)*$C$2:$C$644),"")</f>
        <v>186</v>
      </c>
      <c r="K585" s="0" t="n">
        <f aca="false">IF(J585="","",ROUNDUP(J585/75,0))</f>
        <v>3</v>
      </c>
      <c r="L585" s="0" t="str">
        <f aca="false">IF(MOD(F585-1,5)=0,SUMPRODUCT(($A$2:$A$644=A585)*(ROW($A$2:$A$644)&gt;=ROW())*(ROW($A$2:$A$644)&lt;ROW()+5)*$C$2:$C$644),"")</f>
        <v/>
      </c>
      <c r="M585" s="0" t="str">
        <f aca="false">IF(L585="","",ROUNDUP(L585/75,0))</f>
        <v/>
      </c>
      <c r="N585" s="0" t="str">
        <f aca="false">IF(MOD(F585-1,7)=0,SUMPRODUCT(($A$2:$A$644=A585)*(ROW($A$2:$A$644)&gt;=ROW())*(ROW($A$2:$A$644)&lt;ROW()+7)*$C$2:$C$644),"")</f>
        <v/>
      </c>
      <c r="O585" s="0" t="str">
        <f aca="false">IF(N585="","",ROUNDUP(N585/75,0))</f>
        <v/>
      </c>
    </row>
    <row r="586" customFormat="false" ht="15" hidden="false" customHeight="false" outlineLevel="0" collapsed="false">
      <c r="A586" s="0" t="s">
        <v>462</v>
      </c>
      <c r="B586" s="0" t="s">
        <v>620</v>
      </c>
      <c r="C586" s="0" t="n">
        <v>18</v>
      </c>
      <c r="D586" s="0" t="n">
        <v>1</v>
      </c>
      <c r="E586" s="0" t="n">
        <v>57</v>
      </c>
      <c r="F586" s="0" t="n">
        <f aca="false">COUNTIF($A$2:A586,A586)</f>
        <v>158</v>
      </c>
      <c r="G586" s="0" t="n">
        <f aca="false">ROUNDUP(C586*1.236/75,0)</f>
        <v>1</v>
      </c>
      <c r="H586" s="0" t="str">
        <f aca="false">IF(MOD(F586-1,2)=0,SUMPRODUCT(($A$2:$A$644=A586)*(ROW($A$2:$A$644)&gt;=ROW())*(ROW($A$2:$A$644)&lt;ROW()+2)*$C$2:$C$644),"")</f>
        <v/>
      </c>
      <c r="I586" s="0" t="str">
        <f aca="false">IF(H586="","",ROUNDUP(H586/75,0))</f>
        <v/>
      </c>
      <c r="J586" s="0" t="str">
        <f aca="false">IF(MOD(F586-1,3)=0,SUMPRODUCT(($A$2:$A$644=A586)*(ROW($A$2:$A$644)&gt;=ROW())*(ROW($A$2:$A$644)&lt;ROW()+3)*$C$2:$C$644),"")</f>
        <v/>
      </c>
      <c r="K586" s="0" t="str">
        <f aca="false">IF(J586="","",ROUNDUP(J586/75,0))</f>
        <v/>
      </c>
      <c r="L586" s="0" t="str">
        <f aca="false">IF(MOD(F586-1,5)=0,SUMPRODUCT(($A$2:$A$644=A586)*(ROW($A$2:$A$644)&gt;=ROW())*(ROW($A$2:$A$644)&lt;ROW()+5)*$C$2:$C$644),"")</f>
        <v/>
      </c>
      <c r="M586" s="0" t="str">
        <f aca="false">IF(L586="","",ROUNDUP(L586/75,0))</f>
        <v/>
      </c>
      <c r="N586" s="0" t="str">
        <f aca="false">IF(MOD(F586-1,7)=0,SUMPRODUCT(($A$2:$A$644=A586)*(ROW($A$2:$A$644)&gt;=ROW())*(ROW($A$2:$A$644)&lt;ROW()+7)*$C$2:$C$644),"")</f>
        <v/>
      </c>
      <c r="O586" s="0" t="str">
        <f aca="false">IF(N586="","",ROUNDUP(N586/75,0))</f>
        <v/>
      </c>
    </row>
    <row r="587" customFormat="false" ht="15" hidden="false" customHeight="false" outlineLevel="0" collapsed="false">
      <c r="A587" s="0" t="s">
        <v>462</v>
      </c>
      <c r="B587" s="0" t="s">
        <v>621</v>
      </c>
      <c r="C587" s="0" t="n">
        <v>42</v>
      </c>
      <c r="D587" s="0" t="n">
        <v>1</v>
      </c>
      <c r="E587" s="0" t="n">
        <v>33</v>
      </c>
      <c r="F587" s="0" t="n">
        <f aca="false">COUNTIF($A$2:A587,A587)</f>
        <v>159</v>
      </c>
      <c r="G587" s="0" t="n">
        <f aca="false">ROUNDUP(C587*1.236/75,0)</f>
        <v>1</v>
      </c>
      <c r="H587" s="0" t="n">
        <f aca="false">IF(MOD(F587-1,2)=0,SUMPRODUCT(($A$2:$A$644=A587)*(ROW($A$2:$A$644)&gt;=ROW())*(ROW($A$2:$A$644)&lt;ROW()+2)*$C$2:$C$644),"")</f>
        <v>72</v>
      </c>
      <c r="I587" s="0" t="n">
        <f aca="false">IF(H587="","",ROUNDUP(H587/75,0))</f>
        <v>1</v>
      </c>
      <c r="J587" s="0" t="str">
        <f aca="false">IF(MOD(F587-1,3)=0,SUMPRODUCT(($A$2:$A$644=A587)*(ROW($A$2:$A$644)&gt;=ROW())*(ROW($A$2:$A$644)&lt;ROW()+3)*$C$2:$C$644),"")</f>
        <v/>
      </c>
      <c r="K587" s="0" t="str">
        <f aca="false">IF(J587="","",ROUNDUP(J587/75,0))</f>
        <v/>
      </c>
      <c r="L587" s="0" t="str">
        <f aca="false">IF(MOD(F587-1,5)=0,SUMPRODUCT(($A$2:$A$644=A587)*(ROW($A$2:$A$644)&gt;=ROW())*(ROW($A$2:$A$644)&lt;ROW()+5)*$C$2:$C$644),"")</f>
        <v/>
      </c>
      <c r="M587" s="0" t="str">
        <f aca="false">IF(L587="","",ROUNDUP(L587/75,0))</f>
        <v/>
      </c>
      <c r="N587" s="0" t="str">
        <f aca="false">IF(MOD(F587-1,7)=0,SUMPRODUCT(($A$2:$A$644=A587)*(ROW($A$2:$A$644)&gt;=ROW())*(ROW($A$2:$A$644)&lt;ROW()+7)*$C$2:$C$644),"")</f>
        <v/>
      </c>
      <c r="O587" s="0" t="str">
        <f aca="false">IF(N587="","",ROUNDUP(N587/75,0))</f>
        <v/>
      </c>
    </row>
    <row r="588" customFormat="false" ht="15" hidden="false" customHeight="false" outlineLevel="0" collapsed="false">
      <c r="A588" s="0" t="s">
        <v>462</v>
      </c>
      <c r="B588" s="0" t="s">
        <v>622</v>
      </c>
      <c r="C588" s="0" t="n">
        <v>30</v>
      </c>
      <c r="D588" s="0" t="n">
        <v>1</v>
      </c>
      <c r="E588" s="0" t="n">
        <v>45</v>
      </c>
      <c r="F588" s="0" t="n">
        <f aca="false">COUNTIF($A$2:A588,A588)</f>
        <v>160</v>
      </c>
      <c r="G588" s="0" t="n">
        <f aca="false">ROUNDUP(C588*1.236/75,0)</f>
        <v>1</v>
      </c>
      <c r="H588" s="0" t="str">
        <f aca="false">IF(MOD(F588-1,2)=0,SUMPRODUCT(($A$2:$A$644=A588)*(ROW($A$2:$A$644)&gt;=ROW())*(ROW($A$2:$A$644)&lt;ROW()+2)*$C$2:$C$644),"")</f>
        <v/>
      </c>
      <c r="I588" s="0" t="str">
        <f aca="false">IF(H588="","",ROUNDUP(H588/75,0))</f>
        <v/>
      </c>
      <c r="J588" s="0" t="n">
        <f aca="false">IF(MOD(F588-1,3)=0,SUMPRODUCT(($A$2:$A$644=A588)*(ROW($A$2:$A$644)&gt;=ROW())*(ROW($A$2:$A$644)&lt;ROW()+3)*$C$2:$C$644),"")</f>
        <v>138</v>
      </c>
      <c r="K588" s="0" t="n">
        <f aca="false">IF(J588="","",ROUNDUP(J588/75,0))</f>
        <v>2</v>
      </c>
      <c r="L588" s="0" t="str">
        <f aca="false">IF(MOD(F588-1,5)=0,SUMPRODUCT(($A$2:$A$644=A588)*(ROW($A$2:$A$644)&gt;=ROW())*(ROW($A$2:$A$644)&lt;ROW()+5)*$C$2:$C$644),"")</f>
        <v/>
      </c>
      <c r="M588" s="0" t="str">
        <f aca="false">IF(L588="","",ROUNDUP(L588/75,0))</f>
        <v/>
      </c>
      <c r="N588" s="0" t="str">
        <f aca="false">IF(MOD(F588-1,7)=0,SUMPRODUCT(($A$2:$A$644=A588)*(ROW($A$2:$A$644)&gt;=ROW())*(ROW($A$2:$A$644)&lt;ROW()+7)*$C$2:$C$644),"")</f>
        <v/>
      </c>
      <c r="O588" s="0" t="str">
        <f aca="false">IF(N588="","",ROUNDUP(N588/75,0))</f>
        <v/>
      </c>
    </row>
    <row r="589" customFormat="false" ht="15" hidden="false" customHeight="false" outlineLevel="0" collapsed="false">
      <c r="A589" s="0" t="s">
        <v>462</v>
      </c>
      <c r="B589" s="0" t="s">
        <v>623</v>
      </c>
      <c r="C589" s="0" t="n">
        <v>36</v>
      </c>
      <c r="D589" s="0" t="n">
        <v>1</v>
      </c>
      <c r="E589" s="0" t="n">
        <v>39</v>
      </c>
      <c r="F589" s="0" t="n">
        <f aca="false">COUNTIF($A$2:A589,A589)</f>
        <v>161</v>
      </c>
      <c r="G589" s="0" t="n">
        <f aca="false">ROUNDUP(C589*1.236/75,0)</f>
        <v>1</v>
      </c>
      <c r="H589" s="0" t="n">
        <f aca="false">IF(MOD(F589-1,2)=0,SUMPRODUCT(($A$2:$A$644=A589)*(ROW($A$2:$A$644)&gt;=ROW())*(ROW($A$2:$A$644)&lt;ROW()+2)*$C$2:$C$644),"")</f>
        <v>108</v>
      </c>
      <c r="I589" s="0" t="n">
        <f aca="false">IF(H589="","",ROUNDUP(H589/75,0))</f>
        <v>2</v>
      </c>
      <c r="J589" s="0" t="str">
        <f aca="false">IF(MOD(F589-1,3)=0,SUMPRODUCT(($A$2:$A$644=A589)*(ROW($A$2:$A$644)&gt;=ROW())*(ROW($A$2:$A$644)&lt;ROW()+3)*$C$2:$C$644),"")</f>
        <v/>
      </c>
      <c r="K589" s="0" t="str">
        <f aca="false">IF(J589="","",ROUNDUP(J589/75,0))</f>
        <v/>
      </c>
      <c r="L589" s="0" t="n">
        <f aca="false">IF(MOD(F589-1,5)=0,SUMPRODUCT(($A$2:$A$644=A589)*(ROW($A$2:$A$644)&gt;=ROW())*(ROW($A$2:$A$644)&lt;ROW()+5)*$C$2:$C$644),"")</f>
        <v>192</v>
      </c>
      <c r="M589" s="0" t="n">
        <f aca="false">IF(L589="","",ROUNDUP(L589/75,0))</f>
        <v>3</v>
      </c>
      <c r="N589" s="0" t="str">
        <f aca="false">IF(MOD(F589-1,7)=0,SUMPRODUCT(($A$2:$A$644=A589)*(ROW($A$2:$A$644)&gt;=ROW())*(ROW($A$2:$A$644)&lt;ROW()+7)*$C$2:$C$644),"")</f>
        <v/>
      </c>
      <c r="O589" s="0" t="str">
        <f aca="false">IF(N589="","",ROUNDUP(N589/75,0))</f>
        <v/>
      </c>
    </row>
    <row r="590" customFormat="false" ht="15" hidden="false" customHeight="false" outlineLevel="0" collapsed="false">
      <c r="A590" s="0" t="s">
        <v>462</v>
      </c>
      <c r="B590" s="0" t="s">
        <v>624</v>
      </c>
      <c r="C590" s="0" t="n">
        <v>72</v>
      </c>
      <c r="D590" s="0" t="n">
        <v>1</v>
      </c>
      <c r="E590" s="0" t="n">
        <v>3</v>
      </c>
      <c r="F590" s="0" t="n">
        <f aca="false">COUNTIF($A$2:A590,A590)</f>
        <v>162</v>
      </c>
      <c r="G590" s="0" t="n">
        <f aca="false">ROUNDUP(C590*1.236/75,0)</f>
        <v>2</v>
      </c>
      <c r="H590" s="0" t="str">
        <f aca="false">IF(MOD(F590-1,2)=0,SUMPRODUCT(($A$2:$A$644=A590)*(ROW($A$2:$A$644)&gt;=ROW())*(ROW($A$2:$A$644)&lt;ROW()+2)*$C$2:$C$644),"")</f>
        <v/>
      </c>
      <c r="I590" s="0" t="str">
        <f aca="false">IF(H590="","",ROUNDUP(H590/75,0))</f>
        <v/>
      </c>
      <c r="J590" s="0" t="str">
        <f aca="false">IF(MOD(F590-1,3)=0,SUMPRODUCT(($A$2:$A$644=A590)*(ROW($A$2:$A$644)&gt;=ROW())*(ROW($A$2:$A$644)&lt;ROW()+3)*$C$2:$C$644),"")</f>
        <v/>
      </c>
      <c r="K590" s="0" t="str">
        <f aca="false">IF(J590="","",ROUNDUP(J590/75,0))</f>
        <v/>
      </c>
      <c r="L590" s="0" t="str">
        <f aca="false">IF(MOD(F590-1,5)=0,SUMPRODUCT(($A$2:$A$644=A590)*(ROW($A$2:$A$644)&gt;=ROW())*(ROW($A$2:$A$644)&lt;ROW()+5)*$C$2:$C$644),"")</f>
        <v/>
      </c>
      <c r="M590" s="0" t="str">
        <f aca="false">IF(L590="","",ROUNDUP(L590/75,0))</f>
        <v/>
      </c>
      <c r="N590" s="0" t="n">
        <f aca="false">IF(MOD(F590-1,7)=0,SUMPRODUCT(($A$2:$A$644=A590)*(ROW($A$2:$A$644)&gt;=ROW())*(ROW($A$2:$A$644)&lt;ROW()+7)*$C$2:$C$644),"")</f>
        <v>264</v>
      </c>
      <c r="O590" s="0" t="n">
        <f aca="false">IF(N590="","",ROUNDUP(N590/75,0))</f>
        <v>4</v>
      </c>
    </row>
    <row r="591" customFormat="false" ht="15" hidden="false" customHeight="false" outlineLevel="0" collapsed="false">
      <c r="A591" s="0" t="s">
        <v>462</v>
      </c>
      <c r="B591" s="0" t="s">
        <v>625</v>
      </c>
      <c r="C591" s="0" t="n">
        <v>18</v>
      </c>
      <c r="D591" s="0" t="n">
        <v>1</v>
      </c>
      <c r="E591" s="0" t="n">
        <v>57</v>
      </c>
      <c r="F591" s="0" t="n">
        <f aca="false">COUNTIF($A$2:A591,A591)</f>
        <v>163</v>
      </c>
      <c r="G591" s="0" t="n">
        <f aca="false">ROUNDUP(C591*1.236/75,0)</f>
        <v>1</v>
      </c>
      <c r="H591" s="0" t="n">
        <f aca="false">IF(MOD(F591-1,2)=0,SUMPRODUCT(($A$2:$A$644=A591)*(ROW($A$2:$A$644)&gt;=ROW())*(ROW($A$2:$A$644)&lt;ROW()+2)*$C$2:$C$644),"")</f>
        <v>30</v>
      </c>
      <c r="I591" s="0" t="n">
        <f aca="false">IF(H591="","",ROUNDUP(H591/75,0))</f>
        <v>1</v>
      </c>
      <c r="J591" s="0" t="n">
        <f aca="false">IF(MOD(F591-1,3)=0,SUMPRODUCT(($A$2:$A$644=A591)*(ROW($A$2:$A$644)&gt;=ROW())*(ROW($A$2:$A$644)&lt;ROW()+3)*$C$2:$C$644),"")</f>
        <v>84</v>
      </c>
      <c r="K591" s="0" t="n">
        <f aca="false">IF(J591="","",ROUNDUP(J591/75,0))</f>
        <v>2</v>
      </c>
      <c r="L591" s="0" t="str">
        <f aca="false">IF(MOD(F591-1,5)=0,SUMPRODUCT(($A$2:$A$644=A591)*(ROW($A$2:$A$644)&gt;=ROW())*(ROW($A$2:$A$644)&lt;ROW()+5)*$C$2:$C$644),"")</f>
        <v/>
      </c>
      <c r="M591" s="0" t="str">
        <f aca="false">IF(L591="","",ROUNDUP(L591/75,0))</f>
        <v/>
      </c>
      <c r="N591" s="0" t="str">
        <f aca="false">IF(MOD(F591-1,7)=0,SUMPRODUCT(($A$2:$A$644=A591)*(ROW($A$2:$A$644)&gt;=ROW())*(ROW($A$2:$A$644)&lt;ROW()+7)*$C$2:$C$644),"")</f>
        <v/>
      </c>
      <c r="O591" s="0" t="str">
        <f aca="false">IF(N591="","",ROUNDUP(N591/75,0))</f>
        <v/>
      </c>
    </row>
    <row r="592" customFormat="false" ht="15" hidden="false" customHeight="false" outlineLevel="0" collapsed="false">
      <c r="A592" s="0" t="s">
        <v>462</v>
      </c>
      <c r="B592" s="0" t="s">
        <v>626</v>
      </c>
      <c r="C592" s="0" t="n">
        <v>12</v>
      </c>
      <c r="D592" s="0" t="n">
        <v>1</v>
      </c>
      <c r="E592" s="0" t="n">
        <v>63</v>
      </c>
      <c r="F592" s="0" t="n">
        <f aca="false">COUNTIF($A$2:A592,A592)</f>
        <v>164</v>
      </c>
      <c r="G592" s="0" t="n">
        <f aca="false">ROUNDUP(C592*1.236/75,0)</f>
        <v>1</v>
      </c>
      <c r="H592" s="0" t="str">
        <f aca="false">IF(MOD(F592-1,2)=0,SUMPRODUCT(($A$2:$A$644=A592)*(ROW($A$2:$A$644)&gt;=ROW())*(ROW($A$2:$A$644)&lt;ROW()+2)*$C$2:$C$644),"")</f>
        <v/>
      </c>
      <c r="I592" s="0" t="str">
        <f aca="false">IF(H592="","",ROUNDUP(H592/75,0))</f>
        <v/>
      </c>
      <c r="J592" s="0" t="str">
        <f aca="false">IF(MOD(F592-1,3)=0,SUMPRODUCT(($A$2:$A$644=A592)*(ROW($A$2:$A$644)&gt;=ROW())*(ROW($A$2:$A$644)&lt;ROW()+3)*$C$2:$C$644),"")</f>
        <v/>
      </c>
      <c r="K592" s="0" t="str">
        <f aca="false">IF(J592="","",ROUNDUP(J592/75,0))</f>
        <v/>
      </c>
      <c r="L592" s="0" t="str">
        <f aca="false">IF(MOD(F592-1,5)=0,SUMPRODUCT(($A$2:$A$644=A592)*(ROW($A$2:$A$644)&gt;=ROW())*(ROW($A$2:$A$644)&lt;ROW()+5)*$C$2:$C$644),"")</f>
        <v/>
      </c>
      <c r="M592" s="0" t="str">
        <f aca="false">IF(L592="","",ROUNDUP(L592/75,0))</f>
        <v/>
      </c>
      <c r="N592" s="0" t="str">
        <f aca="false">IF(MOD(F592-1,7)=0,SUMPRODUCT(($A$2:$A$644=A592)*(ROW($A$2:$A$644)&gt;=ROW())*(ROW($A$2:$A$644)&lt;ROW()+7)*$C$2:$C$644),"")</f>
        <v/>
      </c>
      <c r="O592" s="0" t="str">
        <f aca="false">IF(N592="","",ROUNDUP(N592/75,0))</f>
        <v/>
      </c>
    </row>
    <row r="593" customFormat="false" ht="15" hidden="false" customHeight="false" outlineLevel="0" collapsed="false">
      <c r="A593" s="0" t="s">
        <v>462</v>
      </c>
      <c r="B593" s="0" t="s">
        <v>627</v>
      </c>
      <c r="C593" s="0" t="n">
        <v>54</v>
      </c>
      <c r="D593" s="0" t="n">
        <v>1</v>
      </c>
      <c r="E593" s="0" t="n">
        <v>21</v>
      </c>
      <c r="F593" s="0" t="n">
        <f aca="false">COUNTIF($A$2:A593,A593)</f>
        <v>165</v>
      </c>
      <c r="G593" s="0" t="n">
        <f aca="false">ROUNDUP(C593*1.236/75,0)</f>
        <v>1</v>
      </c>
      <c r="H593" s="0" t="n">
        <f aca="false">IF(MOD(F593-1,2)=0,SUMPRODUCT(($A$2:$A$644=A593)*(ROW($A$2:$A$644)&gt;=ROW())*(ROW($A$2:$A$644)&lt;ROW()+2)*$C$2:$C$644),"")</f>
        <v>102</v>
      </c>
      <c r="I593" s="0" t="n">
        <f aca="false">IF(H593="","",ROUNDUP(H593/75,0))</f>
        <v>2</v>
      </c>
      <c r="J593" s="0" t="str">
        <f aca="false">IF(MOD(F593-1,3)=0,SUMPRODUCT(($A$2:$A$644=A593)*(ROW($A$2:$A$644)&gt;=ROW())*(ROW($A$2:$A$644)&lt;ROW()+3)*$C$2:$C$644),"")</f>
        <v/>
      </c>
      <c r="K593" s="0" t="str">
        <f aca="false">IF(J593="","",ROUNDUP(J593/75,0))</f>
        <v/>
      </c>
      <c r="L593" s="0" t="str">
        <f aca="false">IF(MOD(F593-1,5)=0,SUMPRODUCT(($A$2:$A$644=A593)*(ROW($A$2:$A$644)&gt;=ROW())*(ROW($A$2:$A$644)&lt;ROW()+5)*$C$2:$C$644),"")</f>
        <v/>
      </c>
      <c r="M593" s="0" t="str">
        <f aca="false">IF(L593="","",ROUNDUP(L593/75,0))</f>
        <v/>
      </c>
      <c r="N593" s="0" t="str">
        <f aca="false">IF(MOD(F593-1,7)=0,SUMPRODUCT(($A$2:$A$644=A593)*(ROW($A$2:$A$644)&gt;=ROW())*(ROW($A$2:$A$644)&lt;ROW()+7)*$C$2:$C$644),"")</f>
        <v/>
      </c>
      <c r="O593" s="0" t="str">
        <f aca="false">IF(N593="","",ROUNDUP(N593/75,0))</f>
        <v/>
      </c>
    </row>
    <row r="594" customFormat="false" ht="15" hidden="false" customHeight="false" outlineLevel="0" collapsed="false">
      <c r="A594" s="0" t="s">
        <v>462</v>
      </c>
      <c r="B594" s="0" t="s">
        <v>628</v>
      </c>
      <c r="C594" s="0" t="n">
        <v>48</v>
      </c>
      <c r="D594" s="0" t="n">
        <v>1</v>
      </c>
      <c r="E594" s="0" t="n">
        <v>27</v>
      </c>
      <c r="F594" s="0" t="n">
        <f aca="false">COUNTIF($A$2:A594,A594)</f>
        <v>166</v>
      </c>
      <c r="G594" s="0" t="n">
        <f aca="false">ROUNDUP(C594*1.236/75,0)</f>
        <v>1</v>
      </c>
      <c r="H594" s="0" t="str">
        <f aca="false">IF(MOD(F594-1,2)=0,SUMPRODUCT(($A$2:$A$644=A594)*(ROW($A$2:$A$644)&gt;=ROW())*(ROW($A$2:$A$644)&lt;ROW()+2)*$C$2:$C$644),"")</f>
        <v/>
      </c>
      <c r="I594" s="0" t="str">
        <f aca="false">IF(H594="","",ROUNDUP(H594/75,0))</f>
        <v/>
      </c>
      <c r="J594" s="0" t="n">
        <f aca="false">IF(MOD(F594-1,3)=0,SUMPRODUCT(($A$2:$A$644=A594)*(ROW($A$2:$A$644)&gt;=ROW())*(ROW($A$2:$A$644)&lt;ROW()+3)*$C$2:$C$644),"")</f>
        <v>108</v>
      </c>
      <c r="K594" s="0" t="n">
        <f aca="false">IF(J594="","",ROUNDUP(J594/75,0))</f>
        <v>2</v>
      </c>
      <c r="L594" s="0" t="n">
        <f aca="false">IF(MOD(F594-1,5)=0,SUMPRODUCT(($A$2:$A$644=A594)*(ROW($A$2:$A$644)&gt;=ROW())*(ROW($A$2:$A$644)&lt;ROW()+5)*$C$2:$C$644),"")</f>
        <v>168</v>
      </c>
      <c r="M594" s="0" t="n">
        <f aca="false">IF(L594="","",ROUNDUP(L594/75,0))</f>
        <v>3</v>
      </c>
      <c r="N594" s="0" t="str">
        <f aca="false">IF(MOD(F594-1,7)=0,SUMPRODUCT(($A$2:$A$644=A594)*(ROW($A$2:$A$644)&gt;=ROW())*(ROW($A$2:$A$644)&lt;ROW()+7)*$C$2:$C$644),"")</f>
        <v/>
      </c>
      <c r="O594" s="0" t="str">
        <f aca="false">IF(N594="","",ROUNDUP(N594/75,0))</f>
        <v/>
      </c>
    </row>
    <row r="595" customFormat="false" ht="15" hidden="false" customHeight="false" outlineLevel="0" collapsed="false">
      <c r="A595" s="0" t="s">
        <v>462</v>
      </c>
      <c r="B595" s="0" t="s">
        <v>629</v>
      </c>
      <c r="C595" s="0" t="n">
        <v>24</v>
      </c>
      <c r="D595" s="0" t="n">
        <v>1</v>
      </c>
      <c r="E595" s="0" t="n">
        <v>51</v>
      </c>
      <c r="F595" s="0" t="n">
        <f aca="false">COUNTIF($A$2:A595,A595)</f>
        <v>167</v>
      </c>
      <c r="G595" s="0" t="n">
        <f aca="false">ROUNDUP(C595*1.236/75,0)</f>
        <v>1</v>
      </c>
      <c r="H595" s="0" t="n">
        <f aca="false">IF(MOD(F595-1,2)=0,SUMPRODUCT(($A$2:$A$644=A595)*(ROW($A$2:$A$644)&gt;=ROW())*(ROW($A$2:$A$644)&lt;ROW()+2)*$C$2:$C$644),"")</f>
        <v>60</v>
      </c>
      <c r="I595" s="0" t="n">
        <f aca="false">IF(H595="","",ROUNDUP(H595/75,0))</f>
        <v>1</v>
      </c>
      <c r="J595" s="0" t="str">
        <f aca="false">IF(MOD(F595-1,3)=0,SUMPRODUCT(($A$2:$A$644=A595)*(ROW($A$2:$A$644)&gt;=ROW())*(ROW($A$2:$A$644)&lt;ROW()+3)*$C$2:$C$644),"")</f>
        <v/>
      </c>
      <c r="K595" s="0" t="str">
        <f aca="false">IF(J595="","",ROUNDUP(J595/75,0))</f>
        <v/>
      </c>
      <c r="L595" s="0" t="str">
        <f aca="false">IF(MOD(F595-1,5)=0,SUMPRODUCT(($A$2:$A$644=A595)*(ROW($A$2:$A$644)&gt;=ROW())*(ROW($A$2:$A$644)&lt;ROW()+5)*$C$2:$C$644),"")</f>
        <v/>
      </c>
      <c r="M595" s="0" t="str">
        <f aca="false">IF(L595="","",ROUNDUP(L595/75,0))</f>
        <v/>
      </c>
      <c r="N595" s="0" t="str">
        <f aca="false">IF(MOD(F595-1,7)=0,SUMPRODUCT(($A$2:$A$644=A595)*(ROW($A$2:$A$644)&gt;=ROW())*(ROW($A$2:$A$644)&lt;ROW()+7)*$C$2:$C$644),"")</f>
        <v/>
      </c>
      <c r="O595" s="0" t="str">
        <f aca="false">IF(N595="","",ROUNDUP(N595/75,0))</f>
        <v/>
      </c>
    </row>
    <row r="596" customFormat="false" ht="15" hidden="false" customHeight="false" outlineLevel="0" collapsed="false">
      <c r="A596" s="0" t="s">
        <v>462</v>
      </c>
      <c r="B596" s="0" t="s">
        <v>630</v>
      </c>
      <c r="C596" s="0" t="n">
        <v>36</v>
      </c>
      <c r="D596" s="0" t="n">
        <v>1</v>
      </c>
      <c r="E596" s="0" t="n">
        <v>39</v>
      </c>
      <c r="F596" s="0" t="n">
        <f aca="false">COUNTIF($A$2:A596,A596)</f>
        <v>168</v>
      </c>
      <c r="G596" s="0" t="n">
        <f aca="false">ROUNDUP(C596*1.236/75,0)</f>
        <v>1</v>
      </c>
      <c r="H596" s="0" t="str">
        <f aca="false">IF(MOD(F596-1,2)=0,SUMPRODUCT(($A$2:$A$644=A596)*(ROW($A$2:$A$644)&gt;=ROW())*(ROW($A$2:$A$644)&lt;ROW()+2)*$C$2:$C$644),"")</f>
        <v/>
      </c>
      <c r="I596" s="0" t="str">
        <f aca="false">IF(H596="","",ROUNDUP(H596/75,0))</f>
        <v/>
      </c>
      <c r="J596" s="0" t="str">
        <f aca="false">IF(MOD(F596-1,3)=0,SUMPRODUCT(($A$2:$A$644=A596)*(ROW($A$2:$A$644)&gt;=ROW())*(ROW($A$2:$A$644)&lt;ROW()+3)*$C$2:$C$644),"")</f>
        <v/>
      </c>
      <c r="K596" s="0" t="str">
        <f aca="false">IF(J596="","",ROUNDUP(J596/75,0))</f>
        <v/>
      </c>
      <c r="L596" s="0" t="str">
        <f aca="false">IF(MOD(F596-1,5)=0,SUMPRODUCT(($A$2:$A$644=A596)*(ROW($A$2:$A$644)&gt;=ROW())*(ROW($A$2:$A$644)&lt;ROW()+5)*$C$2:$C$644),"")</f>
        <v/>
      </c>
      <c r="M596" s="0" t="str">
        <f aca="false">IF(L596="","",ROUNDUP(L596/75,0))</f>
        <v/>
      </c>
      <c r="N596" s="0" t="str">
        <f aca="false">IF(MOD(F596-1,7)=0,SUMPRODUCT(($A$2:$A$644=A596)*(ROW($A$2:$A$644)&gt;=ROW())*(ROW($A$2:$A$644)&lt;ROW()+7)*$C$2:$C$644),"")</f>
        <v/>
      </c>
      <c r="O596" s="0" t="str">
        <f aca="false">IF(N596="","",ROUNDUP(N596/75,0))</f>
        <v/>
      </c>
    </row>
    <row r="597" customFormat="false" ht="15" hidden="false" customHeight="false" outlineLevel="0" collapsed="false">
      <c r="A597" s="0" t="s">
        <v>462</v>
      </c>
      <c r="B597" s="0" t="s">
        <v>631</v>
      </c>
      <c r="C597" s="0" t="n">
        <v>18</v>
      </c>
      <c r="D597" s="0" t="n">
        <v>1</v>
      </c>
      <c r="E597" s="0" t="n">
        <v>57</v>
      </c>
      <c r="F597" s="0" t="n">
        <f aca="false">COUNTIF($A$2:A597,A597)</f>
        <v>169</v>
      </c>
      <c r="G597" s="0" t="n">
        <f aca="false">ROUNDUP(C597*1.236/75,0)</f>
        <v>1</v>
      </c>
      <c r="H597" s="0" t="n">
        <f aca="false">IF(MOD(F597-1,2)=0,SUMPRODUCT(($A$2:$A$644=A597)*(ROW($A$2:$A$644)&gt;=ROW())*(ROW($A$2:$A$644)&lt;ROW()+2)*$C$2:$C$644),"")</f>
        <v>60</v>
      </c>
      <c r="I597" s="0" t="n">
        <f aca="false">IF(H597="","",ROUNDUP(H597/75,0))</f>
        <v>1</v>
      </c>
      <c r="J597" s="0" t="n">
        <f aca="false">IF(MOD(F597-1,3)=0,SUMPRODUCT(($A$2:$A$644=A597)*(ROW($A$2:$A$644)&gt;=ROW())*(ROW($A$2:$A$644)&lt;ROW()+3)*$C$2:$C$644),"")</f>
        <v>120</v>
      </c>
      <c r="K597" s="0" t="n">
        <f aca="false">IF(J597="","",ROUNDUP(J597/75,0))</f>
        <v>2</v>
      </c>
      <c r="L597" s="0" t="str">
        <f aca="false">IF(MOD(F597-1,5)=0,SUMPRODUCT(($A$2:$A$644=A597)*(ROW($A$2:$A$644)&gt;=ROW())*(ROW($A$2:$A$644)&lt;ROW()+5)*$C$2:$C$644),"")</f>
        <v/>
      </c>
      <c r="M597" s="0" t="str">
        <f aca="false">IF(L597="","",ROUNDUP(L597/75,0))</f>
        <v/>
      </c>
      <c r="N597" s="0" t="n">
        <f aca="false">IF(MOD(F597-1,7)=0,SUMPRODUCT(($A$2:$A$644=A597)*(ROW($A$2:$A$644)&gt;=ROW())*(ROW($A$2:$A$644)&lt;ROW()+7)*$C$2:$C$644),"")</f>
        <v>258</v>
      </c>
      <c r="O597" s="0" t="n">
        <f aca="false">IF(N597="","",ROUNDUP(N597/75,0))</f>
        <v>4</v>
      </c>
    </row>
    <row r="598" customFormat="false" ht="15" hidden="false" customHeight="false" outlineLevel="0" collapsed="false">
      <c r="A598" s="0" t="s">
        <v>462</v>
      </c>
      <c r="B598" s="0" t="s">
        <v>632</v>
      </c>
      <c r="C598" s="0" t="n">
        <v>42</v>
      </c>
      <c r="D598" s="0" t="n">
        <v>1</v>
      </c>
      <c r="E598" s="0" t="n">
        <v>33</v>
      </c>
      <c r="F598" s="0" t="n">
        <f aca="false">COUNTIF($A$2:A598,A598)</f>
        <v>170</v>
      </c>
      <c r="G598" s="0" t="n">
        <f aca="false">ROUNDUP(C598*1.236/75,0)</f>
        <v>1</v>
      </c>
      <c r="H598" s="0" t="str">
        <f aca="false">IF(MOD(F598-1,2)=0,SUMPRODUCT(($A$2:$A$644=A598)*(ROW($A$2:$A$644)&gt;=ROW())*(ROW($A$2:$A$644)&lt;ROW()+2)*$C$2:$C$644),"")</f>
        <v/>
      </c>
      <c r="I598" s="0" t="str">
        <f aca="false">IF(H598="","",ROUNDUP(H598/75,0))</f>
        <v/>
      </c>
      <c r="J598" s="0" t="str">
        <f aca="false">IF(MOD(F598-1,3)=0,SUMPRODUCT(($A$2:$A$644=A598)*(ROW($A$2:$A$644)&gt;=ROW())*(ROW($A$2:$A$644)&lt;ROW()+3)*$C$2:$C$644),"")</f>
        <v/>
      </c>
      <c r="K598" s="0" t="str">
        <f aca="false">IF(J598="","",ROUNDUP(J598/75,0))</f>
        <v/>
      </c>
      <c r="L598" s="0" t="str">
        <f aca="false">IF(MOD(F598-1,5)=0,SUMPRODUCT(($A$2:$A$644=A598)*(ROW($A$2:$A$644)&gt;=ROW())*(ROW($A$2:$A$644)&lt;ROW()+5)*$C$2:$C$644),"")</f>
        <v/>
      </c>
      <c r="M598" s="0" t="str">
        <f aca="false">IF(L598="","",ROUNDUP(L598/75,0))</f>
        <v/>
      </c>
      <c r="N598" s="0" t="str">
        <f aca="false">IF(MOD(F598-1,7)=0,SUMPRODUCT(($A$2:$A$644=A598)*(ROW($A$2:$A$644)&gt;=ROW())*(ROW($A$2:$A$644)&lt;ROW()+7)*$C$2:$C$644),"")</f>
        <v/>
      </c>
      <c r="O598" s="0" t="str">
        <f aca="false">IF(N598="","",ROUNDUP(N598/75,0))</f>
        <v/>
      </c>
    </row>
    <row r="599" customFormat="false" ht="15" hidden="false" customHeight="false" outlineLevel="0" collapsed="false">
      <c r="A599" s="0" t="s">
        <v>462</v>
      </c>
      <c r="B599" s="0" t="s">
        <v>633</v>
      </c>
      <c r="C599" s="0" t="n">
        <v>60</v>
      </c>
      <c r="D599" s="0" t="n">
        <v>1</v>
      </c>
      <c r="E599" s="0" t="n">
        <v>15</v>
      </c>
      <c r="F599" s="0" t="n">
        <f aca="false">COUNTIF($A$2:A599,A599)</f>
        <v>171</v>
      </c>
      <c r="G599" s="0" t="n">
        <f aca="false">ROUNDUP(C599*1.236/75,0)</f>
        <v>1</v>
      </c>
      <c r="H599" s="0" t="n">
        <f aca="false">IF(MOD(F599-1,2)=0,SUMPRODUCT(($A$2:$A$644=A599)*(ROW($A$2:$A$644)&gt;=ROW())*(ROW($A$2:$A$644)&lt;ROW()+2)*$C$2:$C$644),"")</f>
        <v>108</v>
      </c>
      <c r="I599" s="0" t="n">
        <f aca="false">IF(H599="","",ROUNDUP(H599/75,0))</f>
        <v>2</v>
      </c>
      <c r="J599" s="0" t="str">
        <f aca="false">IF(MOD(F599-1,3)=0,SUMPRODUCT(($A$2:$A$644=A599)*(ROW($A$2:$A$644)&gt;=ROW())*(ROW($A$2:$A$644)&lt;ROW()+3)*$C$2:$C$644),"")</f>
        <v/>
      </c>
      <c r="K599" s="0" t="str">
        <f aca="false">IF(J599="","",ROUNDUP(J599/75,0))</f>
        <v/>
      </c>
      <c r="L599" s="0" t="n">
        <f aca="false">IF(MOD(F599-1,5)=0,SUMPRODUCT(($A$2:$A$644=A599)*(ROW($A$2:$A$644)&gt;=ROW())*(ROW($A$2:$A$644)&lt;ROW()+5)*$C$2:$C$644),"")</f>
        <v>198</v>
      </c>
      <c r="M599" s="0" t="n">
        <f aca="false">IF(L599="","",ROUNDUP(L599/75,0))</f>
        <v>3</v>
      </c>
      <c r="N599" s="0" t="str">
        <f aca="false">IF(MOD(F599-1,7)=0,SUMPRODUCT(($A$2:$A$644=A599)*(ROW($A$2:$A$644)&gt;=ROW())*(ROW($A$2:$A$644)&lt;ROW()+7)*$C$2:$C$644),"")</f>
        <v/>
      </c>
      <c r="O599" s="0" t="str">
        <f aca="false">IF(N599="","",ROUNDUP(N599/75,0))</f>
        <v/>
      </c>
    </row>
    <row r="600" customFormat="false" ht="15" hidden="false" customHeight="false" outlineLevel="0" collapsed="false">
      <c r="A600" s="0" t="s">
        <v>462</v>
      </c>
      <c r="B600" s="0" t="s">
        <v>634</v>
      </c>
      <c r="C600" s="0" t="n">
        <v>48</v>
      </c>
      <c r="D600" s="0" t="n">
        <v>1</v>
      </c>
      <c r="E600" s="0" t="n">
        <v>27</v>
      </c>
      <c r="F600" s="0" t="n">
        <f aca="false">COUNTIF($A$2:A600,A600)</f>
        <v>172</v>
      </c>
      <c r="G600" s="0" t="n">
        <f aca="false">ROUNDUP(C600*1.236/75,0)</f>
        <v>1</v>
      </c>
      <c r="H600" s="0" t="str">
        <f aca="false">IF(MOD(F600-1,2)=0,SUMPRODUCT(($A$2:$A$644=A600)*(ROW($A$2:$A$644)&gt;=ROW())*(ROW($A$2:$A$644)&lt;ROW()+2)*$C$2:$C$644),"")</f>
        <v/>
      </c>
      <c r="I600" s="0" t="str">
        <f aca="false">IF(H600="","",ROUNDUP(H600/75,0))</f>
        <v/>
      </c>
      <c r="J600" s="0" t="n">
        <f aca="false">IF(MOD(F600-1,3)=0,SUMPRODUCT(($A$2:$A$644=A600)*(ROW($A$2:$A$644)&gt;=ROW())*(ROW($A$2:$A$644)&lt;ROW()+3)*$C$2:$C$644),"")</f>
        <v>108</v>
      </c>
      <c r="K600" s="0" t="n">
        <f aca="false">IF(J600="","",ROUNDUP(J600/75,0))</f>
        <v>2</v>
      </c>
      <c r="L600" s="0" t="str">
        <f aca="false">IF(MOD(F600-1,5)=0,SUMPRODUCT(($A$2:$A$644=A600)*(ROW($A$2:$A$644)&gt;=ROW())*(ROW($A$2:$A$644)&lt;ROW()+5)*$C$2:$C$644),"")</f>
        <v/>
      </c>
      <c r="M600" s="0" t="str">
        <f aca="false">IF(L600="","",ROUNDUP(L600/75,0))</f>
        <v/>
      </c>
      <c r="N600" s="0" t="str">
        <f aca="false">IF(MOD(F600-1,7)=0,SUMPRODUCT(($A$2:$A$644=A600)*(ROW($A$2:$A$644)&gt;=ROW())*(ROW($A$2:$A$644)&lt;ROW()+7)*$C$2:$C$644),"")</f>
        <v/>
      </c>
      <c r="O600" s="0" t="str">
        <f aca="false">IF(N600="","",ROUNDUP(N600/75,0))</f>
        <v/>
      </c>
    </row>
    <row r="601" customFormat="false" ht="15" hidden="false" customHeight="false" outlineLevel="0" collapsed="false">
      <c r="A601" s="0" t="s">
        <v>462</v>
      </c>
      <c r="B601" s="0" t="s">
        <v>635</v>
      </c>
      <c r="C601" s="0" t="n">
        <v>24</v>
      </c>
      <c r="D601" s="0" t="n">
        <v>1</v>
      </c>
      <c r="E601" s="0" t="n">
        <v>51</v>
      </c>
      <c r="F601" s="0" t="n">
        <f aca="false">COUNTIF($A$2:A601,A601)</f>
        <v>173</v>
      </c>
      <c r="G601" s="0" t="n">
        <f aca="false">ROUNDUP(C601*1.236/75,0)</f>
        <v>1</v>
      </c>
      <c r="H601" s="0" t="n">
        <f aca="false">IF(MOD(F601-1,2)=0,SUMPRODUCT(($A$2:$A$644=A601)*(ROW($A$2:$A$644)&gt;=ROW())*(ROW($A$2:$A$644)&lt;ROW()+2)*$C$2:$C$644),"")</f>
        <v>60</v>
      </c>
      <c r="I601" s="0" t="n">
        <f aca="false">IF(H601="","",ROUNDUP(H601/75,0))</f>
        <v>1</v>
      </c>
      <c r="J601" s="0" t="str">
        <f aca="false">IF(MOD(F601-1,3)=0,SUMPRODUCT(($A$2:$A$644=A601)*(ROW($A$2:$A$644)&gt;=ROW())*(ROW($A$2:$A$644)&lt;ROW()+3)*$C$2:$C$644),"")</f>
        <v/>
      </c>
      <c r="K601" s="0" t="str">
        <f aca="false">IF(J601="","",ROUNDUP(J601/75,0))</f>
        <v/>
      </c>
      <c r="L601" s="0" t="str">
        <f aca="false">IF(MOD(F601-1,5)=0,SUMPRODUCT(($A$2:$A$644=A601)*(ROW($A$2:$A$644)&gt;=ROW())*(ROW($A$2:$A$644)&lt;ROW()+5)*$C$2:$C$644),"")</f>
        <v/>
      </c>
      <c r="M601" s="0" t="str">
        <f aca="false">IF(L601="","",ROUNDUP(L601/75,0))</f>
        <v/>
      </c>
      <c r="N601" s="0" t="str">
        <f aca="false">IF(MOD(F601-1,7)=0,SUMPRODUCT(($A$2:$A$644=A601)*(ROW($A$2:$A$644)&gt;=ROW())*(ROW($A$2:$A$644)&lt;ROW()+7)*$C$2:$C$644),"")</f>
        <v/>
      </c>
      <c r="O601" s="0" t="str">
        <f aca="false">IF(N601="","",ROUNDUP(N601/75,0))</f>
        <v/>
      </c>
    </row>
    <row r="602" customFormat="false" ht="15" hidden="false" customHeight="false" outlineLevel="0" collapsed="false">
      <c r="A602" s="0" t="s">
        <v>462</v>
      </c>
      <c r="B602" s="0" t="s">
        <v>636</v>
      </c>
      <c r="C602" s="0" t="n">
        <v>36</v>
      </c>
      <c r="D602" s="0" t="n">
        <v>1</v>
      </c>
      <c r="E602" s="0" t="n">
        <v>39</v>
      </c>
      <c r="F602" s="0" t="n">
        <f aca="false">COUNTIF($A$2:A602,A602)</f>
        <v>174</v>
      </c>
      <c r="G602" s="0" t="n">
        <f aca="false">ROUNDUP(C602*1.236/75,0)</f>
        <v>1</v>
      </c>
      <c r="H602" s="0" t="str">
        <f aca="false">IF(MOD(F602-1,2)=0,SUMPRODUCT(($A$2:$A$644=A602)*(ROW($A$2:$A$644)&gt;=ROW())*(ROW($A$2:$A$644)&lt;ROW()+2)*$C$2:$C$644),"")</f>
        <v/>
      </c>
      <c r="I602" s="0" t="str">
        <f aca="false">IF(H602="","",ROUNDUP(H602/75,0))</f>
        <v/>
      </c>
      <c r="J602" s="0" t="str">
        <f aca="false">IF(MOD(F602-1,3)=0,SUMPRODUCT(($A$2:$A$644=A602)*(ROW($A$2:$A$644)&gt;=ROW())*(ROW($A$2:$A$644)&lt;ROW()+3)*$C$2:$C$644),"")</f>
        <v/>
      </c>
      <c r="K602" s="0" t="str">
        <f aca="false">IF(J602="","",ROUNDUP(J602/75,0))</f>
        <v/>
      </c>
      <c r="L602" s="0" t="str">
        <f aca="false">IF(MOD(F602-1,5)=0,SUMPRODUCT(($A$2:$A$644=A602)*(ROW($A$2:$A$644)&gt;=ROW())*(ROW($A$2:$A$644)&lt;ROW()+5)*$C$2:$C$644),"")</f>
        <v/>
      </c>
      <c r="M602" s="0" t="str">
        <f aca="false">IF(L602="","",ROUNDUP(L602/75,0))</f>
        <v/>
      </c>
      <c r="N602" s="0" t="str">
        <f aca="false">IF(MOD(F602-1,7)=0,SUMPRODUCT(($A$2:$A$644=A602)*(ROW($A$2:$A$644)&gt;=ROW())*(ROW($A$2:$A$644)&lt;ROW()+7)*$C$2:$C$644),"")</f>
        <v/>
      </c>
      <c r="O602" s="0" t="str">
        <f aca="false">IF(N602="","",ROUNDUP(N602/75,0))</f>
        <v/>
      </c>
    </row>
    <row r="603" customFormat="false" ht="15" hidden="false" customHeight="false" outlineLevel="0" collapsed="false">
      <c r="A603" s="0" t="s">
        <v>462</v>
      </c>
      <c r="B603" s="0" t="s">
        <v>637</v>
      </c>
      <c r="C603" s="0" t="n">
        <v>30</v>
      </c>
      <c r="D603" s="0" t="n">
        <v>1</v>
      </c>
      <c r="E603" s="0" t="n">
        <v>45</v>
      </c>
      <c r="F603" s="0" t="n">
        <f aca="false">COUNTIF($A$2:A603,A603)</f>
        <v>175</v>
      </c>
      <c r="G603" s="0" t="n">
        <f aca="false">ROUNDUP(C603*1.236/75,0)</f>
        <v>1</v>
      </c>
      <c r="H603" s="0" t="n">
        <f aca="false">IF(MOD(F603-1,2)=0,SUMPRODUCT(($A$2:$A$644=A603)*(ROW($A$2:$A$644)&gt;=ROW())*(ROW($A$2:$A$644)&lt;ROW()+2)*$C$2:$C$644),"")</f>
        <v>78</v>
      </c>
      <c r="I603" s="0" t="n">
        <f aca="false">IF(H603="","",ROUNDUP(H603/75,0))</f>
        <v>2</v>
      </c>
      <c r="J603" s="0" t="n">
        <f aca="false">IF(MOD(F603-1,3)=0,SUMPRODUCT(($A$2:$A$644=A603)*(ROW($A$2:$A$644)&gt;=ROW())*(ROW($A$2:$A$644)&lt;ROW()+3)*$C$2:$C$644),"")</f>
        <v>132</v>
      </c>
      <c r="K603" s="0" t="n">
        <f aca="false">IF(J603="","",ROUNDUP(J603/75,0))</f>
        <v>2</v>
      </c>
      <c r="L603" s="0" t="str">
        <f aca="false">IF(MOD(F603-1,5)=0,SUMPRODUCT(($A$2:$A$644=A603)*(ROW($A$2:$A$644)&gt;=ROW())*(ROW($A$2:$A$644)&lt;ROW()+5)*$C$2:$C$644),"")</f>
        <v/>
      </c>
      <c r="M603" s="0" t="str">
        <f aca="false">IF(L603="","",ROUNDUP(L603/75,0))</f>
        <v/>
      </c>
      <c r="N603" s="0" t="str">
        <f aca="false">IF(MOD(F603-1,7)=0,SUMPRODUCT(($A$2:$A$644=A603)*(ROW($A$2:$A$644)&gt;=ROW())*(ROW($A$2:$A$644)&lt;ROW()+7)*$C$2:$C$644),"")</f>
        <v/>
      </c>
      <c r="O603" s="0" t="str">
        <f aca="false">IF(N603="","",ROUNDUP(N603/75,0))</f>
        <v/>
      </c>
    </row>
    <row r="604" customFormat="false" ht="15" hidden="false" customHeight="false" outlineLevel="0" collapsed="false">
      <c r="A604" s="0" t="s">
        <v>462</v>
      </c>
      <c r="B604" s="0" t="s">
        <v>638</v>
      </c>
      <c r="C604" s="0" t="n">
        <v>48</v>
      </c>
      <c r="D604" s="0" t="n">
        <v>1</v>
      </c>
      <c r="E604" s="0" t="n">
        <v>27</v>
      </c>
      <c r="F604" s="0" t="n">
        <f aca="false">COUNTIF($A$2:A604,A604)</f>
        <v>176</v>
      </c>
      <c r="G604" s="0" t="n">
        <f aca="false">ROUNDUP(C604*1.236/75,0)</f>
        <v>1</v>
      </c>
      <c r="H604" s="0" t="str">
        <f aca="false">IF(MOD(F604-1,2)=0,SUMPRODUCT(($A$2:$A$644=A604)*(ROW($A$2:$A$644)&gt;=ROW())*(ROW($A$2:$A$644)&lt;ROW()+2)*$C$2:$C$644),"")</f>
        <v/>
      </c>
      <c r="I604" s="0" t="str">
        <f aca="false">IF(H604="","",ROUNDUP(H604/75,0))</f>
        <v/>
      </c>
      <c r="J604" s="0" t="str">
        <f aca="false">IF(MOD(F604-1,3)=0,SUMPRODUCT(($A$2:$A$644=A604)*(ROW($A$2:$A$644)&gt;=ROW())*(ROW($A$2:$A$644)&lt;ROW()+3)*$C$2:$C$644),"")</f>
        <v/>
      </c>
      <c r="K604" s="0" t="str">
        <f aca="false">IF(J604="","",ROUNDUP(J604/75,0))</f>
        <v/>
      </c>
      <c r="L604" s="0" t="n">
        <f aca="false">IF(MOD(F604-1,5)=0,SUMPRODUCT(($A$2:$A$644=A604)*(ROW($A$2:$A$644)&gt;=ROW())*(ROW($A$2:$A$644)&lt;ROW()+5)*$C$2:$C$644),"")</f>
        <v>204</v>
      </c>
      <c r="M604" s="0" t="n">
        <f aca="false">IF(L604="","",ROUNDUP(L604/75,0))</f>
        <v>3</v>
      </c>
      <c r="N604" s="0" t="n">
        <f aca="false">IF(MOD(F604-1,7)=0,SUMPRODUCT(($A$2:$A$644=A604)*(ROW($A$2:$A$644)&gt;=ROW())*(ROW($A$2:$A$644)&lt;ROW()+7)*$C$2:$C$644),"")</f>
        <v>342</v>
      </c>
      <c r="O604" s="0" t="n">
        <f aca="false">IF(N604="","",ROUNDUP(N604/75,0))</f>
        <v>5</v>
      </c>
    </row>
    <row r="605" customFormat="false" ht="15" hidden="false" customHeight="false" outlineLevel="0" collapsed="false">
      <c r="A605" s="0" t="s">
        <v>462</v>
      </c>
      <c r="B605" s="0" t="s">
        <v>639</v>
      </c>
      <c r="C605" s="0" t="n">
        <v>54</v>
      </c>
      <c r="D605" s="0" t="n">
        <v>1</v>
      </c>
      <c r="E605" s="0" t="n">
        <v>21</v>
      </c>
      <c r="F605" s="0" t="n">
        <f aca="false">COUNTIF($A$2:A605,A605)</f>
        <v>177</v>
      </c>
      <c r="G605" s="0" t="n">
        <f aca="false">ROUNDUP(C605*1.236/75,0)</f>
        <v>1</v>
      </c>
      <c r="H605" s="0" t="n">
        <f aca="false">IF(MOD(F605-1,2)=0,SUMPRODUCT(($A$2:$A$644=A605)*(ROW($A$2:$A$644)&gt;=ROW())*(ROW($A$2:$A$644)&lt;ROW()+2)*$C$2:$C$644),"")</f>
        <v>96</v>
      </c>
      <c r="I605" s="0" t="n">
        <f aca="false">IF(H605="","",ROUNDUP(H605/75,0))</f>
        <v>2</v>
      </c>
      <c r="J605" s="0" t="str">
        <f aca="false">IF(MOD(F605-1,3)=0,SUMPRODUCT(($A$2:$A$644=A605)*(ROW($A$2:$A$644)&gt;=ROW())*(ROW($A$2:$A$644)&lt;ROW()+3)*$C$2:$C$644),"")</f>
        <v/>
      </c>
      <c r="K605" s="0" t="str">
        <f aca="false">IF(J605="","",ROUNDUP(J605/75,0))</f>
        <v/>
      </c>
      <c r="L605" s="0" t="str">
        <f aca="false">IF(MOD(F605-1,5)=0,SUMPRODUCT(($A$2:$A$644=A605)*(ROW($A$2:$A$644)&gt;=ROW())*(ROW($A$2:$A$644)&lt;ROW()+5)*$C$2:$C$644),"")</f>
        <v/>
      </c>
      <c r="M605" s="0" t="str">
        <f aca="false">IF(L605="","",ROUNDUP(L605/75,0))</f>
        <v/>
      </c>
      <c r="N605" s="0" t="str">
        <f aca="false">IF(MOD(F605-1,7)=0,SUMPRODUCT(($A$2:$A$644=A605)*(ROW($A$2:$A$644)&gt;=ROW())*(ROW($A$2:$A$644)&lt;ROW()+7)*$C$2:$C$644),"")</f>
        <v/>
      </c>
      <c r="O605" s="0" t="str">
        <f aca="false">IF(N605="","",ROUNDUP(N605/75,0))</f>
        <v/>
      </c>
    </row>
    <row r="606" customFormat="false" ht="15" hidden="false" customHeight="false" outlineLevel="0" collapsed="false">
      <c r="A606" s="0" t="s">
        <v>462</v>
      </c>
      <c r="B606" s="0" t="s">
        <v>640</v>
      </c>
      <c r="C606" s="0" t="n">
        <v>42</v>
      </c>
      <c r="D606" s="0" t="n">
        <v>1</v>
      </c>
      <c r="E606" s="0" t="n">
        <v>33</v>
      </c>
      <c r="F606" s="0" t="n">
        <f aca="false">COUNTIF($A$2:A606,A606)</f>
        <v>178</v>
      </c>
      <c r="G606" s="0" t="n">
        <f aca="false">ROUNDUP(C606*1.236/75,0)</f>
        <v>1</v>
      </c>
      <c r="H606" s="0" t="str">
        <f aca="false">IF(MOD(F606-1,2)=0,SUMPRODUCT(($A$2:$A$644=A606)*(ROW($A$2:$A$644)&gt;=ROW())*(ROW($A$2:$A$644)&lt;ROW()+2)*$C$2:$C$644),"")</f>
        <v/>
      </c>
      <c r="I606" s="0" t="str">
        <f aca="false">IF(H606="","",ROUNDUP(H606/75,0))</f>
        <v/>
      </c>
      <c r="J606" s="0" t="n">
        <f aca="false">IF(MOD(F606-1,3)=0,SUMPRODUCT(($A$2:$A$644=A606)*(ROW($A$2:$A$644)&gt;=ROW())*(ROW($A$2:$A$644)&lt;ROW()+3)*$C$2:$C$644),"")</f>
        <v>102</v>
      </c>
      <c r="K606" s="0" t="n">
        <f aca="false">IF(J606="","",ROUNDUP(J606/75,0))</f>
        <v>2</v>
      </c>
      <c r="L606" s="0" t="str">
        <f aca="false">IF(MOD(F606-1,5)=0,SUMPRODUCT(($A$2:$A$644=A606)*(ROW($A$2:$A$644)&gt;=ROW())*(ROW($A$2:$A$644)&lt;ROW()+5)*$C$2:$C$644),"")</f>
        <v/>
      </c>
      <c r="M606" s="0" t="str">
        <f aca="false">IF(L606="","",ROUNDUP(L606/75,0))</f>
        <v/>
      </c>
      <c r="N606" s="0" t="str">
        <f aca="false">IF(MOD(F606-1,7)=0,SUMPRODUCT(($A$2:$A$644=A606)*(ROW($A$2:$A$644)&gt;=ROW())*(ROW($A$2:$A$644)&lt;ROW()+7)*$C$2:$C$644),"")</f>
        <v/>
      </c>
      <c r="O606" s="0" t="str">
        <f aca="false">IF(N606="","",ROUNDUP(N606/75,0))</f>
        <v/>
      </c>
    </row>
    <row r="607" customFormat="false" ht="15" hidden="false" customHeight="false" outlineLevel="0" collapsed="false">
      <c r="A607" s="0" t="s">
        <v>462</v>
      </c>
      <c r="B607" s="0" t="s">
        <v>641</v>
      </c>
      <c r="C607" s="0" t="n">
        <v>30</v>
      </c>
      <c r="D607" s="0" t="n">
        <v>1</v>
      </c>
      <c r="E607" s="0" t="n">
        <v>45</v>
      </c>
      <c r="F607" s="0" t="n">
        <f aca="false">COUNTIF($A$2:A607,A607)</f>
        <v>179</v>
      </c>
      <c r="G607" s="0" t="n">
        <f aca="false">ROUNDUP(C607*1.236/75,0)</f>
        <v>1</v>
      </c>
      <c r="H607" s="0" t="n">
        <f aca="false">IF(MOD(F607-1,2)=0,SUMPRODUCT(($A$2:$A$644=A607)*(ROW($A$2:$A$644)&gt;=ROW())*(ROW($A$2:$A$644)&lt;ROW()+2)*$C$2:$C$644),"")</f>
        <v>60</v>
      </c>
      <c r="I607" s="0" t="n">
        <f aca="false">IF(H607="","",ROUNDUP(H607/75,0))</f>
        <v>1</v>
      </c>
      <c r="J607" s="0" t="str">
        <f aca="false">IF(MOD(F607-1,3)=0,SUMPRODUCT(($A$2:$A$644=A607)*(ROW($A$2:$A$644)&gt;=ROW())*(ROW($A$2:$A$644)&lt;ROW()+3)*$C$2:$C$644),"")</f>
        <v/>
      </c>
      <c r="K607" s="0" t="str">
        <f aca="false">IF(J607="","",ROUNDUP(J607/75,0))</f>
        <v/>
      </c>
      <c r="L607" s="0" t="str">
        <f aca="false">IF(MOD(F607-1,5)=0,SUMPRODUCT(($A$2:$A$644=A607)*(ROW($A$2:$A$644)&gt;=ROW())*(ROW($A$2:$A$644)&lt;ROW()+5)*$C$2:$C$644),"")</f>
        <v/>
      </c>
      <c r="M607" s="0" t="str">
        <f aca="false">IF(L607="","",ROUNDUP(L607/75,0))</f>
        <v/>
      </c>
      <c r="N607" s="0" t="str">
        <f aca="false">IF(MOD(F607-1,7)=0,SUMPRODUCT(($A$2:$A$644=A607)*(ROW($A$2:$A$644)&gt;=ROW())*(ROW($A$2:$A$644)&lt;ROW()+7)*$C$2:$C$644),"")</f>
        <v/>
      </c>
      <c r="O607" s="0" t="str">
        <f aca="false">IF(N607="","",ROUNDUP(N607/75,0))</f>
        <v/>
      </c>
    </row>
    <row r="608" customFormat="false" ht="15" hidden="false" customHeight="false" outlineLevel="0" collapsed="false">
      <c r="A608" s="0" t="s">
        <v>462</v>
      </c>
      <c r="B608" s="0" t="s">
        <v>642</v>
      </c>
      <c r="C608" s="0" t="n">
        <v>30</v>
      </c>
      <c r="D608" s="0" t="n">
        <v>1</v>
      </c>
      <c r="E608" s="0" t="n">
        <v>45</v>
      </c>
      <c r="F608" s="0" t="n">
        <f aca="false">COUNTIF($A$2:A608,A608)</f>
        <v>180</v>
      </c>
      <c r="G608" s="0" t="n">
        <f aca="false">ROUNDUP(C608*1.236/75,0)</f>
        <v>1</v>
      </c>
      <c r="H608" s="0" t="str">
        <f aca="false">IF(MOD(F608-1,2)=0,SUMPRODUCT(($A$2:$A$644=A608)*(ROW($A$2:$A$644)&gt;=ROW())*(ROW($A$2:$A$644)&lt;ROW()+2)*$C$2:$C$644),"")</f>
        <v/>
      </c>
      <c r="I608" s="0" t="str">
        <f aca="false">IF(H608="","",ROUNDUP(H608/75,0))</f>
        <v/>
      </c>
      <c r="J608" s="0" t="str">
        <f aca="false">IF(MOD(F608-1,3)=0,SUMPRODUCT(($A$2:$A$644=A608)*(ROW($A$2:$A$644)&gt;=ROW())*(ROW($A$2:$A$644)&lt;ROW()+3)*$C$2:$C$644),"")</f>
        <v/>
      </c>
      <c r="K608" s="0" t="str">
        <f aca="false">IF(J608="","",ROUNDUP(J608/75,0))</f>
        <v/>
      </c>
      <c r="L608" s="0" t="str">
        <f aca="false">IF(MOD(F608-1,5)=0,SUMPRODUCT(($A$2:$A$644=A608)*(ROW($A$2:$A$644)&gt;=ROW())*(ROW($A$2:$A$644)&lt;ROW()+5)*$C$2:$C$644),"")</f>
        <v/>
      </c>
      <c r="M608" s="0" t="str">
        <f aca="false">IF(L608="","",ROUNDUP(L608/75,0))</f>
        <v/>
      </c>
      <c r="N608" s="0" t="str">
        <f aca="false">IF(MOD(F608-1,7)=0,SUMPRODUCT(($A$2:$A$644=A608)*(ROW($A$2:$A$644)&gt;=ROW())*(ROW($A$2:$A$644)&lt;ROW()+7)*$C$2:$C$644),"")</f>
        <v/>
      </c>
      <c r="O608" s="0" t="str">
        <f aca="false">IF(N608="","",ROUNDUP(N608/75,0))</f>
        <v/>
      </c>
    </row>
    <row r="609" customFormat="false" ht="15" hidden="false" customHeight="false" outlineLevel="0" collapsed="false">
      <c r="A609" s="0" t="s">
        <v>462</v>
      </c>
      <c r="B609" s="0" t="s">
        <v>643</v>
      </c>
      <c r="C609" s="0" t="n">
        <v>102</v>
      </c>
      <c r="D609" s="0" t="n">
        <v>2</v>
      </c>
      <c r="E609" s="0" t="n">
        <v>48</v>
      </c>
      <c r="F609" s="0" t="n">
        <f aca="false">COUNTIF($A$2:A609,A609)</f>
        <v>181</v>
      </c>
      <c r="G609" s="0" t="n">
        <f aca="false">ROUNDUP(C609*1.236/75,0)</f>
        <v>2</v>
      </c>
      <c r="H609" s="0" t="n">
        <f aca="false">IF(MOD(F609-1,2)=0,SUMPRODUCT(($A$2:$A$644=A609)*(ROW($A$2:$A$644)&gt;=ROW())*(ROW($A$2:$A$644)&lt;ROW()+2)*$C$2:$C$644),"")</f>
        <v>138</v>
      </c>
      <c r="I609" s="0" t="n">
        <f aca="false">IF(H609="","",ROUNDUP(H609/75,0))</f>
        <v>2</v>
      </c>
      <c r="J609" s="0" t="n">
        <f aca="false">IF(MOD(F609-1,3)=0,SUMPRODUCT(($A$2:$A$644=A609)*(ROW($A$2:$A$644)&gt;=ROW())*(ROW($A$2:$A$644)&lt;ROW()+3)*$C$2:$C$644),"")</f>
        <v>246</v>
      </c>
      <c r="K609" s="0" t="n">
        <f aca="false">IF(J609="","",ROUNDUP(J609/75,0))</f>
        <v>4</v>
      </c>
      <c r="L609" s="0" t="n">
        <f aca="false">IF(MOD(F609-1,5)=0,SUMPRODUCT(($A$2:$A$644=A609)*(ROW($A$2:$A$644)&gt;=ROW())*(ROW($A$2:$A$644)&lt;ROW()+5)*$C$2:$C$644),"")</f>
        <v>354</v>
      </c>
      <c r="M609" s="0" t="n">
        <f aca="false">IF(L609="","",ROUNDUP(L609/75,0))</f>
        <v>5</v>
      </c>
      <c r="N609" s="0" t="str">
        <f aca="false">IF(MOD(F609-1,7)=0,SUMPRODUCT(($A$2:$A$644=A609)*(ROW($A$2:$A$644)&gt;=ROW())*(ROW($A$2:$A$644)&lt;ROW()+7)*$C$2:$C$644),"")</f>
        <v/>
      </c>
      <c r="O609" s="0" t="str">
        <f aca="false">IF(N609="","",ROUNDUP(N609/75,0))</f>
        <v/>
      </c>
    </row>
    <row r="610" customFormat="false" ht="15" hidden="false" customHeight="false" outlineLevel="0" collapsed="false">
      <c r="A610" s="0" t="s">
        <v>462</v>
      </c>
      <c r="B610" s="0" t="s">
        <v>644</v>
      </c>
      <c r="C610" s="0" t="n">
        <v>36</v>
      </c>
      <c r="D610" s="0" t="n">
        <v>1</v>
      </c>
      <c r="E610" s="0" t="n">
        <v>39</v>
      </c>
      <c r="F610" s="0" t="n">
        <f aca="false">COUNTIF($A$2:A610,A610)</f>
        <v>182</v>
      </c>
      <c r="G610" s="0" t="n">
        <f aca="false">ROUNDUP(C610*1.236/75,0)</f>
        <v>1</v>
      </c>
      <c r="H610" s="0" t="str">
        <f aca="false">IF(MOD(F610-1,2)=0,SUMPRODUCT(($A$2:$A$644=A610)*(ROW($A$2:$A$644)&gt;=ROW())*(ROW($A$2:$A$644)&lt;ROW()+2)*$C$2:$C$644),"")</f>
        <v/>
      </c>
      <c r="I610" s="0" t="str">
        <f aca="false">IF(H610="","",ROUNDUP(H610/75,0))</f>
        <v/>
      </c>
      <c r="J610" s="0" t="str">
        <f aca="false">IF(MOD(F610-1,3)=0,SUMPRODUCT(($A$2:$A$644=A610)*(ROW($A$2:$A$644)&gt;=ROW())*(ROW($A$2:$A$644)&lt;ROW()+3)*$C$2:$C$644),"")</f>
        <v/>
      </c>
      <c r="K610" s="0" t="str">
        <f aca="false">IF(J610="","",ROUNDUP(J610/75,0))</f>
        <v/>
      </c>
      <c r="L610" s="0" t="str">
        <f aca="false">IF(MOD(F610-1,5)=0,SUMPRODUCT(($A$2:$A$644=A610)*(ROW($A$2:$A$644)&gt;=ROW())*(ROW($A$2:$A$644)&lt;ROW()+5)*$C$2:$C$644),"")</f>
        <v/>
      </c>
      <c r="M610" s="0" t="str">
        <f aca="false">IF(L610="","",ROUNDUP(L610/75,0))</f>
        <v/>
      </c>
      <c r="N610" s="0" t="str">
        <f aca="false">IF(MOD(F610-1,7)=0,SUMPRODUCT(($A$2:$A$644=A610)*(ROW($A$2:$A$644)&gt;=ROW())*(ROW($A$2:$A$644)&lt;ROW()+7)*$C$2:$C$644),"")</f>
        <v/>
      </c>
      <c r="O610" s="0" t="str">
        <f aca="false">IF(N610="","",ROUNDUP(N610/75,0))</f>
        <v/>
      </c>
    </row>
    <row r="611" customFormat="false" ht="15" hidden="false" customHeight="false" outlineLevel="0" collapsed="false">
      <c r="A611" s="0" t="s">
        <v>462</v>
      </c>
      <c r="B611" s="0" t="s">
        <v>645</v>
      </c>
      <c r="C611" s="0" t="n">
        <v>108</v>
      </c>
      <c r="D611" s="0" t="n">
        <v>2</v>
      </c>
      <c r="E611" s="0" t="n">
        <v>42</v>
      </c>
      <c r="F611" s="0" t="n">
        <f aca="false">COUNTIF($A$2:A611,A611)</f>
        <v>183</v>
      </c>
      <c r="G611" s="0" t="n">
        <f aca="false">ROUNDUP(C611*1.236/75,0)</f>
        <v>2</v>
      </c>
      <c r="H611" s="0" t="n">
        <f aca="false">IF(MOD(F611-1,2)=0,SUMPRODUCT(($A$2:$A$644=A611)*(ROW($A$2:$A$644)&gt;=ROW())*(ROW($A$2:$A$644)&lt;ROW()+2)*$C$2:$C$644),"")</f>
        <v>186</v>
      </c>
      <c r="I611" s="0" t="n">
        <f aca="false">IF(H611="","",ROUNDUP(H611/75,0))</f>
        <v>3</v>
      </c>
      <c r="J611" s="0" t="str">
        <f aca="false">IF(MOD(F611-1,3)=0,SUMPRODUCT(($A$2:$A$644=A611)*(ROW($A$2:$A$644)&gt;=ROW())*(ROW($A$2:$A$644)&lt;ROW()+3)*$C$2:$C$644),"")</f>
        <v/>
      </c>
      <c r="K611" s="0" t="str">
        <f aca="false">IF(J611="","",ROUNDUP(J611/75,0))</f>
        <v/>
      </c>
      <c r="L611" s="0" t="str">
        <f aca="false">IF(MOD(F611-1,5)=0,SUMPRODUCT(($A$2:$A$644=A611)*(ROW($A$2:$A$644)&gt;=ROW())*(ROW($A$2:$A$644)&lt;ROW()+5)*$C$2:$C$644),"")</f>
        <v/>
      </c>
      <c r="M611" s="0" t="str">
        <f aca="false">IF(L611="","",ROUNDUP(L611/75,0))</f>
        <v/>
      </c>
      <c r="N611" s="0" t="n">
        <f aca="false">IF(MOD(F611-1,7)=0,SUMPRODUCT(($A$2:$A$644=A611)*(ROW($A$2:$A$644)&gt;=ROW())*(ROW($A$2:$A$644)&lt;ROW()+7)*$C$2:$C$644),"")</f>
        <v>360</v>
      </c>
      <c r="O611" s="0" t="n">
        <f aca="false">IF(N611="","",ROUNDUP(N611/75,0))</f>
        <v>5</v>
      </c>
    </row>
    <row r="612" customFormat="false" ht="15" hidden="false" customHeight="false" outlineLevel="0" collapsed="false">
      <c r="A612" s="0" t="s">
        <v>462</v>
      </c>
      <c r="B612" s="0" t="s">
        <v>646</v>
      </c>
      <c r="C612" s="0" t="n">
        <v>78</v>
      </c>
      <c r="D612" s="0" t="n">
        <v>2</v>
      </c>
      <c r="E612" s="0" t="n">
        <v>72</v>
      </c>
      <c r="F612" s="0" t="n">
        <f aca="false">COUNTIF($A$2:A612,A612)</f>
        <v>184</v>
      </c>
      <c r="G612" s="0" t="n">
        <f aca="false">ROUNDUP(C612*1.236/75,0)</f>
        <v>2</v>
      </c>
      <c r="H612" s="0" t="str">
        <f aca="false">IF(MOD(F612-1,2)=0,SUMPRODUCT(($A$2:$A$644=A612)*(ROW($A$2:$A$644)&gt;=ROW())*(ROW($A$2:$A$644)&lt;ROW()+2)*$C$2:$C$644),"")</f>
        <v/>
      </c>
      <c r="I612" s="0" t="str">
        <f aca="false">IF(H612="","",ROUNDUP(H612/75,0))</f>
        <v/>
      </c>
      <c r="J612" s="0" t="n">
        <f aca="false">IF(MOD(F612-1,3)=0,SUMPRODUCT(($A$2:$A$644=A612)*(ROW($A$2:$A$644)&gt;=ROW())*(ROW($A$2:$A$644)&lt;ROW()+3)*$C$2:$C$644),"")</f>
        <v>120</v>
      </c>
      <c r="K612" s="0" t="n">
        <f aca="false">IF(J612="","",ROUNDUP(J612/75,0))</f>
        <v>2</v>
      </c>
      <c r="L612" s="0" t="str">
        <f aca="false">IF(MOD(F612-1,5)=0,SUMPRODUCT(($A$2:$A$644=A612)*(ROW($A$2:$A$644)&gt;=ROW())*(ROW($A$2:$A$644)&lt;ROW()+5)*$C$2:$C$644),"")</f>
        <v/>
      </c>
      <c r="M612" s="0" t="str">
        <f aca="false">IF(L612="","",ROUNDUP(L612/75,0))</f>
        <v/>
      </c>
      <c r="N612" s="0" t="str">
        <f aca="false">IF(MOD(F612-1,7)=0,SUMPRODUCT(($A$2:$A$644=A612)*(ROW($A$2:$A$644)&gt;=ROW())*(ROW($A$2:$A$644)&lt;ROW()+7)*$C$2:$C$644),"")</f>
        <v/>
      </c>
      <c r="O612" s="0" t="str">
        <f aca="false">IF(N612="","",ROUNDUP(N612/75,0))</f>
        <v/>
      </c>
    </row>
    <row r="613" customFormat="false" ht="15" hidden="false" customHeight="false" outlineLevel="0" collapsed="false">
      <c r="A613" s="0" t="s">
        <v>462</v>
      </c>
      <c r="B613" s="0" t="s">
        <v>647</v>
      </c>
      <c r="C613" s="0" t="n">
        <v>30</v>
      </c>
      <c r="D613" s="0" t="n">
        <v>1</v>
      </c>
      <c r="E613" s="0" t="n">
        <v>45</v>
      </c>
      <c r="F613" s="0" t="n">
        <f aca="false">COUNTIF($A$2:A613,A613)</f>
        <v>185</v>
      </c>
      <c r="G613" s="0" t="n">
        <f aca="false">ROUNDUP(C613*1.236/75,0)</f>
        <v>1</v>
      </c>
      <c r="H613" s="0" t="n">
        <f aca="false">IF(MOD(F613-1,2)=0,SUMPRODUCT(($A$2:$A$644=A613)*(ROW($A$2:$A$644)&gt;=ROW())*(ROW($A$2:$A$644)&lt;ROW()+2)*$C$2:$C$644),"")</f>
        <v>42</v>
      </c>
      <c r="I613" s="0" t="n">
        <f aca="false">IF(H613="","",ROUNDUP(H613/75,0))</f>
        <v>1</v>
      </c>
      <c r="J613" s="0" t="str">
        <f aca="false">IF(MOD(F613-1,3)=0,SUMPRODUCT(($A$2:$A$644=A613)*(ROW($A$2:$A$644)&gt;=ROW())*(ROW($A$2:$A$644)&lt;ROW()+3)*$C$2:$C$644),"")</f>
        <v/>
      </c>
      <c r="K613" s="0" t="str">
        <f aca="false">IF(J613="","",ROUNDUP(J613/75,0))</f>
        <v/>
      </c>
      <c r="L613" s="0" t="str">
        <f aca="false">IF(MOD(F613-1,5)=0,SUMPRODUCT(($A$2:$A$644=A613)*(ROW($A$2:$A$644)&gt;=ROW())*(ROW($A$2:$A$644)&lt;ROW()+5)*$C$2:$C$644),"")</f>
        <v/>
      </c>
      <c r="M613" s="0" t="str">
        <f aca="false">IF(L613="","",ROUNDUP(L613/75,0))</f>
        <v/>
      </c>
      <c r="N613" s="0" t="str">
        <f aca="false">IF(MOD(F613-1,7)=0,SUMPRODUCT(($A$2:$A$644=A613)*(ROW($A$2:$A$644)&gt;=ROW())*(ROW($A$2:$A$644)&lt;ROW()+7)*$C$2:$C$644),"")</f>
        <v/>
      </c>
      <c r="O613" s="0" t="str">
        <f aca="false">IF(N613="","",ROUNDUP(N613/75,0))</f>
        <v/>
      </c>
    </row>
    <row r="614" customFormat="false" ht="15" hidden="false" customHeight="false" outlineLevel="0" collapsed="false">
      <c r="A614" s="0" t="s">
        <v>462</v>
      </c>
      <c r="B614" s="0" t="s">
        <v>648</v>
      </c>
      <c r="C614" s="0" t="n">
        <v>12</v>
      </c>
      <c r="D614" s="0" t="n">
        <v>1</v>
      </c>
      <c r="E614" s="0" t="n">
        <v>63</v>
      </c>
      <c r="F614" s="0" t="n">
        <f aca="false">COUNTIF($A$2:A614,A614)</f>
        <v>186</v>
      </c>
      <c r="G614" s="0" t="n">
        <f aca="false">ROUNDUP(C614*1.236/75,0)</f>
        <v>1</v>
      </c>
      <c r="H614" s="0" t="str">
        <f aca="false">IF(MOD(F614-1,2)=0,SUMPRODUCT(($A$2:$A$644=A614)*(ROW($A$2:$A$644)&gt;=ROW())*(ROW($A$2:$A$644)&lt;ROW()+2)*$C$2:$C$644),"")</f>
        <v/>
      </c>
      <c r="I614" s="0" t="str">
        <f aca="false">IF(H614="","",ROUNDUP(H614/75,0))</f>
        <v/>
      </c>
      <c r="J614" s="0" t="str">
        <f aca="false">IF(MOD(F614-1,3)=0,SUMPRODUCT(($A$2:$A$644=A614)*(ROW($A$2:$A$644)&gt;=ROW())*(ROW($A$2:$A$644)&lt;ROW()+3)*$C$2:$C$644),"")</f>
        <v/>
      </c>
      <c r="K614" s="0" t="str">
        <f aca="false">IF(J614="","",ROUNDUP(J614/75,0))</f>
        <v/>
      </c>
      <c r="L614" s="0" t="n">
        <f aca="false">IF(MOD(F614-1,5)=0,SUMPRODUCT(($A$2:$A$644=A614)*(ROW($A$2:$A$644)&gt;=ROW())*(ROW($A$2:$A$644)&lt;ROW()+5)*$C$2:$C$644),"")</f>
        <v>234</v>
      </c>
      <c r="M614" s="0" t="n">
        <f aca="false">IF(L614="","",ROUNDUP(L614/75,0))</f>
        <v>4</v>
      </c>
      <c r="N614" s="0" t="str">
        <f aca="false">IF(MOD(F614-1,7)=0,SUMPRODUCT(($A$2:$A$644=A614)*(ROW($A$2:$A$644)&gt;=ROW())*(ROW($A$2:$A$644)&lt;ROW()+7)*$C$2:$C$644),"")</f>
        <v/>
      </c>
      <c r="O614" s="0" t="str">
        <f aca="false">IF(N614="","",ROUNDUP(N614/75,0))</f>
        <v/>
      </c>
    </row>
    <row r="615" customFormat="false" ht="15" hidden="false" customHeight="false" outlineLevel="0" collapsed="false">
      <c r="A615" s="0" t="s">
        <v>462</v>
      </c>
      <c r="B615" s="0" t="s">
        <v>649</v>
      </c>
      <c r="C615" s="0" t="n">
        <v>36</v>
      </c>
      <c r="D615" s="0" t="n">
        <v>1</v>
      </c>
      <c r="E615" s="0" t="n">
        <v>39</v>
      </c>
      <c r="F615" s="0" t="n">
        <f aca="false">COUNTIF($A$2:A615,A615)</f>
        <v>187</v>
      </c>
      <c r="G615" s="0" t="n">
        <f aca="false">ROUNDUP(C615*1.236/75,0)</f>
        <v>1</v>
      </c>
      <c r="H615" s="0" t="n">
        <f aca="false">IF(MOD(F615-1,2)=0,SUMPRODUCT(($A$2:$A$644=A615)*(ROW($A$2:$A$644)&gt;=ROW())*(ROW($A$2:$A$644)&lt;ROW()+2)*$C$2:$C$644),"")</f>
        <v>42</v>
      </c>
      <c r="I615" s="0" t="n">
        <f aca="false">IF(H615="","",ROUNDUP(H615/75,0))</f>
        <v>1</v>
      </c>
      <c r="J615" s="0" t="n">
        <f aca="false">IF(MOD(F615-1,3)=0,SUMPRODUCT(($A$2:$A$644=A615)*(ROW($A$2:$A$644)&gt;=ROW())*(ROW($A$2:$A$644)&lt;ROW()+3)*$C$2:$C$644),"")</f>
        <v>132</v>
      </c>
      <c r="K615" s="0" t="n">
        <f aca="false">IF(J615="","",ROUNDUP(J615/75,0))</f>
        <v>2</v>
      </c>
      <c r="L615" s="0" t="str">
        <f aca="false">IF(MOD(F615-1,5)=0,SUMPRODUCT(($A$2:$A$644=A615)*(ROW($A$2:$A$644)&gt;=ROW())*(ROW($A$2:$A$644)&lt;ROW()+5)*$C$2:$C$644),"")</f>
        <v/>
      </c>
      <c r="M615" s="0" t="str">
        <f aca="false">IF(L615="","",ROUNDUP(L615/75,0))</f>
        <v/>
      </c>
      <c r="N615" s="0" t="str">
        <f aca="false">IF(MOD(F615-1,7)=0,SUMPRODUCT(($A$2:$A$644=A615)*(ROW($A$2:$A$644)&gt;=ROW())*(ROW($A$2:$A$644)&lt;ROW()+7)*$C$2:$C$644),"")</f>
        <v/>
      </c>
      <c r="O615" s="0" t="str">
        <f aca="false">IF(N615="","",ROUNDUP(N615/75,0))</f>
        <v/>
      </c>
    </row>
    <row r="616" customFormat="false" ht="15" hidden="false" customHeight="false" outlineLevel="0" collapsed="false">
      <c r="A616" s="0" t="s">
        <v>462</v>
      </c>
      <c r="B616" s="0" t="s">
        <v>650</v>
      </c>
      <c r="C616" s="0" t="n">
        <v>6</v>
      </c>
      <c r="D616" s="0" t="n">
        <v>1</v>
      </c>
      <c r="E616" s="0" t="n">
        <v>69</v>
      </c>
      <c r="F616" s="0" t="n">
        <f aca="false">COUNTIF($A$2:A616,A616)</f>
        <v>188</v>
      </c>
      <c r="G616" s="0" t="n">
        <f aca="false">ROUNDUP(C616*1.236/75,0)</f>
        <v>1</v>
      </c>
      <c r="H616" s="0" t="str">
        <f aca="false">IF(MOD(F616-1,2)=0,SUMPRODUCT(($A$2:$A$644=A616)*(ROW($A$2:$A$644)&gt;=ROW())*(ROW($A$2:$A$644)&lt;ROW()+2)*$C$2:$C$644),"")</f>
        <v/>
      </c>
      <c r="I616" s="0" t="str">
        <f aca="false">IF(H616="","",ROUNDUP(H616/75,0))</f>
        <v/>
      </c>
      <c r="J616" s="0" t="str">
        <f aca="false">IF(MOD(F616-1,3)=0,SUMPRODUCT(($A$2:$A$644=A616)*(ROW($A$2:$A$644)&gt;=ROW())*(ROW($A$2:$A$644)&lt;ROW()+3)*$C$2:$C$644),"")</f>
        <v/>
      </c>
      <c r="K616" s="0" t="str">
        <f aca="false">IF(J616="","",ROUNDUP(J616/75,0))</f>
        <v/>
      </c>
      <c r="L616" s="0" t="str">
        <f aca="false">IF(MOD(F616-1,5)=0,SUMPRODUCT(($A$2:$A$644=A616)*(ROW($A$2:$A$644)&gt;=ROW())*(ROW($A$2:$A$644)&lt;ROW()+5)*$C$2:$C$644),"")</f>
        <v/>
      </c>
      <c r="M616" s="0" t="str">
        <f aca="false">IF(L616="","",ROUNDUP(L616/75,0))</f>
        <v/>
      </c>
      <c r="N616" s="0" t="str">
        <f aca="false">IF(MOD(F616-1,7)=0,SUMPRODUCT(($A$2:$A$644=A616)*(ROW($A$2:$A$644)&gt;=ROW())*(ROW($A$2:$A$644)&lt;ROW()+7)*$C$2:$C$644),"")</f>
        <v/>
      </c>
      <c r="O616" s="0" t="str">
        <f aca="false">IF(N616="","",ROUNDUP(N616/75,0))</f>
        <v/>
      </c>
    </row>
    <row r="617" customFormat="false" ht="15" hidden="false" customHeight="false" outlineLevel="0" collapsed="false">
      <c r="A617" s="0" t="s">
        <v>462</v>
      </c>
      <c r="B617" s="0" t="s">
        <v>651</v>
      </c>
      <c r="C617" s="0" t="n">
        <v>90</v>
      </c>
      <c r="D617" s="0" t="n">
        <v>2</v>
      </c>
      <c r="E617" s="0" t="n">
        <v>60</v>
      </c>
      <c r="F617" s="0" t="n">
        <f aca="false">COUNTIF($A$2:A617,A617)</f>
        <v>189</v>
      </c>
      <c r="G617" s="0" t="n">
        <f aca="false">ROUNDUP(C617*1.236/75,0)</f>
        <v>2</v>
      </c>
      <c r="H617" s="0" t="n">
        <f aca="false">IF(MOD(F617-1,2)=0,SUMPRODUCT(($A$2:$A$644=A617)*(ROW($A$2:$A$644)&gt;=ROW())*(ROW($A$2:$A$644)&lt;ROW()+2)*$C$2:$C$644),"")</f>
        <v>180</v>
      </c>
      <c r="I617" s="0" t="n">
        <f aca="false">IF(H617="","",ROUNDUP(H617/75,0))</f>
        <v>3</v>
      </c>
      <c r="J617" s="0" t="str">
        <f aca="false">IF(MOD(F617-1,3)=0,SUMPRODUCT(($A$2:$A$644=A617)*(ROW($A$2:$A$644)&gt;=ROW())*(ROW($A$2:$A$644)&lt;ROW()+3)*$C$2:$C$644),"")</f>
        <v/>
      </c>
      <c r="K617" s="0" t="str">
        <f aca="false">IF(J617="","",ROUNDUP(J617/75,0))</f>
        <v/>
      </c>
      <c r="L617" s="0" t="str">
        <f aca="false">IF(MOD(F617-1,5)=0,SUMPRODUCT(($A$2:$A$644=A617)*(ROW($A$2:$A$644)&gt;=ROW())*(ROW($A$2:$A$644)&lt;ROW()+5)*$C$2:$C$644),"")</f>
        <v/>
      </c>
      <c r="M617" s="0" t="str">
        <f aca="false">IF(L617="","",ROUNDUP(L617/75,0))</f>
        <v/>
      </c>
      <c r="N617" s="0" t="str">
        <f aca="false">IF(MOD(F617-1,7)=0,SUMPRODUCT(($A$2:$A$644=A617)*(ROW($A$2:$A$644)&gt;=ROW())*(ROW($A$2:$A$644)&lt;ROW()+7)*$C$2:$C$644),"")</f>
        <v/>
      </c>
      <c r="O617" s="0" t="str">
        <f aca="false">IF(N617="","",ROUNDUP(N617/75,0))</f>
        <v/>
      </c>
    </row>
    <row r="618" customFormat="false" ht="15" hidden="false" customHeight="false" outlineLevel="0" collapsed="false">
      <c r="A618" s="0" t="s">
        <v>462</v>
      </c>
      <c r="B618" s="0" t="s">
        <v>652</v>
      </c>
      <c r="C618" s="0" t="n">
        <v>90</v>
      </c>
      <c r="D618" s="0" t="n">
        <v>2</v>
      </c>
      <c r="E618" s="0" t="n">
        <v>60</v>
      </c>
      <c r="F618" s="0" t="n">
        <f aca="false">COUNTIF($A$2:A618,A618)</f>
        <v>190</v>
      </c>
      <c r="G618" s="0" t="n">
        <f aca="false">ROUNDUP(C618*1.236/75,0)</f>
        <v>2</v>
      </c>
      <c r="H618" s="0" t="str">
        <f aca="false">IF(MOD(F618-1,2)=0,SUMPRODUCT(($A$2:$A$644=A618)*(ROW($A$2:$A$644)&gt;=ROW())*(ROW($A$2:$A$644)&lt;ROW()+2)*$C$2:$C$644),"")</f>
        <v/>
      </c>
      <c r="I618" s="0" t="str">
        <f aca="false">IF(H618="","",ROUNDUP(H618/75,0))</f>
        <v/>
      </c>
      <c r="J618" s="0" t="n">
        <f aca="false">IF(MOD(F618-1,3)=0,SUMPRODUCT(($A$2:$A$644=A618)*(ROW($A$2:$A$644)&gt;=ROW())*(ROW($A$2:$A$644)&lt;ROW()+3)*$C$2:$C$644),"")</f>
        <v>156</v>
      </c>
      <c r="K618" s="0" t="n">
        <f aca="false">IF(J618="","",ROUNDUP(J618/75,0))</f>
        <v>3</v>
      </c>
      <c r="L618" s="0" t="str">
        <f aca="false">IF(MOD(F618-1,5)=0,SUMPRODUCT(($A$2:$A$644=A618)*(ROW($A$2:$A$644)&gt;=ROW())*(ROW($A$2:$A$644)&lt;ROW()+5)*$C$2:$C$644),"")</f>
        <v/>
      </c>
      <c r="M618" s="0" t="str">
        <f aca="false">IF(L618="","",ROUNDUP(L618/75,0))</f>
        <v/>
      </c>
      <c r="N618" s="0" t="n">
        <f aca="false">IF(MOD(F618-1,7)=0,SUMPRODUCT(($A$2:$A$644=A618)*(ROW($A$2:$A$644)&gt;=ROW())*(ROW($A$2:$A$644)&lt;ROW()+7)*$C$2:$C$644),"")</f>
        <v>402</v>
      </c>
      <c r="O618" s="0" t="n">
        <f aca="false">IF(N618="","",ROUNDUP(N618/75,0))</f>
        <v>6</v>
      </c>
    </row>
    <row r="619" customFormat="false" ht="15" hidden="false" customHeight="false" outlineLevel="0" collapsed="false">
      <c r="A619" s="0" t="s">
        <v>462</v>
      </c>
      <c r="B619" s="0" t="s">
        <v>653</v>
      </c>
      <c r="C619" s="0" t="n">
        <v>12</v>
      </c>
      <c r="D619" s="0" t="n">
        <v>1</v>
      </c>
      <c r="E619" s="0" t="n">
        <v>63</v>
      </c>
      <c r="F619" s="0" t="n">
        <f aca="false">COUNTIF($A$2:A619,A619)</f>
        <v>191</v>
      </c>
      <c r="G619" s="0" t="n">
        <f aca="false">ROUNDUP(C619*1.236/75,0)</f>
        <v>1</v>
      </c>
      <c r="H619" s="0" t="n">
        <f aca="false">IF(MOD(F619-1,2)=0,SUMPRODUCT(($A$2:$A$644=A619)*(ROW($A$2:$A$644)&gt;=ROW())*(ROW($A$2:$A$644)&lt;ROW()+2)*$C$2:$C$644),"")</f>
        <v>66</v>
      </c>
      <c r="I619" s="0" t="n">
        <f aca="false">IF(H619="","",ROUNDUP(H619/75,0))</f>
        <v>1</v>
      </c>
      <c r="J619" s="0" t="str">
        <f aca="false">IF(MOD(F619-1,3)=0,SUMPRODUCT(($A$2:$A$644=A619)*(ROW($A$2:$A$644)&gt;=ROW())*(ROW($A$2:$A$644)&lt;ROW()+3)*$C$2:$C$644),"")</f>
        <v/>
      </c>
      <c r="K619" s="0" t="str">
        <f aca="false">IF(J619="","",ROUNDUP(J619/75,0))</f>
        <v/>
      </c>
      <c r="L619" s="0" t="n">
        <f aca="false">IF(MOD(F619-1,5)=0,SUMPRODUCT(($A$2:$A$644=A619)*(ROW($A$2:$A$644)&gt;=ROW())*(ROW($A$2:$A$644)&lt;ROW()+5)*$C$2:$C$644),"")</f>
        <v>264</v>
      </c>
      <c r="M619" s="0" t="n">
        <f aca="false">IF(L619="","",ROUNDUP(L619/75,0))</f>
        <v>4</v>
      </c>
      <c r="N619" s="0" t="str">
        <f aca="false">IF(MOD(F619-1,7)=0,SUMPRODUCT(($A$2:$A$644=A619)*(ROW($A$2:$A$644)&gt;=ROW())*(ROW($A$2:$A$644)&lt;ROW()+7)*$C$2:$C$644),"")</f>
        <v/>
      </c>
      <c r="O619" s="0" t="str">
        <f aca="false">IF(N619="","",ROUNDUP(N619/75,0))</f>
        <v/>
      </c>
    </row>
    <row r="620" customFormat="false" ht="15" hidden="false" customHeight="false" outlineLevel="0" collapsed="false">
      <c r="A620" s="0" t="s">
        <v>462</v>
      </c>
      <c r="B620" s="0" t="s">
        <v>654</v>
      </c>
      <c r="C620" s="0" t="n">
        <v>54</v>
      </c>
      <c r="D620" s="0" t="n">
        <v>1</v>
      </c>
      <c r="E620" s="0" t="n">
        <v>21</v>
      </c>
      <c r="F620" s="0" t="n">
        <f aca="false">COUNTIF($A$2:A620,A620)</f>
        <v>192</v>
      </c>
      <c r="G620" s="0" t="n">
        <f aca="false">ROUNDUP(C620*1.236/75,0)</f>
        <v>1</v>
      </c>
      <c r="H620" s="0" t="str">
        <f aca="false">IF(MOD(F620-1,2)=0,SUMPRODUCT(($A$2:$A$644=A620)*(ROW($A$2:$A$644)&gt;=ROW())*(ROW($A$2:$A$644)&lt;ROW()+2)*$C$2:$C$644),"")</f>
        <v/>
      </c>
      <c r="I620" s="0" t="str">
        <f aca="false">IF(H620="","",ROUNDUP(H620/75,0))</f>
        <v/>
      </c>
      <c r="J620" s="0" t="str">
        <f aca="false">IF(MOD(F620-1,3)=0,SUMPRODUCT(($A$2:$A$644=A620)*(ROW($A$2:$A$644)&gt;=ROW())*(ROW($A$2:$A$644)&lt;ROW()+3)*$C$2:$C$644),"")</f>
        <v/>
      </c>
      <c r="K620" s="0" t="str">
        <f aca="false">IF(J620="","",ROUNDUP(J620/75,0))</f>
        <v/>
      </c>
      <c r="L620" s="0" t="str">
        <f aca="false">IF(MOD(F620-1,5)=0,SUMPRODUCT(($A$2:$A$644=A620)*(ROW($A$2:$A$644)&gt;=ROW())*(ROW($A$2:$A$644)&lt;ROW()+5)*$C$2:$C$644),"")</f>
        <v/>
      </c>
      <c r="M620" s="0" t="str">
        <f aca="false">IF(L620="","",ROUNDUP(L620/75,0))</f>
        <v/>
      </c>
      <c r="N620" s="0" t="str">
        <f aca="false">IF(MOD(F620-1,7)=0,SUMPRODUCT(($A$2:$A$644=A620)*(ROW($A$2:$A$644)&gt;=ROW())*(ROW($A$2:$A$644)&lt;ROW()+7)*$C$2:$C$644),"")</f>
        <v/>
      </c>
      <c r="O620" s="0" t="str">
        <f aca="false">IF(N620="","",ROUNDUP(N620/75,0))</f>
        <v/>
      </c>
    </row>
    <row r="621" customFormat="false" ht="15" hidden="false" customHeight="false" outlineLevel="0" collapsed="false">
      <c r="A621" s="0" t="s">
        <v>462</v>
      </c>
      <c r="B621" s="0" t="s">
        <v>655</v>
      </c>
      <c r="C621" s="0" t="n">
        <v>42</v>
      </c>
      <c r="D621" s="0" t="n">
        <v>1</v>
      </c>
      <c r="E621" s="0" t="n">
        <v>33</v>
      </c>
      <c r="F621" s="0" t="n">
        <f aca="false">COUNTIF($A$2:A621,A621)</f>
        <v>193</v>
      </c>
      <c r="G621" s="0" t="n">
        <f aca="false">ROUNDUP(C621*1.236/75,0)</f>
        <v>1</v>
      </c>
      <c r="H621" s="0" t="n">
        <f aca="false">IF(MOD(F621-1,2)=0,SUMPRODUCT(($A$2:$A$644=A621)*(ROW($A$2:$A$644)&gt;=ROW())*(ROW($A$2:$A$644)&lt;ROW()+2)*$C$2:$C$644),"")</f>
        <v>126</v>
      </c>
      <c r="I621" s="0" t="n">
        <f aca="false">IF(H621="","",ROUNDUP(H621/75,0))</f>
        <v>2</v>
      </c>
      <c r="J621" s="0" t="n">
        <f aca="false">IF(MOD(F621-1,3)=0,SUMPRODUCT(($A$2:$A$644=A621)*(ROW($A$2:$A$644)&gt;=ROW())*(ROW($A$2:$A$644)&lt;ROW()+3)*$C$2:$C$644),"")</f>
        <v>198</v>
      </c>
      <c r="K621" s="0" t="n">
        <f aca="false">IF(J621="","",ROUNDUP(J621/75,0))</f>
        <v>3</v>
      </c>
      <c r="L621" s="0" t="str">
        <f aca="false">IF(MOD(F621-1,5)=0,SUMPRODUCT(($A$2:$A$644=A621)*(ROW($A$2:$A$644)&gt;=ROW())*(ROW($A$2:$A$644)&lt;ROW()+5)*$C$2:$C$644),"")</f>
        <v/>
      </c>
      <c r="M621" s="0" t="str">
        <f aca="false">IF(L621="","",ROUNDUP(L621/75,0))</f>
        <v/>
      </c>
      <c r="N621" s="0" t="str">
        <f aca="false">IF(MOD(F621-1,7)=0,SUMPRODUCT(($A$2:$A$644=A621)*(ROW($A$2:$A$644)&gt;=ROW())*(ROW($A$2:$A$644)&lt;ROW()+7)*$C$2:$C$644),"")</f>
        <v/>
      </c>
      <c r="O621" s="0" t="str">
        <f aca="false">IF(N621="","",ROUNDUP(N621/75,0))</f>
        <v/>
      </c>
    </row>
    <row r="622" customFormat="false" ht="15" hidden="false" customHeight="false" outlineLevel="0" collapsed="false">
      <c r="A622" s="0" t="s">
        <v>462</v>
      </c>
      <c r="B622" s="0" t="s">
        <v>656</v>
      </c>
      <c r="C622" s="0" t="n">
        <v>84</v>
      </c>
      <c r="D622" s="0" t="n">
        <v>2</v>
      </c>
      <c r="E622" s="0" t="n">
        <v>66</v>
      </c>
      <c r="F622" s="0" t="n">
        <f aca="false">COUNTIF($A$2:A622,A622)</f>
        <v>194</v>
      </c>
      <c r="G622" s="0" t="n">
        <f aca="false">ROUNDUP(C622*1.236/75,0)</f>
        <v>2</v>
      </c>
      <c r="H622" s="0" t="str">
        <f aca="false">IF(MOD(F622-1,2)=0,SUMPRODUCT(($A$2:$A$644=A622)*(ROW($A$2:$A$644)&gt;=ROW())*(ROW($A$2:$A$644)&lt;ROW()+2)*$C$2:$C$644),"")</f>
        <v/>
      </c>
      <c r="I622" s="0" t="str">
        <f aca="false">IF(H622="","",ROUNDUP(H622/75,0))</f>
        <v/>
      </c>
      <c r="J622" s="0" t="str">
        <f aca="false">IF(MOD(F622-1,3)=0,SUMPRODUCT(($A$2:$A$644=A622)*(ROW($A$2:$A$644)&gt;=ROW())*(ROW($A$2:$A$644)&lt;ROW()+3)*$C$2:$C$644),"")</f>
        <v/>
      </c>
      <c r="K622" s="0" t="str">
        <f aca="false">IF(J622="","",ROUNDUP(J622/75,0))</f>
        <v/>
      </c>
      <c r="L622" s="0" t="str">
        <f aca="false">IF(MOD(F622-1,5)=0,SUMPRODUCT(($A$2:$A$644=A622)*(ROW($A$2:$A$644)&gt;=ROW())*(ROW($A$2:$A$644)&lt;ROW()+5)*$C$2:$C$644),"")</f>
        <v/>
      </c>
      <c r="M622" s="0" t="str">
        <f aca="false">IF(L622="","",ROUNDUP(L622/75,0))</f>
        <v/>
      </c>
      <c r="N622" s="0" t="str">
        <f aca="false">IF(MOD(F622-1,7)=0,SUMPRODUCT(($A$2:$A$644=A622)*(ROW($A$2:$A$644)&gt;=ROW())*(ROW($A$2:$A$644)&lt;ROW()+7)*$C$2:$C$644),"")</f>
        <v/>
      </c>
      <c r="O622" s="0" t="str">
        <f aca="false">IF(N622="","",ROUNDUP(N622/75,0))</f>
        <v/>
      </c>
    </row>
    <row r="623" customFormat="false" ht="15" hidden="false" customHeight="false" outlineLevel="0" collapsed="false">
      <c r="A623" s="0" t="s">
        <v>462</v>
      </c>
      <c r="B623" s="0" t="s">
        <v>657</v>
      </c>
      <c r="C623" s="0" t="n">
        <v>72</v>
      </c>
      <c r="D623" s="0" t="n">
        <v>1</v>
      </c>
      <c r="E623" s="0" t="n">
        <v>3</v>
      </c>
      <c r="F623" s="0" t="n">
        <f aca="false">COUNTIF($A$2:A623,A623)</f>
        <v>195</v>
      </c>
      <c r="G623" s="0" t="n">
        <f aca="false">ROUNDUP(C623*1.236/75,0)</f>
        <v>2</v>
      </c>
      <c r="H623" s="0" t="n">
        <f aca="false">IF(MOD(F623-1,2)=0,SUMPRODUCT(($A$2:$A$644=A623)*(ROW($A$2:$A$644)&gt;=ROW())*(ROW($A$2:$A$644)&lt;ROW()+2)*$C$2:$C$644),"")</f>
        <v>120</v>
      </c>
      <c r="I623" s="0" t="n">
        <f aca="false">IF(H623="","",ROUNDUP(H623/75,0))</f>
        <v>2</v>
      </c>
      <c r="J623" s="0" t="str">
        <f aca="false">IF(MOD(F623-1,3)=0,SUMPRODUCT(($A$2:$A$644=A623)*(ROW($A$2:$A$644)&gt;=ROW())*(ROW($A$2:$A$644)&lt;ROW()+3)*$C$2:$C$644),"")</f>
        <v/>
      </c>
      <c r="K623" s="0" t="str">
        <f aca="false">IF(J623="","",ROUNDUP(J623/75,0))</f>
        <v/>
      </c>
      <c r="L623" s="0" t="str">
        <f aca="false">IF(MOD(F623-1,5)=0,SUMPRODUCT(($A$2:$A$644=A623)*(ROW($A$2:$A$644)&gt;=ROW())*(ROW($A$2:$A$644)&lt;ROW()+5)*$C$2:$C$644),"")</f>
        <v/>
      </c>
      <c r="M623" s="0" t="str">
        <f aca="false">IF(L623="","",ROUNDUP(L623/75,0))</f>
        <v/>
      </c>
      <c r="N623" s="0" t="str">
        <f aca="false">IF(MOD(F623-1,7)=0,SUMPRODUCT(($A$2:$A$644=A623)*(ROW($A$2:$A$644)&gt;=ROW())*(ROW($A$2:$A$644)&lt;ROW()+7)*$C$2:$C$644),"")</f>
        <v/>
      </c>
      <c r="O623" s="0" t="str">
        <f aca="false">IF(N623="","",ROUNDUP(N623/75,0))</f>
        <v/>
      </c>
    </row>
    <row r="624" customFormat="false" ht="15" hidden="false" customHeight="false" outlineLevel="0" collapsed="false">
      <c r="A624" s="0" t="s">
        <v>462</v>
      </c>
      <c r="B624" s="0" t="s">
        <v>658</v>
      </c>
      <c r="C624" s="0" t="n">
        <v>48</v>
      </c>
      <c r="D624" s="0" t="n">
        <v>1</v>
      </c>
      <c r="E624" s="0" t="n">
        <v>27</v>
      </c>
      <c r="F624" s="0" t="n">
        <f aca="false">COUNTIF($A$2:A624,A624)</f>
        <v>196</v>
      </c>
      <c r="G624" s="0" t="n">
        <f aca="false">ROUNDUP(C624*1.236/75,0)</f>
        <v>1</v>
      </c>
      <c r="H624" s="0" t="str">
        <f aca="false">IF(MOD(F624-1,2)=0,SUMPRODUCT(($A$2:$A$644=A624)*(ROW($A$2:$A$644)&gt;=ROW())*(ROW($A$2:$A$644)&lt;ROW()+2)*$C$2:$C$644),"")</f>
        <v/>
      </c>
      <c r="I624" s="0" t="str">
        <f aca="false">IF(H624="","",ROUNDUP(H624/75,0))</f>
        <v/>
      </c>
      <c r="J624" s="0" t="n">
        <f aca="false">IF(MOD(F624-1,3)=0,SUMPRODUCT(($A$2:$A$644=A624)*(ROW($A$2:$A$644)&gt;=ROW())*(ROW($A$2:$A$644)&lt;ROW()+3)*$C$2:$C$644),"")</f>
        <v>156</v>
      </c>
      <c r="K624" s="0" t="n">
        <f aca="false">IF(J624="","",ROUNDUP(J624/75,0))</f>
        <v>3</v>
      </c>
      <c r="L624" s="0" t="n">
        <f aca="false">IF(MOD(F624-1,5)=0,SUMPRODUCT(($A$2:$A$644=A624)*(ROW($A$2:$A$644)&gt;=ROW())*(ROW($A$2:$A$644)&lt;ROW()+5)*$C$2:$C$644),"")</f>
        <v>312</v>
      </c>
      <c r="M624" s="0" t="n">
        <f aca="false">IF(L624="","",ROUNDUP(L624/75,0))</f>
        <v>5</v>
      </c>
      <c r="N624" s="0" t="str">
        <f aca="false">IF(MOD(F624-1,7)=0,SUMPRODUCT(($A$2:$A$644=A624)*(ROW($A$2:$A$644)&gt;=ROW())*(ROW($A$2:$A$644)&lt;ROW()+7)*$C$2:$C$644),"")</f>
        <v/>
      </c>
      <c r="O624" s="0" t="str">
        <f aca="false">IF(N624="","",ROUNDUP(N624/75,0))</f>
        <v/>
      </c>
    </row>
    <row r="625" customFormat="false" ht="15" hidden="false" customHeight="false" outlineLevel="0" collapsed="false">
      <c r="A625" s="0" t="s">
        <v>462</v>
      </c>
      <c r="B625" s="0" t="s">
        <v>659</v>
      </c>
      <c r="C625" s="0" t="n">
        <v>42</v>
      </c>
      <c r="D625" s="0" t="n">
        <v>1</v>
      </c>
      <c r="E625" s="0" t="n">
        <v>33</v>
      </c>
      <c r="F625" s="0" t="n">
        <f aca="false">COUNTIF($A$2:A625,A625)</f>
        <v>197</v>
      </c>
      <c r="G625" s="0" t="n">
        <f aca="false">ROUNDUP(C625*1.236/75,0)</f>
        <v>1</v>
      </c>
      <c r="H625" s="0" t="n">
        <f aca="false">IF(MOD(F625-1,2)=0,SUMPRODUCT(($A$2:$A$644=A625)*(ROW($A$2:$A$644)&gt;=ROW())*(ROW($A$2:$A$644)&lt;ROW()+2)*$C$2:$C$644),"")</f>
        <v>108</v>
      </c>
      <c r="I625" s="0" t="n">
        <f aca="false">IF(H625="","",ROUNDUP(H625/75,0))</f>
        <v>2</v>
      </c>
      <c r="J625" s="0" t="str">
        <f aca="false">IF(MOD(F625-1,3)=0,SUMPRODUCT(($A$2:$A$644=A625)*(ROW($A$2:$A$644)&gt;=ROW())*(ROW($A$2:$A$644)&lt;ROW()+3)*$C$2:$C$644),"")</f>
        <v/>
      </c>
      <c r="K625" s="0" t="str">
        <f aca="false">IF(J625="","",ROUNDUP(J625/75,0))</f>
        <v/>
      </c>
      <c r="L625" s="0" t="str">
        <f aca="false">IF(MOD(F625-1,5)=0,SUMPRODUCT(($A$2:$A$644=A625)*(ROW($A$2:$A$644)&gt;=ROW())*(ROW($A$2:$A$644)&lt;ROW()+5)*$C$2:$C$644),"")</f>
        <v/>
      </c>
      <c r="M625" s="0" t="str">
        <f aca="false">IF(L625="","",ROUNDUP(L625/75,0))</f>
        <v/>
      </c>
      <c r="N625" s="0" t="n">
        <f aca="false">IF(MOD(F625-1,7)=0,SUMPRODUCT(($A$2:$A$644=A625)*(ROW($A$2:$A$644)&gt;=ROW())*(ROW($A$2:$A$644)&lt;ROW()+7)*$C$2:$C$644),"")</f>
        <v>342</v>
      </c>
      <c r="O625" s="0" t="n">
        <f aca="false">IF(N625="","",ROUNDUP(N625/75,0))</f>
        <v>5</v>
      </c>
    </row>
    <row r="626" customFormat="false" ht="15" hidden="false" customHeight="false" outlineLevel="0" collapsed="false">
      <c r="A626" s="0" t="s">
        <v>462</v>
      </c>
      <c r="B626" s="0" t="s">
        <v>660</v>
      </c>
      <c r="C626" s="0" t="n">
        <v>66</v>
      </c>
      <c r="D626" s="0" t="n">
        <v>1</v>
      </c>
      <c r="E626" s="0" t="n">
        <v>9</v>
      </c>
      <c r="F626" s="0" t="n">
        <f aca="false">COUNTIF($A$2:A626,A626)</f>
        <v>198</v>
      </c>
      <c r="G626" s="0" t="n">
        <f aca="false">ROUNDUP(C626*1.236/75,0)</f>
        <v>2</v>
      </c>
      <c r="H626" s="0" t="str">
        <f aca="false">IF(MOD(F626-1,2)=0,SUMPRODUCT(($A$2:$A$644=A626)*(ROW($A$2:$A$644)&gt;=ROW())*(ROW($A$2:$A$644)&lt;ROW()+2)*$C$2:$C$644),"")</f>
        <v/>
      </c>
      <c r="I626" s="0" t="str">
        <f aca="false">IF(H626="","",ROUNDUP(H626/75,0))</f>
        <v/>
      </c>
      <c r="J626" s="0" t="str">
        <f aca="false">IF(MOD(F626-1,3)=0,SUMPRODUCT(($A$2:$A$644=A626)*(ROW($A$2:$A$644)&gt;=ROW())*(ROW($A$2:$A$644)&lt;ROW()+3)*$C$2:$C$644),"")</f>
        <v/>
      </c>
      <c r="K626" s="0" t="str">
        <f aca="false">IF(J626="","",ROUNDUP(J626/75,0))</f>
        <v/>
      </c>
      <c r="L626" s="0" t="str">
        <f aca="false">IF(MOD(F626-1,5)=0,SUMPRODUCT(($A$2:$A$644=A626)*(ROW($A$2:$A$644)&gt;=ROW())*(ROW($A$2:$A$644)&lt;ROW()+5)*$C$2:$C$644),"")</f>
        <v/>
      </c>
      <c r="M626" s="0" t="str">
        <f aca="false">IF(L626="","",ROUNDUP(L626/75,0))</f>
        <v/>
      </c>
      <c r="N626" s="0" t="str">
        <f aca="false">IF(MOD(F626-1,7)=0,SUMPRODUCT(($A$2:$A$644=A626)*(ROW($A$2:$A$644)&gt;=ROW())*(ROW($A$2:$A$644)&lt;ROW()+7)*$C$2:$C$644),"")</f>
        <v/>
      </c>
      <c r="O626" s="0" t="str">
        <f aca="false">IF(N626="","",ROUNDUP(N626/75,0))</f>
        <v/>
      </c>
    </row>
    <row r="627" customFormat="false" ht="15" hidden="false" customHeight="false" outlineLevel="0" collapsed="false">
      <c r="A627" s="0" t="s">
        <v>462</v>
      </c>
      <c r="B627" s="0" t="s">
        <v>661</v>
      </c>
      <c r="C627" s="0" t="n">
        <v>60</v>
      </c>
      <c r="D627" s="0" t="n">
        <v>1</v>
      </c>
      <c r="E627" s="0" t="n">
        <v>15</v>
      </c>
      <c r="F627" s="0" t="n">
        <f aca="false">COUNTIF($A$2:A627,A627)</f>
        <v>199</v>
      </c>
      <c r="G627" s="0" t="n">
        <f aca="false">ROUNDUP(C627*1.236/75,0)</f>
        <v>1</v>
      </c>
      <c r="H627" s="0" t="n">
        <f aca="false">IF(MOD(F627-1,2)=0,SUMPRODUCT(($A$2:$A$644=A627)*(ROW($A$2:$A$644)&gt;=ROW())*(ROW($A$2:$A$644)&lt;ROW()+2)*$C$2:$C$644),"")</f>
        <v>156</v>
      </c>
      <c r="I627" s="0" t="n">
        <f aca="false">IF(H627="","",ROUNDUP(H627/75,0))</f>
        <v>3</v>
      </c>
      <c r="J627" s="0" t="n">
        <f aca="false">IF(MOD(F627-1,3)=0,SUMPRODUCT(($A$2:$A$644=A627)*(ROW($A$2:$A$644)&gt;=ROW())*(ROW($A$2:$A$644)&lt;ROW()+3)*$C$2:$C$644),"")</f>
        <v>210</v>
      </c>
      <c r="K627" s="0" t="n">
        <f aca="false">IF(J627="","",ROUNDUP(J627/75,0))</f>
        <v>3</v>
      </c>
      <c r="L627" s="0" t="str">
        <f aca="false">IF(MOD(F627-1,5)=0,SUMPRODUCT(($A$2:$A$644=A627)*(ROW($A$2:$A$644)&gt;=ROW())*(ROW($A$2:$A$644)&lt;ROW()+5)*$C$2:$C$644),"")</f>
        <v/>
      </c>
      <c r="M627" s="0" t="str">
        <f aca="false">IF(L627="","",ROUNDUP(L627/75,0))</f>
        <v/>
      </c>
      <c r="N627" s="0" t="str">
        <f aca="false">IF(MOD(F627-1,7)=0,SUMPRODUCT(($A$2:$A$644=A627)*(ROW($A$2:$A$644)&gt;=ROW())*(ROW($A$2:$A$644)&lt;ROW()+7)*$C$2:$C$644),"")</f>
        <v/>
      </c>
      <c r="O627" s="0" t="str">
        <f aca="false">IF(N627="","",ROUNDUP(N627/75,0))</f>
        <v/>
      </c>
    </row>
    <row r="628" customFormat="false" ht="15" hidden="false" customHeight="false" outlineLevel="0" collapsed="false">
      <c r="A628" s="0" t="s">
        <v>462</v>
      </c>
      <c r="B628" s="0" t="s">
        <v>662</v>
      </c>
      <c r="C628" s="0" t="n">
        <v>96</v>
      </c>
      <c r="D628" s="0" t="n">
        <v>2</v>
      </c>
      <c r="E628" s="0" t="n">
        <v>54</v>
      </c>
      <c r="F628" s="0" t="n">
        <f aca="false">COUNTIF($A$2:A628,A628)</f>
        <v>200</v>
      </c>
      <c r="G628" s="0" t="n">
        <f aca="false">ROUNDUP(C628*1.236/75,0)</f>
        <v>2</v>
      </c>
      <c r="H628" s="0" t="str">
        <f aca="false">IF(MOD(F628-1,2)=0,SUMPRODUCT(($A$2:$A$644=A628)*(ROW($A$2:$A$644)&gt;=ROW())*(ROW($A$2:$A$644)&lt;ROW()+2)*$C$2:$C$644),"")</f>
        <v/>
      </c>
      <c r="I628" s="0" t="str">
        <f aca="false">IF(H628="","",ROUNDUP(H628/75,0))</f>
        <v/>
      </c>
      <c r="J628" s="0" t="str">
        <f aca="false">IF(MOD(F628-1,3)=0,SUMPRODUCT(($A$2:$A$644=A628)*(ROW($A$2:$A$644)&gt;=ROW())*(ROW($A$2:$A$644)&lt;ROW()+3)*$C$2:$C$644),"")</f>
        <v/>
      </c>
      <c r="K628" s="0" t="str">
        <f aca="false">IF(J628="","",ROUNDUP(J628/75,0))</f>
        <v/>
      </c>
      <c r="L628" s="0" t="str">
        <f aca="false">IF(MOD(F628-1,5)=0,SUMPRODUCT(($A$2:$A$644=A628)*(ROW($A$2:$A$644)&gt;=ROW())*(ROW($A$2:$A$644)&lt;ROW()+5)*$C$2:$C$644),"")</f>
        <v/>
      </c>
      <c r="M628" s="0" t="str">
        <f aca="false">IF(L628="","",ROUNDUP(L628/75,0))</f>
        <v/>
      </c>
      <c r="N628" s="0" t="str">
        <f aca="false">IF(MOD(F628-1,7)=0,SUMPRODUCT(($A$2:$A$644=A628)*(ROW($A$2:$A$644)&gt;=ROW())*(ROW($A$2:$A$644)&lt;ROW()+7)*$C$2:$C$644),"")</f>
        <v/>
      </c>
      <c r="O628" s="0" t="str">
        <f aca="false">IF(N628="","",ROUNDUP(N628/75,0))</f>
        <v/>
      </c>
    </row>
    <row r="629" customFormat="false" ht="15" hidden="false" customHeight="false" outlineLevel="0" collapsed="false">
      <c r="A629" s="0" t="s">
        <v>462</v>
      </c>
      <c r="B629" s="0" t="s">
        <v>663</v>
      </c>
      <c r="C629" s="0" t="n">
        <v>54</v>
      </c>
      <c r="D629" s="0" t="n">
        <v>1</v>
      </c>
      <c r="E629" s="0" t="n">
        <v>21</v>
      </c>
      <c r="F629" s="0" t="n">
        <f aca="false">COUNTIF($A$2:A629,A629)</f>
        <v>201</v>
      </c>
      <c r="G629" s="0" t="n">
        <f aca="false">ROUNDUP(C629*1.236/75,0)</f>
        <v>1</v>
      </c>
      <c r="H629" s="0" t="n">
        <f aca="false">IF(MOD(F629-1,2)=0,SUMPRODUCT(($A$2:$A$644=A629)*(ROW($A$2:$A$644)&gt;=ROW())*(ROW($A$2:$A$644)&lt;ROW()+2)*$C$2:$C$644),"")</f>
        <v>60</v>
      </c>
      <c r="I629" s="0" t="n">
        <f aca="false">IF(H629="","",ROUNDUP(H629/75,0))</f>
        <v>1</v>
      </c>
      <c r="J629" s="0" t="str">
        <f aca="false">IF(MOD(F629-1,3)=0,SUMPRODUCT(($A$2:$A$644=A629)*(ROW($A$2:$A$644)&gt;=ROW())*(ROW($A$2:$A$644)&lt;ROW()+3)*$C$2:$C$644),"")</f>
        <v/>
      </c>
      <c r="K629" s="0" t="str">
        <f aca="false">IF(J629="","",ROUNDUP(J629/75,0))</f>
        <v/>
      </c>
      <c r="L629" s="0" t="n">
        <f aca="false">IF(MOD(F629-1,5)=0,SUMPRODUCT(($A$2:$A$644=A629)*(ROW($A$2:$A$644)&gt;=ROW())*(ROW($A$2:$A$644)&lt;ROW()+5)*$C$2:$C$644),"")</f>
        <v>192</v>
      </c>
      <c r="M629" s="0" t="n">
        <f aca="false">IF(L629="","",ROUNDUP(L629/75,0))</f>
        <v>3</v>
      </c>
      <c r="N629" s="0" t="str">
        <f aca="false">IF(MOD(F629-1,7)=0,SUMPRODUCT(($A$2:$A$644=A629)*(ROW($A$2:$A$644)&gt;=ROW())*(ROW($A$2:$A$644)&lt;ROW()+7)*$C$2:$C$644),"")</f>
        <v/>
      </c>
      <c r="O629" s="0" t="str">
        <f aca="false">IF(N629="","",ROUNDUP(N629/75,0))</f>
        <v/>
      </c>
    </row>
    <row r="630" customFormat="false" ht="15" hidden="false" customHeight="false" outlineLevel="0" collapsed="false">
      <c r="A630" s="0" t="s">
        <v>462</v>
      </c>
      <c r="B630" s="0" t="s">
        <v>664</v>
      </c>
      <c r="C630" s="0" t="n">
        <v>6</v>
      </c>
      <c r="D630" s="0" t="n">
        <v>1</v>
      </c>
      <c r="E630" s="0" t="n">
        <v>69</v>
      </c>
      <c r="F630" s="0" t="n">
        <f aca="false">COUNTIF($A$2:A630,A630)</f>
        <v>202</v>
      </c>
      <c r="G630" s="0" t="n">
        <f aca="false">ROUNDUP(C630*1.236/75,0)</f>
        <v>1</v>
      </c>
      <c r="H630" s="0" t="str">
        <f aca="false">IF(MOD(F630-1,2)=0,SUMPRODUCT(($A$2:$A$644=A630)*(ROW($A$2:$A$644)&gt;=ROW())*(ROW($A$2:$A$644)&lt;ROW()+2)*$C$2:$C$644),"")</f>
        <v/>
      </c>
      <c r="I630" s="0" t="str">
        <f aca="false">IF(H630="","",ROUNDUP(H630/75,0))</f>
        <v/>
      </c>
      <c r="J630" s="0" t="n">
        <f aca="false">IF(MOD(F630-1,3)=0,SUMPRODUCT(($A$2:$A$644=A630)*(ROW($A$2:$A$644)&gt;=ROW())*(ROW($A$2:$A$644)&lt;ROW()+3)*$C$2:$C$644),"")</f>
        <v>60</v>
      </c>
      <c r="K630" s="0" t="n">
        <f aca="false">IF(J630="","",ROUNDUP(J630/75,0))</f>
        <v>1</v>
      </c>
      <c r="L630" s="0" t="str">
        <f aca="false">IF(MOD(F630-1,5)=0,SUMPRODUCT(($A$2:$A$644=A630)*(ROW($A$2:$A$644)&gt;=ROW())*(ROW($A$2:$A$644)&lt;ROW()+5)*$C$2:$C$644),"")</f>
        <v/>
      </c>
      <c r="M630" s="0" t="str">
        <f aca="false">IF(L630="","",ROUNDUP(L630/75,0))</f>
        <v/>
      </c>
      <c r="N630" s="0" t="str">
        <f aca="false">IF(MOD(F630-1,7)=0,SUMPRODUCT(($A$2:$A$644=A630)*(ROW($A$2:$A$644)&gt;=ROW())*(ROW($A$2:$A$644)&lt;ROW()+7)*$C$2:$C$644),"")</f>
        <v/>
      </c>
      <c r="O630" s="0" t="str">
        <f aca="false">IF(N630="","",ROUNDUP(N630/75,0))</f>
        <v/>
      </c>
    </row>
    <row r="631" customFormat="false" ht="15" hidden="false" customHeight="false" outlineLevel="0" collapsed="false">
      <c r="A631" s="0" t="s">
        <v>462</v>
      </c>
      <c r="B631" s="0" t="s">
        <v>665</v>
      </c>
      <c r="C631" s="0" t="n">
        <v>18</v>
      </c>
      <c r="D631" s="0" t="n">
        <v>1</v>
      </c>
      <c r="E631" s="0" t="n">
        <v>57</v>
      </c>
      <c r="F631" s="0" t="n">
        <f aca="false">COUNTIF($A$2:A631,A631)</f>
        <v>203</v>
      </c>
      <c r="G631" s="0" t="n">
        <f aca="false">ROUNDUP(C631*1.236/75,0)</f>
        <v>1</v>
      </c>
      <c r="H631" s="0" t="n">
        <f aca="false">IF(MOD(F631-1,2)=0,SUMPRODUCT(($A$2:$A$644=A631)*(ROW($A$2:$A$644)&gt;=ROW())*(ROW($A$2:$A$644)&lt;ROW()+2)*$C$2:$C$644),"")</f>
        <v>54</v>
      </c>
      <c r="I631" s="0" t="n">
        <f aca="false">IF(H631="","",ROUNDUP(H631/75,0))</f>
        <v>1</v>
      </c>
      <c r="J631" s="0" t="str">
        <f aca="false">IF(MOD(F631-1,3)=0,SUMPRODUCT(($A$2:$A$644=A631)*(ROW($A$2:$A$644)&gt;=ROW())*(ROW($A$2:$A$644)&lt;ROW()+3)*$C$2:$C$644),"")</f>
        <v/>
      </c>
      <c r="K631" s="0" t="str">
        <f aca="false">IF(J631="","",ROUNDUP(J631/75,0))</f>
        <v/>
      </c>
      <c r="L631" s="0" t="str">
        <f aca="false">IF(MOD(F631-1,5)=0,SUMPRODUCT(($A$2:$A$644=A631)*(ROW($A$2:$A$644)&gt;=ROW())*(ROW($A$2:$A$644)&lt;ROW()+5)*$C$2:$C$644),"")</f>
        <v/>
      </c>
      <c r="M631" s="0" t="str">
        <f aca="false">IF(L631="","",ROUNDUP(L631/75,0))</f>
        <v/>
      </c>
      <c r="N631" s="0" t="str">
        <f aca="false">IF(MOD(F631-1,7)=0,SUMPRODUCT(($A$2:$A$644=A631)*(ROW($A$2:$A$644)&gt;=ROW())*(ROW($A$2:$A$644)&lt;ROW()+7)*$C$2:$C$644),"")</f>
        <v/>
      </c>
      <c r="O631" s="0" t="str">
        <f aca="false">IF(N631="","",ROUNDUP(N631/75,0))</f>
        <v/>
      </c>
    </row>
    <row r="632" customFormat="false" ht="15" hidden="false" customHeight="false" outlineLevel="0" collapsed="false">
      <c r="A632" s="0" t="s">
        <v>462</v>
      </c>
      <c r="B632" s="0" t="s">
        <v>666</v>
      </c>
      <c r="C632" s="0" t="n">
        <v>36</v>
      </c>
      <c r="D632" s="0" t="n">
        <v>1</v>
      </c>
      <c r="E632" s="0" t="n">
        <v>39</v>
      </c>
      <c r="F632" s="0" t="n">
        <f aca="false">COUNTIF($A$2:A632,A632)</f>
        <v>204</v>
      </c>
      <c r="G632" s="0" t="n">
        <f aca="false">ROUNDUP(C632*1.236/75,0)</f>
        <v>1</v>
      </c>
      <c r="H632" s="0" t="str">
        <f aca="false">IF(MOD(F632-1,2)=0,SUMPRODUCT(($A$2:$A$644=A632)*(ROW($A$2:$A$644)&gt;=ROW())*(ROW($A$2:$A$644)&lt;ROW()+2)*$C$2:$C$644),"")</f>
        <v/>
      </c>
      <c r="I632" s="0" t="str">
        <f aca="false">IF(H632="","",ROUNDUP(H632/75,0))</f>
        <v/>
      </c>
      <c r="J632" s="0" t="str">
        <f aca="false">IF(MOD(F632-1,3)=0,SUMPRODUCT(($A$2:$A$644=A632)*(ROW($A$2:$A$644)&gt;=ROW())*(ROW($A$2:$A$644)&lt;ROW()+3)*$C$2:$C$644),"")</f>
        <v/>
      </c>
      <c r="K632" s="0" t="str">
        <f aca="false">IF(J632="","",ROUNDUP(J632/75,0))</f>
        <v/>
      </c>
      <c r="L632" s="0" t="str">
        <f aca="false">IF(MOD(F632-1,5)=0,SUMPRODUCT(($A$2:$A$644=A632)*(ROW($A$2:$A$644)&gt;=ROW())*(ROW($A$2:$A$644)&lt;ROW()+5)*$C$2:$C$644),"")</f>
        <v/>
      </c>
      <c r="M632" s="0" t="str">
        <f aca="false">IF(L632="","",ROUNDUP(L632/75,0))</f>
        <v/>
      </c>
      <c r="N632" s="0" t="n">
        <f aca="false">IF(MOD(F632-1,7)=0,SUMPRODUCT(($A$2:$A$644=A632)*(ROW($A$2:$A$644)&gt;=ROW())*(ROW($A$2:$A$644)&lt;ROW()+7)*$C$2:$C$644),"")</f>
        <v>342</v>
      </c>
      <c r="O632" s="0" t="n">
        <f aca="false">IF(N632="","",ROUNDUP(N632/75,0))</f>
        <v>5</v>
      </c>
    </row>
    <row r="633" customFormat="false" ht="15" hidden="false" customHeight="false" outlineLevel="0" collapsed="false">
      <c r="A633" s="0" t="s">
        <v>462</v>
      </c>
      <c r="B633" s="0" t="s">
        <v>667</v>
      </c>
      <c r="C633" s="0" t="n">
        <v>78</v>
      </c>
      <c r="D633" s="0" t="n">
        <v>2</v>
      </c>
      <c r="E633" s="0" t="n">
        <v>72</v>
      </c>
      <c r="F633" s="0" t="n">
        <f aca="false">COUNTIF($A$2:A633,A633)</f>
        <v>205</v>
      </c>
      <c r="G633" s="0" t="n">
        <f aca="false">ROUNDUP(C633*1.236/75,0)</f>
        <v>2</v>
      </c>
      <c r="H633" s="0" t="n">
        <f aca="false">IF(MOD(F633-1,2)=0,SUMPRODUCT(($A$2:$A$644=A633)*(ROW($A$2:$A$644)&gt;=ROW())*(ROW($A$2:$A$644)&lt;ROW()+2)*$C$2:$C$644),"")</f>
        <v>120</v>
      </c>
      <c r="I633" s="0" t="n">
        <f aca="false">IF(H633="","",ROUNDUP(H633/75,0))</f>
        <v>2</v>
      </c>
      <c r="J633" s="0" t="n">
        <f aca="false">IF(MOD(F633-1,3)=0,SUMPRODUCT(($A$2:$A$644=A633)*(ROW($A$2:$A$644)&gt;=ROW())*(ROW($A$2:$A$644)&lt;ROW()+3)*$C$2:$C$644),"")</f>
        <v>174</v>
      </c>
      <c r="K633" s="0" t="n">
        <f aca="false">IF(J633="","",ROUNDUP(J633/75,0))</f>
        <v>3</v>
      </c>
      <c r="L633" s="0" t="str">
        <f aca="false">IF(MOD(F633-1,5)=0,SUMPRODUCT(($A$2:$A$644=A633)*(ROW($A$2:$A$644)&gt;=ROW())*(ROW($A$2:$A$644)&lt;ROW()+5)*$C$2:$C$644),"")</f>
        <v/>
      </c>
      <c r="M633" s="0" t="str">
        <f aca="false">IF(L633="","",ROUNDUP(L633/75,0))</f>
        <v/>
      </c>
      <c r="N633" s="0" t="str">
        <f aca="false">IF(MOD(F633-1,7)=0,SUMPRODUCT(($A$2:$A$644=A633)*(ROW($A$2:$A$644)&gt;=ROW())*(ROW($A$2:$A$644)&lt;ROW()+7)*$C$2:$C$644),"")</f>
        <v/>
      </c>
      <c r="O633" s="0" t="str">
        <f aca="false">IF(N633="","",ROUNDUP(N633/75,0))</f>
        <v/>
      </c>
    </row>
    <row r="634" customFormat="false" ht="15" hidden="false" customHeight="false" outlineLevel="0" collapsed="false">
      <c r="A634" s="0" t="s">
        <v>462</v>
      </c>
      <c r="B634" s="0" t="s">
        <v>668</v>
      </c>
      <c r="C634" s="0" t="n">
        <v>42</v>
      </c>
      <c r="D634" s="0" t="n">
        <v>1</v>
      </c>
      <c r="E634" s="0" t="n">
        <v>33</v>
      </c>
      <c r="F634" s="0" t="n">
        <f aca="false">COUNTIF($A$2:A634,A634)</f>
        <v>206</v>
      </c>
      <c r="G634" s="0" t="n">
        <f aca="false">ROUNDUP(C634*1.236/75,0)</f>
        <v>1</v>
      </c>
      <c r="H634" s="0" t="str">
        <f aca="false">IF(MOD(F634-1,2)=0,SUMPRODUCT(($A$2:$A$644=A634)*(ROW($A$2:$A$644)&gt;=ROW())*(ROW($A$2:$A$644)&lt;ROW()+2)*$C$2:$C$644),"")</f>
        <v/>
      </c>
      <c r="I634" s="0" t="str">
        <f aca="false">IF(H634="","",ROUNDUP(H634/75,0))</f>
        <v/>
      </c>
      <c r="J634" s="0" t="str">
        <f aca="false">IF(MOD(F634-1,3)=0,SUMPRODUCT(($A$2:$A$644=A634)*(ROW($A$2:$A$644)&gt;=ROW())*(ROW($A$2:$A$644)&lt;ROW()+3)*$C$2:$C$644),"")</f>
        <v/>
      </c>
      <c r="K634" s="0" t="str">
        <f aca="false">IF(J634="","",ROUNDUP(J634/75,0))</f>
        <v/>
      </c>
      <c r="L634" s="0" t="n">
        <f aca="false">IF(MOD(F634-1,5)=0,SUMPRODUCT(($A$2:$A$644=A634)*(ROW($A$2:$A$644)&gt;=ROW())*(ROW($A$2:$A$644)&lt;ROW()+5)*$C$2:$C$644),"")</f>
        <v>228</v>
      </c>
      <c r="M634" s="0" t="n">
        <f aca="false">IF(L634="","",ROUNDUP(L634/75,0))</f>
        <v>4</v>
      </c>
      <c r="N634" s="0" t="str">
        <f aca="false">IF(MOD(F634-1,7)=0,SUMPRODUCT(($A$2:$A$644=A634)*(ROW($A$2:$A$644)&gt;=ROW())*(ROW($A$2:$A$644)&lt;ROW()+7)*$C$2:$C$644),"")</f>
        <v/>
      </c>
      <c r="O634" s="0" t="str">
        <f aca="false">IF(N634="","",ROUNDUP(N634/75,0))</f>
        <v/>
      </c>
    </row>
    <row r="635" customFormat="false" ht="15" hidden="false" customHeight="false" outlineLevel="0" collapsed="false">
      <c r="A635" s="0" t="s">
        <v>462</v>
      </c>
      <c r="B635" s="0" t="s">
        <v>669</v>
      </c>
      <c r="C635" s="0" t="n">
        <v>54</v>
      </c>
      <c r="D635" s="0" t="n">
        <v>1</v>
      </c>
      <c r="E635" s="0" t="n">
        <v>21</v>
      </c>
      <c r="F635" s="0" t="n">
        <f aca="false">COUNTIF($A$2:A635,A635)</f>
        <v>207</v>
      </c>
      <c r="G635" s="0" t="n">
        <f aca="false">ROUNDUP(C635*1.236/75,0)</f>
        <v>1</v>
      </c>
      <c r="H635" s="0" t="n">
        <f aca="false">IF(MOD(F635-1,2)=0,SUMPRODUCT(($A$2:$A$644=A635)*(ROW($A$2:$A$644)&gt;=ROW())*(ROW($A$2:$A$644)&lt;ROW()+2)*$C$2:$C$644),"")</f>
        <v>102</v>
      </c>
      <c r="I635" s="0" t="n">
        <f aca="false">IF(H635="","",ROUNDUP(H635/75,0))</f>
        <v>2</v>
      </c>
      <c r="J635" s="0" t="str">
        <f aca="false">IF(MOD(F635-1,3)=0,SUMPRODUCT(($A$2:$A$644=A635)*(ROW($A$2:$A$644)&gt;=ROW())*(ROW($A$2:$A$644)&lt;ROW()+3)*$C$2:$C$644),"")</f>
        <v/>
      </c>
      <c r="K635" s="0" t="str">
        <f aca="false">IF(J635="","",ROUNDUP(J635/75,0))</f>
        <v/>
      </c>
      <c r="L635" s="0" t="str">
        <f aca="false">IF(MOD(F635-1,5)=0,SUMPRODUCT(($A$2:$A$644=A635)*(ROW($A$2:$A$644)&gt;=ROW())*(ROW($A$2:$A$644)&lt;ROW()+5)*$C$2:$C$644),"")</f>
        <v/>
      </c>
      <c r="M635" s="0" t="str">
        <f aca="false">IF(L635="","",ROUNDUP(L635/75,0))</f>
        <v/>
      </c>
      <c r="N635" s="0" t="str">
        <f aca="false">IF(MOD(F635-1,7)=0,SUMPRODUCT(($A$2:$A$644=A635)*(ROW($A$2:$A$644)&gt;=ROW())*(ROW($A$2:$A$644)&lt;ROW()+7)*$C$2:$C$644),"")</f>
        <v/>
      </c>
      <c r="O635" s="0" t="str">
        <f aca="false">IF(N635="","",ROUNDUP(N635/75,0))</f>
        <v/>
      </c>
    </row>
    <row r="636" customFormat="false" ht="15" hidden="false" customHeight="false" outlineLevel="0" collapsed="false">
      <c r="A636" s="0" t="s">
        <v>462</v>
      </c>
      <c r="B636" s="0" t="s">
        <v>670</v>
      </c>
      <c r="C636" s="0" t="n">
        <v>48</v>
      </c>
      <c r="D636" s="0" t="n">
        <v>1</v>
      </c>
      <c r="E636" s="0" t="n">
        <v>27</v>
      </c>
      <c r="F636" s="0" t="n">
        <f aca="false">COUNTIF($A$2:A636,A636)</f>
        <v>208</v>
      </c>
      <c r="G636" s="0" t="n">
        <f aca="false">ROUNDUP(C636*1.236/75,0)</f>
        <v>1</v>
      </c>
      <c r="H636" s="0" t="str">
        <f aca="false">IF(MOD(F636-1,2)=0,SUMPRODUCT(($A$2:$A$644=A636)*(ROW($A$2:$A$644)&gt;=ROW())*(ROW($A$2:$A$644)&lt;ROW()+2)*$C$2:$C$644),"")</f>
        <v/>
      </c>
      <c r="I636" s="0" t="str">
        <f aca="false">IF(H636="","",ROUNDUP(H636/75,0))</f>
        <v/>
      </c>
      <c r="J636" s="0" t="n">
        <f aca="false">IF(MOD(F636-1,3)=0,SUMPRODUCT(($A$2:$A$644=A636)*(ROW($A$2:$A$644)&gt;=ROW())*(ROW($A$2:$A$644)&lt;ROW()+3)*$C$2:$C$644),"")</f>
        <v>132</v>
      </c>
      <c r="K636" s="0" t="n">
        <f aca="false">IF(J636="","",ROUNDUP(J636/75,0))</f>
        <v>2</v>
      </c>
      <c r="L636" s="0" t="str">
        <f aca="false">IF(MOD(F636-1,5)=0,SUMPRODUCT(($A$2:$A$644=A636)*(ROW($A$2:$A$644)&gt;=ROW())*(ROW($A$2:$A$644)&lt;ROW()+5)*$C$2:$C$644),"")</f>
        <v/>
      </c>
      <c r="M636" s="0" t="str">
        <f aca="false">IF(L636="","",ROUNDUP(L636/75,0))</f>
        <v/>
      </c>
      <c r="N636" s="0" t="str">
        <f aca="false">IF(MOD(F636-1,7)=0,SUMPRODUCT(($A$2:$A$644=A636)*(ROW($A$2:$A$644)&gt;=ROW())*(ROW($A$2:$A$644)&lt;ROW()+7)*$C$2:$C$644),"")</f>
        <v/>
      </c>
      <c r="O636" s="0" t="str">
        <f aca="false">IF(N636="","",ROUNDUP(N636/75,0))</f>
        <v/>
      </c>
    </row>
    <row r="637" customFormat="false" ht="15" hidden="false" customHeight="false" outlineLevel="0" collapsed="false">
      <c r="A637" s="0" t="s">
        <v>462</v>
      </c>
      <c r="B637" s="0" t="s">
        <v>671</v>
      </c>
      <c r="C637" s="0" t="n">
        <v>36</v>
      </c>
      <c r="D637" s="0" t="n">
        <v>1</v>
      </c>
      <c r="E637" s="0" t="n">
        <v>39</v>
      </c>
      <c r="F637" s="0" t="n">
        <f aca="false">COUNTIF($A$2:A637,A637)</f>
        <v>209</v>
      </c>
      <c r="G637" s="0" t="n">
        <f aca="false">ROUNDUP(C637*1.236/75,0)</f>
        <v>1</v>
      </c>
      <c r="H637" s="0" t="n">
        <f aca="false">IF(MOD(F637-1,2)=0,SUMPRODUCT(($A$2:$A$644=A637)*(ROW($A$2:$A$644)&gt;=ROW())*(ROW($A$2:$A$644)&lt;ROW()+2)*$C$2:$C$644),"")</f>
        <v>84</v>
      </c>
      <c r="I637" s="0" t="n">
        <f aca="false">IF(H637="","",ROUNDUP(H637/75,0))</f>
        <v>2</v>
      </c>
      <c r="J637" s="0" t="str">
        <f aca="false">IF(MOD(F637-1,3)=0,SUMPRODUCT(($A$2:$A$644=A637)*(ROW($A$2:$A$644)&gt;=ROW())*(ROW($A$2:$A$644)&lt;ROW()+3)*$C$2:$C$644),"")</f>
        <v/>
      </c>
      <c r="K637" s="0" t="str">
        <f aca="false">IF(J637="","",ROUNDUP(J637/75,0))</f>
        <v/>
      </c>
      <c r="L637" s="0" t="str">
        <f aca="false">IF(MOD(F637-1,5)=0,SUMPRODUCT(($A$2:$A$644=A637)*(ROW($A$2:$A$644)&gt;=ROW())*(ROW($A$2:$A$644)&lt;ROW()+5)*$C$2:$C$644),"")</f>
        <v/>
      </c>
      <c r="M637" s="0" t="str">
        <f aca="false">IF(L637="","",ROUNDUP(L637/75,0))</f>
        <v/>
      </c>
      <c r="N637" s="0" t="str">
        <f aca="false">IF(MOD(F637-1,7)=0,SUMPRODUCT(($A$2:$A$644=A637)*(ROW($A$2:$A$644)&gt;=ROW())*(ROW($A$2:$A$644)&lt;ROW()+7)*$C$2:$C$644),"")</f>
        <v/>
      </c>
      <c r="O637" s="0" t="str">
        <f aca="false">IF(N637="","",ROUNDUP(N637/75,0))</f>
        <v/>
      </c>
    </row>
    <row r="638" customFormat="false" ht="15" hidden="false" customHeight="false" outlineLevel="0" collapsed="false">
      <c r="A638" s="0" t="s">
        <v>462</v>
      </c>
      <c r="B638" s="0" t="s">
        <v>672</v>
      </c>
      <c r="C638" s="0" t="n">
        <v>48</v>
      </c>
      <c r="D638" s="0" t="n">
        <v>1</v>
      </c>
      <c r="E638" s="0" t="n">
        <v>27</v>
      </c>
      <c r="F638" s="0" t="n">
        <f aca="false">COUNTIF($A$2:A638,A638)</f>
        <v>210</v>
      </c>
      <c r="G638" s="0" t="n">
        <f aca="false">ROUNDUP(C638*1.236/75,0)</f>
        <v>1</v>
      </c>
      <c r="H638" s="0" t="str">
        <f aca="false">IF(MOD(F638-1,2)=0,SUMPRODUCT(($A$2:$A$644=A638)*(ROW($A$2:$A$644)&gt;=ROW())*(ROW($A$2:$A$644)&lt;ROW()+2)*$C$2:$C$644),"")</f>
        <v/>
      </c>
      <c r="I638" s="0" t="str">
        <f aca="false">IF(H638="","",ROUNDUP(H638/75,0))</f>
        <v/>
      </c>
      <c r="J638" s="0" t="str">
        <f aca="false">IF(MOD(F638-1,3)=0,SUMPRODUCT(($A$2:$A$644=A638)*(ROW($A$2:$A$644)&gt;=ROW())*(ROW($A$2:$A$644)&lt;ROW()+3)*$C$2:$C$644),"")</f>
        <v/>
      </c>
      <c r="K638" s="0" t="str">
        <f aca="false">IF(J638="","",ROUNDUP(J638/75,0))</f>
        <v/>
      </c>
      <c r="L638" s="0" t="str">
        <f aca="false">IF(MOD(F638-1,5)=0,SUMPRODUCT(($A$2:$A$644=A638)*(ROW($A$2:$A$644)&gt;=ROW())*(ROW($A$2:$A$644)&lt;ROW()+5)*$C$2:$C$644),"")</f>
        <v/>
      </c>
      <c r="M638" s="0" t="str">
        <f aca="false">IF(L638="","",ROUNDUP(L638/75,0))</f>
        <v/>
      </c>
      <c r="N638" s="0" t="str">
        <f aca="false">IF(MOD(F638-1,7)=0,SUMPRODUCT(($A$2:$A$644=A638)*(ROW($A$2:$A$644)&gt;=ROW())*(ROW($A$2:$A$644)&lt;ROW()+7)*$C$2:$C$644),"")</f>
        <v/>
      </c>
      <c r="O638" s="0" t="str">
        <f aca="false">IF(N638="","",ROUNDUP(N638/75,0))</f>
        <v/>
      </c>
    </row>
    <row r="639" customFormat="false" ht="15" hidden="false" customHeight="false" outlineLevel="0" collapsed="false">
      <c r="A639" s="0" t="s">
        <v>462</v>
      </c>
      <c r="B639" s="0" t="s">
        <v>673</v>
      </c>
      <c r="C639" s="0" t="n">
        <v>6</v>
      </c>
      <c r="D639" s="0" t="n">
        <v>1</v>
      </c>
      <c r="E639" s="0" t="n">
        <v>69</v>
      </c>
      <c r="F639" s="0" t="n">
        <f aca="false">COUNTIF($A$2:A639,A639)</f>
        <v>211</v>
      </c>
      <c r="G639" s="0" t="n">
        <f aca="false">ROUNDUP(C639*1.236/75,0)</f>
        <v>1</v>
      </c>
      <c r="H639" s="0" t="n">
        <f aca="false">IF(MOD(F639-1,2)=0,SUMPRODUCT(($A$2:$A$644=A639)*(ROW($A$2:$A$644)&gt;=ROW())*(ROW($A$2:$A$644)&lt;ROW()+2)*$C$2:$C$644),"")</f>
        <v>30</v>
      </c>
      <c r="I639" s="0" t="n">
        <f aca="false">IF(H639="","",ROUNDUP(H639/75,0))</f>
        <v>1</v>
      </c>
      <c r="J639" s="0" t="n">
        <f aca="false">IF(MOD(F639-1,3)=0,SUMPRODUCT(($A$2:$A$644=A639)*(ROW($A$2:$A$644)&gt;=ROW())*(ROW($A$2:$A$644)&lt;ROW()+3)*$C$2:$C$644),"")</f>
        <v>78</v>
      </c>
      <c r="K639" s="0" t="n">
        <f aca="false">IF(J639="","",ROUNDUP(J639/75,0))</f>
        <v>2</v>
      </c>
      <c r="L639" s="0" t="n">
        <f aca="false">IF(MOD(F639-1,5)=0,SUMPRODUCT(($A$2:$A$644=A639)*(ROW($A$2:$A$644)&gt;=ROW())*(ROW($A$2:$A$644)&lt;ROW()+5)*$C$2:$C$644),"")</f>
        <v>210</v>
      </c>
      <c r="M639" s="0" t="n">
        <f aca="false">IF(L639="","",ROUNDUP(L639/75,0))</f>
        <v>3</v>
      </c>
      <c r="N639" s="0" t="n">
        <f aca="false">IF(MOD(F639-1,7)=0,SUMPRODUCT(($A$2:$A$644=A639)*(ROW($A$2:$A$644)&gt;=ROW())*(ROW($A$2:$A$644)&lt;ROW()+7)*$C$2:$C$644),"")</f>
        <v>216</v>
      </c>
      <c r="O639" s="0" t="n">
        <f aca="false">IF(N639="","",ROUNDUP(N639/75,0))</f>
        <v>3</v>
      </c>
    </row>
    <row r="640" customFormat="false" ht="15" hidden="false" customHeight="false" outlineLevel="0" collapsed="false">
      <c r="A640" s="0" t="s">
        <v>462</v>
      </c>
      <c r="B640" s="0" t="s">
        <v>674</v>
      </c>
      <c r="C640" s="0" t="n">
        <v>24</v>
      </c>
      <c r="D640" s="0" t="n">
        <v>1</v>
      </c>
      <c r="E640" s="0" t="n">
        <v>51</v>
      </c>
      <c r="F640" s="0" t="n">
        <f aca="false">COUNTIF($A$2:A640,A640)</f>
        <v>212</v>
      </c>
      <c r="G640" s="0" t="n">
        <f aca="false">ROUNDUP(C640*1.236/75,0)</f>
        <v>1</v>
      </c>
      <c r="H640" s="0" t="str">
        <f aca="false">IF(MOD(F640-1,2)=0,SUMPRODUCT(($A$2:$A$644=A640)*(ROW($A$2:$A$644)&gt;=ROW())*(ROW($A$2:$A$644)&lt;ROW()+2)*$C$2:$C$644),"")</f>
        <v/>
      </c>
      <c r="I640" s="0" t="str">
        <f aca="false">IF(H640="","",ROUNDUP(H640/75,0))</f>
        <v/>
      </c>
      <c r="J640" s="0" t="str">
        <f aca="false">IF(MOD(F640-1,3)=0,SUMPRODUCT(($A$2:$A$644=A640)*(ROW($A$2:$A$644)&gt;=ROW())*(ROW($A$2:$A$644)&lt;ROW()+3)*$C$2:$C$644),"")</f>
        <v/>
      </c>
      <c r="K640" s="0" t="str">
        <f aca="false">IF(J640="","",ROUNDUP(J640/75,0))</f>
        <v/>
      </c>
      <c r="L640" s="0" t="str">
        <f aca="false">IF(MOD(F640-1,5)=0,SUMPRODUCT(($A$2:$A$644=A640)*(ROW($A$2:$A$644)&gt;=ROW())*(ROW($A$2:$A$644)&lt;ROW()+5)*$C$2:$C$644),"")</f>
        <v/>
      </c>
      <c r="M640" s="0" t="str">
        <f aca="false">IF(L640="","",ROUNDUP(L640/75,0))</f>
        <v/>
      </c>
      <c r="N640" s="0" t="str">
        <f aca="false">IF(MOD(F640-1,7)=0,SUMPRODUCT(($A$2:$A$644=A640)*(ROW($A$2:$A$644)&gt;=ROW())*(ROW($A$2:$A$644)&lt;ROW()+7)*$C$2:$C$644),"")</f>
        <v/>
      </c>
      <c r="O640" s="0" t="str">
        <f aca="false">IF(N640="","",ROUNDUP(N640/75,0))</f>
        <v/>
      </c>
    </row>
    <row r="641" customFormat="false" ht="15" hidden="false" customHeight="false" outlineLevel="0" collapsed="false">
      <c r="A641" s="0" t="s">
        <v>462</v>
      </c>
      <c r="B641" s="0" t="s">
        <v>675</v>
      </c>
      <c r="C641" s="0" t="n">
        <v>48</v>
      </c>
      <c r="D641" s="0" t="n">
        <v>1</v>
      </c>
      <c r="E641" s="0" t="n">
        <v>27</v>
      </c>
      <c r="F641" s="0" t="n">
        <f aca="false">COUNTIF($A$2:A641,A641)</f>
        <v>213</v>
      </c>
      <c r="G641" s="0" t="n">
        <f aca="false">ROUNDUP(C641*1.236/75,0)</f>
        <v>1</v>
      </c>
      <c r="H641" s="0" t="n">
        <f aca="false">IF(MOD(F641-1,2)=0,SUMPRODUCT(($A$2:$A$644=A641)*(ROW($A$2:$A$644)&gt;=ROW())*(ROW($A$2:$A$644)&lt;ROW()+2)*$C$2:$C$644),"")</f>
        <v>66</v>
      </c>
      <c r="I641" s="0" t="n">
        <f aca="false">IF(H641="","",ROUNDUP(H641/75,0))</f>
        <v>1</v>
      </c>
      <c r="J641" s="0" t="str">
        <f aca="false">IF(MOD(F641-1,3)=0,SUMPRODUCT(($A$2:$A$644=A641)*(ROW($A$2:$A$644)&gt;=ROW())*(ROW($A$2:$A$644)&lt;ROW()+3)*$C$2:$C$644),"")</f>
        <v/>
      </c>
      <c r="K641" s="0" t="str">
        <f aca="false">IF(J641="","",ROUNDUP(J641/75,0))</f>
        <v/>
      </c>
      <c r="L641" s="0" t="str">
        <f aca="false">IF(MOD(F641-1,5)=0,SUMPRODUCT(($A$2:$A$644=A641)*(ROW($A$2:$A$644)&gt;=ROW())*(ROW($A$2:$A$644)&lt;ROW()+5)*$C$2:$C$644),"")</f>
        <v/>
      </c>
      <c r="M641" s="0" t="str">
        <f aca="false">IF(L641="","",ROUNDUP(L641/75,0))</f>
        <v/>
      </c>
      <c r="N641" s="0" t="str">
        <f aca="false">IF(MOD(F641-1,7)=0,SUMPRODUCT(($A$2:$A$644=A641)*(ROW($A$2:$A$644)&gt;=ROW())*(ROW($A$2:$A$644)&lt;ROW()+7)*$C$2:$C$644),"")</f>
        <v/>
      </c>
      <c r="O641" s="0" t="str">
        <f aca="false">IF(N641="","",ROUNDUP(N641/75,0))</f>
        <v/>
      </c>
    </row>
    <row r="642" customFormat="false" ht="15" hidden="false" customHeight="false" outlineLevel="0" collapsed="false">
      <c r="A642" s="0" t="s">
        <v>462</v>
      </c>
      <c r="B642" s="0" t="s">
        <v>676</v>
      </c>
      <c r="C642" s="0" t="n">
        <v>18</v>
      </c>
      <c r="D642" s="0" t="n">
        <v>1</v>
      </c>
      <c r="E642" s="0" t="n">
        <v>57</v>
      </c>
      <c r="F642" s="0" t="n">
        <f aca="false">COUNTIF($A$2:A642,A642)</f>
        <v>214</v>
      </c>
      <c r="G642" s="0" t="n">
        <f aca="false">ROUNDUP(C642*1.236/75,0)</f>
        <v>1</v>
      </c>
      <c r="H642" s="0" t="str">
        <f aca="false">IF(MOD(F642-1,2)=0,SUMPRODUCT(($A$2:$A$644=A642)*(ROW($A$2:$A$644)&gt;=ROW())*(ROW($A$2:$A$644)&lt;ROW()+2)*$C$2:$C$644),"")</f>
        <v/>
      </c>
      <c r="I642" s="0" t="str">
        <f aca="false">IF(H642="","",ROUNDUP(H642/75,0))</f>
        <v/>
      </c>
      <c r="J642" s="0" t="n">
        <f aca="false">IF(MOD(F642-1,3)=0,SUMPRODUCT(($A$2:$A$644=A642)*(ROW($A$2:$A$644)&gt;=ROW())*(ROW($A$2:$A$644)&lt;ROW()+3)*$C$2:$C$644),"")</f>
        <v>138</v>
      </c>
      <c r="K642" s="0" t="n">
        <f aca="false">IF(J642="","",ROUNDUP(J642/75,0))</f>
        <v>2</v>
      </c>
      <c r="L642" s="0" t="str">
        <f aca="false">IF(MOD(F642-1,5)=0,SUMPRODUCT(($A$2:$A$644=A642)*(ROW($A$2:$A$644)&gt;=ROW())*(ROW($A$2:$A$644)&lt;ROW()+5)*$C$2:$C$644),"")</f>
        <v/>
      </c>
      <c r="M642" s="0" t="str">
        <f aca="false">IF(L642="","",ROUNDUP(L642/75,0))</f>
        <v/>
      </c>
      <c r="N642" s="0" t="str">
        <f aca="false">IF(MOD(F642-1,7)=0,SUMPRODUCT(($A$2:$A$644=A642)*(ROW($A$2:$A$644)&gt;=ROW())*(ROW($A$2:$A$644)&lt;ROW()+7)*$C$2:$C$644),"")</f>
        <v/>
      </c>
      <c r="O642" s="0" t="str">
        <f aca="false">IF(N642="","",ROUNDUP(N642/75,0))</f>
        <v/>
      </c>
    </row>
    <row r="643" customFormat="false" ht="15" hidden="false" customHeight="false" outlineLevel="0" collapsed="false">
      <c r="A643" s="0" t="s">
        <v>462</v>
      </c>
      <c r="B643" s="0" t="s">
        <v>677</v>
      </c>
      <c r="C643" s="0" t="n">
        <v>114</v>
      </c>
      <c r="D643" s="0" t="n">
        <v>2</v>
      </c>
      <c r="E643" s="0" t="n">
        <v>36</v>
      </c>
      <c r="F643" s="0" t="n">
        <f aca="false">COUNTIF($A$2:A643,A643)</f>
        <v>215</v>
      </c>
      <c r="G643" s="0" t="n">
        <f aca="false">ROUNDUP(C643*1.236/75,0)</f>
        <v>2</v>
      </c>
      <c r="H643" s="0" t="n">
        <f aca="false">IF(MOD(F643-1,2)=0,SUMPRODUCT(($A$2:$A$644=A643)*(ROW($A$2:$A$644)&gt;=ROW())*(ROW($A$2:$A$644)&lt;ROW()+2)*$C$2:$C$644),"")</f>
        <v>120</v>
      </c>
      <c r="I643" s="0" t="n">
        <f aca="false">IF(H643="","",ROUNDUP(H643/75,0))</f>
        <v>2</v>
      </c>
      <c r="J643" s="0" t="str">
        <f aca="false">IF(MOD(F643-1,3)=0,SUMPRODUCT(($A$2:$A$644=A643)*(ROW($A$2:$A$644)&gt;=ROW())*(ROW($A$2:$A$644)&lt;ROW()+3)*$C$2:$C$644),"")</f>
        <v/>
      </c>
      <c r="K643" s="0" t="str">
        <f aca="false">IF(J643="","",ROUNDUP(J643/75,0))</f>
        <v/>
      </c>
      <c r="L643" s="0" t="str">
        <f aca="false">IF(MOD(F643-1,5)=0,SUMPRODUCT(($A$2:$A$644=A643)*(ROW($A$2:$A$644)&gt;=ROW())*(ROW($A$2:$A$644)&lt;ROW()+5)*$C$2:$C$644),"")</f>
        <v/>
      </c>
      <c r="M643" s="0" t="str">
        <f aca="false">IF(L643="","",ROUNDUP(L643/75,0))</f>
        <v/>
      </c>
      <c r="N643" s="0" t="str">
        <f aca="false">IF(MOD(F643-1,7)=0,SUMPRODUCT(($A$2:$A$644=A643)*(ROW($A$2:$A$644)&gt;=ROW())*(ROW($A$2:$A$644)&lt;ROW()+7)*$C$2:$C$644),"")</f>
        <v/>
      </c>
      <c r="O643" s="0" t="str">
        <f aca="false">IF(N643="","",ROUNDUP(N643/75,0))</f>
        <v/>
      </c>
    </row>
    <row r="644" customFormat="false" ht="15" hidden="false" customHeight="false" outlineLevel="0" collapsed="false">
      <c r="A644" s="0" t="s">
        <v>462</v>
      </c>
      <c r="B644" s="0" t="s">
        <v>678</v>
      </c>
      <c r="C644" s="0" t="n">
        <v>6</v>
      </c>
      <c r="D644" s="0" t="n">
        <v>1</v>
      </c>
      <c r="E644" s="0" t="n">
        <v>69</v>
      </c>
      <c r="F644" s="0" t="n">
        <f aca="false">COUNTIF($A$2:A644,A644)</f>
        <v>216</v>
      </c>
      <c r="G644" s="0" t="n">
        <f aca="false">ROUNDUP(C644*1.236/75,0)</f>
        <v>1</v>
      </c>
      <c r="H644" s="0" t="str">
        <f aca="false">IF(MOD(F644-1,2)=0,SUMPRODUCT(($A$2:$A$644=A644)*(ROW($A$2:$A$644)&gt;=ROW())*(ROW($A$2:$A$644)&lt;ROW()+2)*$C$2:$C$644),"")</f>
        <v/>
      </c>
      <c r="I644" s="0" t="str">
        <f aca="false">IF(H644="","",ROUNDUP(H644/75,0))</f>
        <v/>
      </c>
      <c r="J644" s="0" t="str">
        <f aca="false">IF(MOD(F644-1,3)=0,SUMPRODUCT(($A$2:$A$644=A644)*(ROW($A$2:$A$644)&gt;=ROW())*(ROW($A$2:$A$644)&lt;ROW()+3)*$C$2:$C$644),"")</f>
        <v/>
      </c>
      <c r="K644" s="0" t="str">
        <f aca="false">IF(J644="","",ROUNDUP(J644/75,0))</f>
        <v/>
      </c>
      <c r="L644" s="0" t="n">
        <f aca="false">IF(MOD(F644-1,5)=0,SUMPRODUCT(($A$2:$A$644=A644)*(ROW($A$2:$A$644)&gt;=ROW())*(ROW($A$2:$A$644)&lt;ROW()+5)*$C$2:$C$644),"")</f>
        <v>6</v>
      </c>
      <c r="M644" s="0" t="n">
        <f aca="false">IF(L644="","",ROUNDUP(L644/75,0))</f>
        <v>1</v>
      </c>
      <c r="N644" s="0" t="str">
        <f aca="false">IF(MOD(F644-1,7)=0,SUMPRODUCT(($A$2:$A$644=A644)*(ROW($A$2:$A$644)&gt;=ROW())*(ROW($A$2:$A$644)&lt;ROW()+7)*$C$2:$C$644),"")</f>
        <v/>
      </c>
      <c r="O644" s="0" t="str">
        <f aca="false">IF(N644="","",ROUNDUP(N644/75,0))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28.35" hidden="false" customHeight="false" outlineLevel="0" collapsed="false">
      <c r="A1" s="5" t="s">
        <v>18</v>
      </c>
      <c r="B1" s="5" t="s">
        <v>19</v>
      </c>
      <c r="C1" s="5" t="s">
        <v>679</v>
      </c>
      <c r="D1" s="5" t="s">
        <v>680</v>
      </c>
      <c r="E1" s="5" t="s">
        <v>681</v>
      </c>
      <c r="F1" s="5" t="s">
        <v>682</v>
      </c>
    </row>
    <row r="2" customFormat="false" ht="15" hidden="false" customHeight="false" outlineLevel="0" collapsed="false">
      <c r="A2" s="0" t="s">
        <v>33</v>
      </c>
      <c r="B2" s="0" t="s">
        <v>34</v>
      </c>
      <c r="C2" s="0" t="n">
        <v>54</v>
      </c>
      <c r="D2" s="0" t="n">
        <v>1</v>
      </c>
      <c r="E2" s="0" t="n">
        <v>21</v>
      </c>
      <c r="F2" s="0" t="n">
        <v>1</v>
      </c>
    </row>
    <row r="3" customFormat="false" ht="15" hidden="false" customHeight="false" outlineLevel="0" collapsed="false">
      <c r="A3" s="0" t="s">
        <v>33</v>
      </c>
      <c r="B3" s="0" t="s">
        <v>35</v>
      </c>
      <c r="C3" s="0" t="n">
        <v>54</v>
      </c>
      <c r="D3" s="0" t="n">
        <v>1</v>
      </c>
      <c r="E3" s="0" t="n">
        <v>21</v>
      </c>
      <c r="F3" s="0" t="n">
        <v>1</v>
      </c>
    </row>
    <row r="4" customFormat="false" ht="15" hidden="false" customHeight="false" outlineLevel="0" collapsed="false">
      <c r="A4" s="0" t="s">
        <v>33</v>
      </c>
      <c r="B4" s="0" t="s">
        <v>36</v>
      </c>
      <c r="C4" s="0" t="n">
        <v>78</v>
      </c>
      <c r="D4" s="0" t="n">
        <v>2</v>
      </c>
      <c r="E4" s="0" t="n">
        <v>72</v>
      </c>
      <c r="F4" s="0" t="n">
        <v>2</v>
      </c>
    </row>
    <row r="5" customFormat="false" ht="15" hidden="false" customHeight="false" outlineLevel="0" collapsed="false">
      <c r="A5" s="0" t="s">
        <v>33</v>
      </c>
      <c r="B5" s="0" t="s">
        <v>37</v>
      </c>
      <c r="C5" s="0" t="n">
        <v>42</v>
      </c>
      <c r="D5" s="0" t="n">
        <v>1</v>
      </c>
      <c r="E5" s="0" t="n">
        <v>33</v>
      </c>
      <c r="F5" s="0" t="n">
        <v>1</v>
      </c>
    </row>
    <row r="6" customFormat="false" ht="15" hidden="false" customHeight="false" outlineLevel="0" collapsed="false">
      <c r="A6" s="0" t="s">
        <v>33</v>
      </c>
      <c r="B6" s="0" t="s">
        <v>38</v>
      </c>
      <c r="C6" s="0" t="n">
        <v>30</v>
      </c>
      <c r="D6" s="0" t="n">
        <v>1</v>
      </c>
      <c r="E6" s="0" t="n">
        <v>45</v>
      </c>
      <c r="F6" s="0" t="n">
        <v>1</v>
      </c>
    </row>
    <row r="7" customFormat="false" ht="15" hidden="false" customHeight="false" outlineLevel="0" collapsed="false">
      <c r="A7" s="0" t="s">
        <v>33</v>
      </c>
      <c r="B7" s="0" t="s">
        <v>39</v>
      </c>
      <c r="C7" s="0" t="n">
        <v>30</v>
      </c>
      <c r="D7" s="0" t="n">
        <v>1</v>
      </c>
      <c r="E7" s="0" t="n">
        <v>45</v>
      </c>
      <c r="F7" s="0" t="n">
        <v>1</v>
      </c>
    </row>
    <row r="8" customFormat="false" ht="15" hidden="false" customHeight="false" outlineLevel="0" collapsed="false">
      <c r="A8" s="0" t="s">
        <v>33</v>
      </c>
      <c r="B8" s="0" t="s">
        <v>40</v>
      </c>
      <c r="C8" s="0" t="n">
        <v>96</v>
      </c>
      <c r="D8" s="0" t="n">
        <v>2</v>
      </c>
      <c r="E8" s="0" t="n">
        <v>54</v>
      </c>
      <c r="F8" s="0" t="n">
        <v>2</v>
      </c>
    </row>
    <row r="9" customFormat="false" ht="15" hidden="false" customHeight="false" outlineLevel="0" collapsed="false">
      <c r="A9" s="0" t="s">
        <v>33</v>
      </c>
      <c r="B9" s="0" t="s">
        <v>41</v>
      </c>
      <c r="C9" s="0" t="n">
        <v>36</v>
      </c>
      <c r="D9" s="0" t="n">
        <v>1</v>
      </c>
      <c r="E9" s="0" t="n">
        <v>39</v>
      </c>
      <c r="F9" s="0" t="n">
        <v>1</v>
      </c>
    </row>
    <row r="10" customFormat="false" ht="15" hidden="false" customHeight="false" outlineLevel="0" collapsed="false">
      <c r="A10" s="0" t="s">
        <v>33</v>
      </c>
      <c r="B10" s="0" t="s">
        <v>42</v>
      </c>
      <c r="C10" s="0" t="n">
        <v>42</v>
      </c>
      <c r="D10" s="0" t="n">
        <v>1</v>
      </c>
      <c r="E10" s="0" t="n">
        <v>33</v>
      </c>
      <c r="F10" s="0" t="n">
        <v>1</v>
      </c>
    </row>
    <row r="11" customFormat="false" ht="15" hidden="false" customHeight="false" outlineLevel="0" collapsed="false">
      <c r="A11" s="0" t="s">
        <v>33</v>
      </c>
      <c r="B11" s="0" t="s">
        <v>43</v>
      </c>
      <c r="C11" s="0" t="n">
        <v>24</v>
      </c>
      <c r="D11" s="0" t="n">
        <v>1</v>
      </c>
      <c r="E11" s="0" t="n">
        <v>51</v>
      </c>
      <c r="F11" s="0" t="n">
        <v>1</v>
      </c>
    </row>
    <row r="12" customFormat="false" ht="15" hidden="false" customHeight="false" outlineLevel="0" collapsed="false">
      <c r="A12" s="0" t="s">
        <v>33</v>
      </c>
      <c r="B12" s="0" t="s">
        <v>44</v>
      </c>
      <c r="C12" s="0" t="n">
        <v>42</v>
      </c>
      <c r="D12" s="0" t="n">
        <v>1</v>
      </c>
      <c r="E12" s="0" t="n">
        <v>33</v>
      </c>
      <c r="F12" s="0" t="n">
        <v>1</v>
      </c>
    </row>
    <row r="13" customFormat="false" ht="15" hidden="false" customHeight="false" outlineLevel="0" collapsed="false">
      <c r="A13" s="0" t="s">
        <v>33</v>
      </c>
      <c r="B13" s="0" t="s">
        <v>45</v>
      </c>
      <c r="C13" s="0" t="n">
        <v>60</v>
      </c>
      <c r="D13" s="0" t="n">
        <v>1</v>
      </c>
      <c r="E13" s="0" t="n">
        <v>15</v>
      </c>
      <c r="F13" s="0" t="n">
        <v>1</v>
      </c>
    </row>
    <row r="14" customFormat="false" ht="15" hidden="false" customHeight="false" outlineLevel="0" collapsed="false">
      <c r="A14" s="0" t="s">
        <v>33</v>
      </c>
      <c r="B14" s="0" t="s">
        <v>46</v>
      </c>
      <c r="C14" s="0" t="n">
        <v>24</v>
      </c>
      <c r="D14" s="0" t="n">
        <v>1</v>
      </c>
      <c r="E14" s="0" t="n">
        <v>51</v>
      </c>
      <c r="F14" s="0" t="n">
        <v>1</v>
      </c>
    </row>
    <row r="15" customFormat="false" ht="15" hidden="false" customHeight="false" outlineLevel="0" collapsed="false">
      <c r="A15" s="0" t="s">
        <v>33</v>
      </c>
      <c r="B15" s="0" t="s">
        <v>47</v>
      </c>
      <c r="C15" s="0" t="n">
        <v>42</v>
      </c>
      <c r="D15" s="0" t="n">
        <v>1</v>
      </c>
      <c r="E15" s="0" t="n">
        <v>33</v>
      </c>
      <c r="F15" s="0" t="n">
        <v>1</v>
      </c>
    </row>
    <row r="16" customFormat="false" ht="15" hidden="false" customHeight="false" outlineLevel="0" collapsed="false">
      <c r="A16" s="0" t="s">
        <v>33</v>
      </c>
      <c r="B16" s="0" t="s">
        <v>48</v>
      </c>
      <c r="C16" s="0" t="n">
        <v>36</v>
      </c>
      <c r="D16" s="0" t="n">
        <v>1</v>
      </c>
      <c r="E16" s="0" t="n">
        <v>39</v>
      </c>
      <c r="F16" s="0" t="n">
        <v>1</v>
      </c>
    </row>
    <row r="17" customFormat="false" ht="15" hidden="false" customHeight="false" outlineLevel="0" collapsed="false">
      <c r="A17" s="0" t="s">
        <v>33</v>
      </c>
      <c r="B17" s="0" t="s">
        <v>49</v>
      </c>
      <c r="C17" s="0" t="n">
        <v>42</v>
      </c>
      <c r="D17" s="0" t="n">
        <v>1</v>
      </c>
      <c r="E17" s="0" t="n">
        <v>33</v>
      </c>
      <c r="F17" s="0" t="n">
        <v>1</v>
      </c>
    </row>
    <row r="18" customFormat="false" ht="15" hidden="false" customHeight="false" outlineLevel="0" collapsed="false">
      <c r="A18" s="0" t="s">
        <v>33</v>
      </c>
      <c r="B18" s="0" t="s">
        <v>50</v>
      </c>
      <c r="C18" s="0" t="n">
        <v>54</v>
      </c>
      <c r="D18" s="0" t="n">
        <v>1</v>
      </c>
      <c r="E18" s="0" t="n">
        <v>21</v>
      </c>
      <c r="F18" s="0" t="n">
        <v>1</v>
      </c>
    </row>
    <row r="19" customFormat="false" ht="15" hidden="false" customHeight="false" outlineLevel="0" collapsed="false">
      <c r="A19" s="0" t="s">
        <v>33</v>
      </c>
      <c r="B19" s="0" t="s">
        <v>51</v>
      </c>
      <c r="C19" s="0" t="n">
        <v>36</v>
      </c>
      <c r="D19" s="0" t="n">
        <v>1</v>
      </c>
      <c r="E19" s="0" t="n">
        <v>39</v>
      </c>
      <c r="F19" s="0" t="n">
        <v>1</v>
      </c>
    </row>
    <row r="20" customFormat="false" ht="15" hidden="false" customHeight="false" outlineLevel="0" collapsed="false">
      <c r="A20" s="0" t="s">
        <v>33</v>
      </c>
      <c r="B20" s="0" t="s">
        <v>52</v>
      </c>
      <c r="C20" s="0" t="n">
        <v>30</v>
      </c>
      <c r="D20" s="0" t="n">
        <v>1</v>
      </c>
      <c r="E20" s="0" t="n">
        <v>45</v>
      </c>
      <c r="F20" s="0" t="n">
        <v>1</v>
      </c>
    </row>
    <row r="21" customFormat="false" ht="15" hidden="false" customHeight="false" outlineLevel="0" collapsed="false">
      <c r="A21" s="0" t="s">
        <v>33</v>
      </c>
      <c r="B21" s="0" t="s">
        <v>53</v>
      </c>
      <c r="C21" s="0" t="n">
        <v>66</v>
      </c>
      <c r="D21" s="0" t="n">
        <v>1</v>
      </c>
      <c r="E21" s="0" t="n">
        <v>9</v>
      </c>
      <c r="F21" s="0" t="n">
        <v>2</v>
      </c>
    </row>
    <row r="22" customFormat="false" ht="15" hidden="false" customHeight="false" outlineLevel="0" collapsed="false">
      <c r="A22" s="0" t="s">
        <v>33</v>
      </c>
      <c r="B22" s="0" t="s">
        <v>54</v>
      </c>
      <c r="C22" s="0" t="n">
        <v>90</v>
      </c>
      <c r="D22" s="0" t="n">
        <v>2</v>
      </c>
      <c r="E22" s="0" t="n">
        <v>60</v>
      </c>
      <c r="F22" s="0" t="n">
        <v>2</v>
      </c>
    </row>
    <row r="23" customFormat="false" ht="15" hidden="false" customHeight="false" outlineLevel="0" collapsed="false">
      <c r="A23" s="0" t="s">
        <v>33</v>
      </c>
      <c r="B23" s="0" t="s">
        <v>55</v>
      </c>
      <c r="C23" s="0" t="n">
        <v>72</v>
      </c>
      <c r="D23" s="0" t="n">
        <v>1</v>
      </c>
      <c r="E23" s="0" t="n">
        <v>3</v>
      </c>
      <c r="F23" s="0" t="n">
        <v>2</v>
      </c>
    </row>
    <row r="24" customFormat="false" ht="15" hidden="false" customHeight="false" outlineLevel="0" collapsed="false">
      <c r="A24" s="0" t="s">
        <v>33</v>
      </c>
      <c r="B24" s="0" t="s">
        <v>56</v>
      </c>
      <c r="C24" s="0" t="n">
        <v>132</v>
      </c>
      <c r="D24" s="0" t="n">
        <v>2</v>
      </c>
      <c r="E24" s="0" t="n">
        <v>18</v>
      </c>
      <c r="F24" s="0" t="n">
        <v>3</v>
      </c>
    </row>
    <row r="25" customFormat="false" ht="15" hidden="false" customHeight="false" outlineLevel="0" collapsed="false">
      <c r="A25" s="0" t="s">
        <v>33</v>
      </c>
      <c r="B25" s="0" t="s">
        <v>57</v>
      </c>
      <c r="C25" s="0" t="n">
        <v>60</v>
      </c>
      <c r="D25" s="0" t="n">
        <v>1</v>
      </c>
      <c r="E25" s="0" t="n">
        <v>15</v>
      </c>
      <c r="F25" s="0" t="n">
        <v>1</v>
      </c>
    </row>
    <row r="26" customFormat="false" ht="15" hidden="false" customHeight="false" outlineLevel="0" collapsed="false">
      <c r="A26" s="0" t="s">
        <v>33</v>
      </c>
      <c r="B26" s="0" t="s">
        <v>58</v>
      </c>
      <c r="C26" s="0" t="n">
        <v>36</v>
      </c>
      <c r="D26" s="0" t="n">
        <v>1</v>
      </c>
      <c r="E26" s="0" t="n">
        <v>39</v>
      </c>
      <c r="F26" s="0" t="n">
        <v>1</v>
      </c>
    </row>
    <row r="27" customFormat="false" ht="15" hidden="false" customHeight="false" outlineLevel="0" collapsed="false">
      <c r="A27" s="0" t="s">
        <v>33</v>
      </c>
      <c r="B27" s="0" t="s">
        <v>59</v>
      </c>
      <c r="C27" s="0" t="n">
        <v>30</v>
      </c>
      <c r="D27" s="0" t="n">
        <v>1</v>
      </c>
      <c r="E27" s="0" t="n">
        <v>45</v>
      </c>
      <c r="F27" s="0" t="n">
        <v>1</v>
      </c>
    </row>
    <row r="28" customFormat="false" ht="15" hidden="false" customHeight="false" outlineLevel="0" collapsed="false">
      <c r="A28" s="0" t="s">
        <v>33</v>
      </c>
      <c r="B28" s="0" t="s">
        <v>60</v>
      </c>
      <c r="C28" s="0" t="n">
        <v>36</v>
      </c>
      <c r="D28" s="0" t="n">
        <v>1</v>
      </c>
      <c r="E28" s="0" t="n">
        <v>39</v>
      </c>
      <c r="F28" s="0" t="n">
        <v>1</v>
      </c>
    </row>
    <row r="29" customFormat="false" ht="15" hidden="false" customHeight="false" outlineLevel="0" collapsed="false">
      <c r="A29" s="0" t="s">
        <v>33</v>
      </c>
      <c r="B29" s="0" t="s">
        <v>61</v>
      </c>
      <c r="C29" s="0" t="n">
        <v>60</v>
      </c>
      <c r="D29" s="0" t="n">
        <v>1</v>
      </c>
      <c r="E29" s="0" t="n">
        <v>15</v>
      </c>
      <c r="F29" s="0" t="n">
        <v>1</v>
      </c>
    </row>
    <row r="30" customFormat="false" ht="15" hidden="false" customHeight="false" outlineLevel="0" collapsed="false">
      <c r="A30" s="0" t="s">
        <v>33</v>
      </c>
      <c r="B30" s="0" t="s">
        <v>62</v>
      </c>
      <c r="C30" s="0" t="n">
        <v>84</v>
      </c>
      <c r="D30" s="0" t="n">
        <v>2</v>
      </c>
      <c r="E30" s="0" t="n">
        <v>66</v>
      </c>
      <c r="F30" s="0" t="n">
        <v>2</v>
      </c>
    </row>
    <row r="31" customFormat="false" ht="15" hidden="false" customHeight="false" outlineLevel="0" collapsed="false">
      <c r="A31" s="0" t="s">
        <v>33</v>
      </c>
      <c r="B31" s="0" t="s">
        <v>63</v>
      </c>
      <c r="C31" s="0" t="n">
        <v>42</v>
      </c>
      <c r="D31" s="0" t="n">
        <v>1</v>
      </c>
      <c r="E31" s="0" t="n">
        <v>33</v>
      </c>
      <c r="F31" s="0" t="n">
        <v>1</v>
      </c>
    </row>
    <row r="32" customFormat="false" ht="15" hidden="false" customHeight="false" outlineLevel="0" collapsed="false">
      <c r="A32" s="0" t="s">
        <v>33</v>
      </c>
      <c r="B32" s="0" t="s">
        <v>64</v>
      </c>
      <c r="C32" s="0" t="n">
        <v>90</v>
      </c>
      <c r="D32" s="0" t="n">
        <v>2</v>
      </c>
      <c r="E32" s="0" t="n">
        <v>60</v>
      </c>
      <c r="F32" s="0" t="n">
        <v>2</v>
      </c>
    </row>
    <row r="33" customFormat="false" ht="15" hidden="false" customHeight="false" outlineLevel="0" collapsed="false">
      <c r="A33" s="0" t="s">
        <v>33</v>
      </c>
      <c r="B33" s="0" t="s">
        <v>65</v>
      </c>
      <c r="C33" s="0" t="n">
        <v>72</v>
      </c>
      <c r="D33" s="0" t="n">
        <v>1</v>
      </c>
      <c r="E33" s="0" t="n">
        <v>3</v>
      </c>
      <c r="F33" s="0" t="n">
        <v>2</v>
      </c>
    </row>
    <row r="34" customFormat="false" ht="15" hidden="false" customHeight="false" outlineLevel="0" collapsed="false">
      <c r="A34" s="0" t="s">
        <v>33</v>
      </c>
      <c r="B34" s="0" t="s">
        <v>66</v>
      </c>
      <c r="C34" s="0" t="n">
        <v>66</v>
      </c>
      <c r="D34" s="0" t="n">
        <v>1</v>
      </c>
      <c r="E34" s="0" t="n">
        <v>9</v>
      </c>
      <c r="F34" s="0" t="n">
        <v>2</v>
      </c>
    </row>
    <row r="35" customFormat="false" ht="15" hidden="false" customHeight="false" outlineLevel="0" collapsed="false">
      <c r="A35" s="0" t="s">
        <v>33</v>
      </c>
      <c r="B35" s="0" t="s">
        <v>67</v>
      </c>
      <c r="C35" s="0" t="n">
        <v>66</v>
      </c>
      <c r="D35" s="0" t="n">
        <v>1</v>
      </c>
      <c r="E35" s="0" t="n">
        <v>9</v>
      </c>
      <c r="F35" s="0" t="n">
        <v>2</v>
      </c>
    </row>
    <row r="36" customFormat="false" ht="15" hidden="false" customHeight="false" outlineLevel="0" collapsed="false">
      <c r="A36" s="0" t="s">
        <v>33</v>
      </c>
      <c r="B36" s="0" t="s">
        <v>68</v>
      </c>
      <c r="C36" s="0" t="n">
        <v>72</v>
      </c>
      <c r="D36" s="0" t="n">
        <v>1</v>
      </c>
      <c r="E36" s="0" t="n">
        <v>3</v>
      </c>
      <c r="F36" s="0" t="n">
        <v>2</v>
      </c>
    </row>
    <row r="37" customFormat="false" ht="15" hidden="false" customHeight="false" outlineLevel="0" collapsed="false">
      <c r="A37" s="0" t="s">
        <v>33</v>
      </c>
      <c r="B37" s="0" t="s">
        <v>69</v>
      </c>
      <c r="C37" s="0" t="n">
        <v>42</v>
      </c>
      <c r="D37" s="0" t="n">
        <v>1</v>
      </c>
      <c r="E37" s="0" t="n">
        <v>33</v>
      </c>
      <c r="F37" s="0" t="n">
        <v>1</v>
      </c>
    </row>
    <row r="38" customFormat="false" ht="15" hidden="false" customHeight="false" outlineLevel="0" collapsed="false">
      <c r="A38" s="0" t="s">
        <v>33</v>
      </c>
      <c r="B38" s="0" t="s">
        <v>70</v>
      </c>
      <c r="C38" s="0" t="n">
        <v>42</v>
      </c>
      <c r="D38" s="0" t="n">
        <v>1</v>
      </c>
      <c r="E38" s="0" t="n">
        <v>33</v>
      </c>
      <c r="F38" s="0" t="n">
        <v>1</v>
      </c>
    </row>
    <row r="39" customFormat="false" ht="15" hidden="false" customHeight="false" outlineLevel="0" collapsed="false">
      <c r="A39" s="0" t="s">
        <v>33</v>
      </c>
      <c r="B39" s="0" t="s">
        <v>71</v>
      </c>
      <c r="C39" s="0" t="n">
        <v>111</v>
      </c>
      <c r="D39" s="0" t="n">
        <v>2</v>
      </c>
      <c r="E39" s="0" t="n">
        <v>39</v>
      </c>
      <c r="F39" s="0" t="n">
        <v>2</v>
      </c>
    </row>
    <row r="40" customFormat="false" ht="15" hidden="false" customHeight="false" outlineLevel="0" collapsed="false">
      <c r="A40" s="0" t="s">
        <v>33</v>
      </c>
      <c r="B40" s="0" t="s">
        <v>72</v>
      </c>
      <c r="C40" s="0" t="n">
        <v>72</v>
      </c>
      <c r="D40" s="0" t="n">
        <v>1</v>
      </c>
      <c r="E40" s="0" t="n">
        <v>3</v>
      </c>
      <c r="F40" s="0" t="n">
        <v>2</v>
      </c>
    </row>
    <row r="41" customFormat="false" ht="15" hidden="false" customHeight="false" outlineLevel="0" collapsed="false">
      <c r="A41" s="0" t="s">
        <v>33</v>
      </c>
      <c r="B41" s="0" t="s">
        <v>73</v>
      </c>
      <c r="C41" s="0" t="n">
        <v>12</v>
      </c>
      <c r="D41" s="0" t="n">
        <v>1</v>
      </c>
      <c r="E41" s="0" t="n">
        <v>63</v>
      </c>
      <c r="F41" s="0" t="n">
        <v>1</v>
      </c>
    </row>
    <row r="42" customFormat="false" ht="15" hidden="false" customHeight="false" outlineLevel="0" collapsed="false">
      <c r="A42" s="0" t="s">
        <v>33</v>
      </c>
      <c r="B42" s="0" t="s">
        <v>74</v>
      </c>
      <c r="C42" s="0" t="n">
        <v>36</v>
      </c>
      <c r="D42" s="0" t="n">
        <v>1</v>
      </c>
      <c r="E42" s="0" t="n">
        <v>39</v>
      </c>
      <c r="F42" s="0" t="n">
        <v>1</v>
      </c>
    </row>
    <row r="43" customFormat="false" ht="15" hidden="false" customHeight="false" outlineLevel="0" collapsed="false">
      <c r="A43" s="0" t="s">
        <v>33</v>
      </c>
      <c r="B43" s="0" t="s">
        <v>75</v>
      </c>
      <c r="C43" s="0" t="n">
        <v>60</v>
      </c>
      <c r="D43" s="0" t="n">
        <v>1</v>
      </c>
      <c r="E43" s="0" t="n">
        <v>15</v>
      </c>
      <c r="F43" s="0" t="n">
        <v>1</v>
      </c>
    </row>
    <row r="44" customFormat="false" ht="15" hidden="false" customHeight="false" outlineLevel="0" collapsed="false">
      <c r="A44" s="0" t="s">
        <v>33</v>
      </c>
      <c r="B44" s="0" t="s">
        <v>76</v>
      </c>
      <c r="C44" s="0" t="n">
        <v>42</v>
      </c>
      <c r="D44" s="0" t="n">
        <v>1</v>
      </c>
      <c r="E44" s="0" t="n">
        <v>33</v>
      </c>
      <c r="F44" s="0" t="n">
        <v>1</v>
      </c>
    </row>
    <row r="45" customFormat="false" ht="15" hidden="false" customHeight="false" outlineLevel="0" collapsed="false">
      <c r="A45" s="0" t="s">
        <v>33</v>
      </c>
      <c r="B45" s="0" t="s">
        <v>77</v>
      </c>
      <c r="C45" s="0" t="n">
        <v>84</v>
      </c>
      <c r="D45" s="0" t="n">
        <v>2</v>
      </c>
      <c r="E45" s="0" t="n">
        <v>66</v>
      </c>
      <c r="F45" s="0" t="n">
        <v>2</v>
      </c>
    </row>
    <row r="46" customFormat="false" ht="15" hidden="false" customHeight="false" outlineLevel="0" collapsed="false">
      <c r="A46" s="0" t="s">
        <v>33</v>
      </c>
      <c r="B46" s="0" t="s">
        <v>78</v>
      </c>
      <c r="C46" s="0" t="n">
        <v>66</v>
      </c>
      <c r="D46" s="0" t="n">
        <v>1</v>
      </c>
      <c r="E46" s="0" t="n">
        <v>9</v>
      </c>
      <c r="F46" s="0" t="n">
        <v>2</v>
      </c>
    </row>
    <row r="47" customFormat="false" ht="15" hidden="false" customHeight="false" outlineLevel="0" collapsed="false">
      <c r="A47" s="0" t="s">
        <v>33</v>
      </c>
      <c r="B47" s="0" t="s">
        <v>79</v>
      </c>
      <c r="C47" s="0" t="n">
        <v>66</v>
      </c>
      <c r="D47" s="0" t="n">
        <v>1</v>
      </c>
      <c r="E47" s="0" t="n">
        <v>9</v>
      </c>
      <c r="F47" s="0" t="n">
        <v>2</v>
      </c>
    </row>
    <row r="48" customFormat="false" ht="15" hidden="false" customHeight="false" outlineLevel="0" collapsed="false">
      <c r="A48" s="0" t="s">
        <v>33</v>
      </c>
      <c r="B48" s="0" t="s">
        <v>80</v>
      </c>
      <c r="C48" s="0" t="n">
        <v>24</v>
      </c>
      <c r="D48" s="0" t="n">
        <v>1</v>
      </c>
      <c r="E48" s="0" t="n">
        <v>51</v>
      </c>
      <c r="F48" s="0" t="n">
        <v>1</v>
      </c>
    </row>
    <row r="49" customFormat="false" ht="15" hidden="false" customHeight="false" outlineLevel="0" collapsed="false">
      <c r="A49" s="0" t="s">
        <v>33</v>
      </c>
      <c r="B49" s="0" t="s">
        <v>81</v>
      </c>
      <c r="C49" s="0" t="n">
        <v>54</v>
      </c>
      <c r="D49" s="0" t="n">
        <v>1</v>
      </c>
      <c r="E49" s="0" t="n">
        <v>21</v>
      </c>
      <c r="F49" s="0" t="n">
        <v>1</v>
      </c>
    </row>
    <row r="50" customFormat="false" ht="15" hidden="false" customHeight="false" outlineLevel="0" collapsed="false">
      <c r="A50" s="0" t="s">
        <v>33</v>
      </c>
      <c r="B50" s="0" t="s">
        <v>82</v>
      </c>
      <c r="C50" s="0" t="n">
        <v>42</v>
      </c>
      <c r="D50" s="0" t="n">
        <v>1</v>
      </c>
      <c r="E50" s="0" t="n">
        <v>33</v>
      </c>
      <c r="F50" s="0" t="n">
        <v>1</v>
      </c>
    </row>
    <row r="51" customFormat="false" ht="15" hidden="false" customHeight="false" outlineLevel="0" collapsed="false">
      <c r="A51" s="0" t="s">
        <v>33</v>
      </c>
      <c r="B51" s="0" t="s">
        <v>83</v>
      </c>
      <c r="C51" s="0" t="n">
        <v>60</v>
      </c>
      <c r="D51" s="0" t="n">
        <v>1</v>
      </c>
      <c r="E51" s="0" t="n">
        <v>15</v>
      </c>
      <c r="F51" s="0" t="n">
        <v>1</v>
      </c>
    </row>
    <row r="52" customFormat="false" ht="15" hidden="false" customHeight="false" outlineLevel="0" collapsed="false">
      <c r="A52" s="0" t="s">
        <v>33</v>
      </c>
      <c r="B52" s="0" t="s">
        <v>84</v>
      </c>
      <c r="C52" s="0" t="n">
        <v>78</v>
      </c>
      <c r="D52" s="0" t="n">
        <v>2</v>
      </c>
      <c r="E52" s="0" t="n">
        <v>72</v>
      </c>
      <c r="F52" s="0" t="n">
        <v>2</v>
      </c>
    </row>
    <row r="53" customFormat="false" ht="15" hidden="false" customHeight="false" outlineLevel="0" collapsed="false">
      <c r="A53" s="0" t="s">
        <v>33</v>
      </c>
      <c r="B53" s="0" t="s">
        <v>85</v>
      </c>
      <c r="C53" s="0" t="n">
        <v>66</v>
      </c>
      <c r="D53" s="0" t="n">
        <v>1</v>
      </c>
      <c r="E53" s="0" t="n">
        <v>9</v>
      </c>
      <c r="F53" s="0" t="n">
        <v>2</v>
      </c>
    </row>
    <row r="54" customFormat="false" ht="15" hidden="false" customHeight="false" outlineLevel="0" collapsed="false">
      <c r="A54" s="0" t="s">
        <v>33</v>
      </c>
      <c r="B54" s="0" t="s">
        <v>86</v>
      </c>
      <c r="C54" s="0" t="n">
        <v>90</v>
      </c>
      <c r="D54" s="0" t="n">
        <v>2</v>
      </c>
      <c r="E54" s="0" t="n">
        <v>60</v>
      </c>
      <c r="F54" s="0" t="n">
        <v>2</v>
      </c>
    </row>
    <row r="55" customFormat="false" ht="15" hidden="false" customHeight="false" outlineLevel="0" collapsed="false">
      <c r="A55" s="0" t="s">
        <v>33</v>
      </c>
      <c r="B55" s="0" t="s">
        <v>87</v>
      </c>
      <c r="C55" s="0" t="n">
        <v>42</v>
      </c>
      <c r="D55" s="0" t="n">
        <v>1</v>
      </c>
      <c r="E55" s="0" t="n">
        <v>33</v>
      </c>
      <c r="F55" s="0" t="n">
        <v>1</v>
      </c>
    </row>
    <row r="56" customFormat="false" ht="15" hidden="false" customHeight="false" outlineLevel="0" collapsed="false">
      <c r="A56" s="0" t="s">
        <v>33</v>
      </c>
      <c r="B56" s="0" t="s">
        <v>88</v>
      </c>
      <c r="C56" s="0" t="n">
        <v>30</v>
      </c>
      <c r="D56" s="0" t="n">
        <v>1</v>
      </c>
      <c r="E56" s="0" t="n">
        <v>45</v>
      </c>
      <c r="F56" s="0" t="n">
        <v>1</v>
      </c>
    </row>
    <row r="57" customFormat="false" ht="15" hidden="false" customHeight="false" outlineLevel="0" collapsed="false">
      <c r="A57" s="0" t="s">
        <v>33</v>
      </c>
      <c r="B57" s="0" t="s">
        <v>89</v>
      </c>
      <c r="C57" s="0" t="n">
        <v>48</v>
      </c>
      <c r="D57" s="0" t="n">
        <v>1</v>
      </c>
      <c r="E57" s="0" t="n">
        <v>27</v>
      </c>
      <c r="F57" s="0" t="n">
        <v>1</v>
      </c>
    </row>
    <row r="58" customFormat="false" ht="15" hidden="false" customHeight="false" outlineLevel="0" collapsed="false">
      <c r="A58" s="0" t="s">
        <v>33</v>
      </c>
      <c r="B58" s="0" t="s">
        <v>90</v>
      </c>
      <c r="C58" s="0" t="n">
        <v>24</v>
      </c>
      <c r="D58" s="0" t="n">
        <v>1</v>
      </c>
      <c r="E58" s="0" t="n">
        <v>51</v>
      </c>
      <c r="F58" s="0" t="n">
        <v>1</v>
      </c>
    </row>
    <row r="59" customFormat="false" ht="15" hidden="false" customHeight="false" outlineLevel="0" collapsed="false">
      <c r="A59" s="0" t="s">
        <v>33</v>
      </c>
      <c r="B59" s="0" t="s">
        <v>91</v>
      </c>
      <c r="C59" s="0" t="n">
        <v>54</v>
      </c>
      <c r="D59" s="0" t="n">
        <v>1</v>
      </c>
      <c r="E59" s="0" t="n">
        <v>21</v>
      </c>
      <c r="F59" s="0" t="n">
        <v>1</v>
      </c>
    </row>
    <row r="60" customFormat="false" ht="15" hidden="false" customHeight="false" outlineLevel="0" collapsed="false">
      <c r="A60" s="0" t="s">
        <v>33</v>
      </c>
      <c r="B60" s="0" t="s">
        <v>92</v>
      </c>
      <c r="C60" s="0" t="n">
        <v>66</v>
      </c>
      <c r="D60" s="0" t="n">
        <v>1</v>
      </c>
      <c r="E60" s="0" t="n">
        <v>9</v>
      </c>
      <c r="F60" s="0" t="n">
        <v>2</v>
      </c>
    </row>
    <row r="61" customFormat="false" ht="15" hidden="false" customHeight="false" outlineLevel="0" collapsed="false">
      <c r="A61" s="0" t="s">
        <v>33</v>
      </c>
      <c r="B61" s="0" t="s">
        <v>93</v>
      </c>
      <c r="C61" s="0" t="n">
        <v>66</v>
      </c>
      <c r="D61" s="0" t="n">
        <v>1</v>
      </c>
      <c r="E61" s="0" t="n">
        <v>9</v>
      </c>
      <c r="F61" s="0" t="n">
        <v>2</v>
      </c>
    </row>
    <row r="62" customFormat="false" ht="15" hidden="false" customHeight="false" outlineLevel="0" collapsed="false">
      <c r="A62" s="0" t="s">
        <v>33</v>
      </c>
      <c r="B62" s="0" t="s">
        <v>94</v>
      </c>
      <c r="C62" s="0" t="n">
        <v>93</v>
      </c>
      <c r="D62" s="0" t="n">
        <v>2</v>
      </c>
      <c r="E62" s="0" t="n">
        <v>57</v>
      </c>
      <c r="F62" s="0" t="n">
        <v>2</v>
      </c>
    </row>
    <row r="63" customFormat="false" ht="15" hidden="false" customHeight="false" outlineLevel="0" collapsed="false">
      <c r="A63" s="0" t="s">
        <v>33</v>
      </c>
      <c r="B63" s="0" t="s">
        <v>95</v>
      </c>
      <c r="C63" s="0" t="n">
        <v>48</v>
      </c>
      <c r="D63" s="0" t="n">
        <v>1</v>
      </c>
      <c r="E63" s="0" t="n">
        <v>27</v>
      </c>
      <c r="F63" s="0" t="n">
        <v>1</v>
      </c>
    </row>
    <row r="64" customFormat="false" ht="15" hidden="false" customHeight="false" outlineLevel="0" collapsed="false">
      <c r="A64" s="0" t="s">
        <v>33</v>
      </c>
      <c r="B64" s="0" t="s">
        <v>96</v>
      </c>
      <c r="C64" s="0" t="n">
        <v>30</v>
      </c>
      <c r="D64" s="0" t="n">
        <v>1</v>
      </c>
      <c r="E64" s="0" t="n">
        <v>45</v>
      </c>
      <c r="F64" s="0" t="n">
        <v>1</v>
      </c>
    </row>
    <row r="65" customFormat="false" ht="15" hidden="false" customHeight="false" outlineLevel="0" collapsed="false">
      <c r="A65" s="0" t="s">
        <v>33</v>
      </c>
      <c r="B65" s="0" t="s">
        <v>97</v>
      </c>
      <c r="C65" s="0" t="n">
        <v>108</v>
      </c>
      <c r="D65" s="0" t="n">
        <v>2</v>
      </c>
      <c r="E65" s="0" t="n">
        <v>42</v>
      </c>
      <c r="F65" s="0" t="n">
        <v>2</v>
      </c>
    </row>
    <row r="66" customFormat="false" ht="15" hidden="false" customHeight="false" outlineLevel="0" collapsed="false">
      <c r="A66" s="0" t="s">
        <v>33</v>
      </c>
      <c r="B66" s="0" t="s">
        <v>98</v>
      </c>
      <c r="C66" s="0" t="n">
        <v>120</v>
      </c>
      <c r="D66" s="0" t="n">
        <v>2</v>
      </c>
      <c r="E66" s="0" t="n">
        <v>30</v>
      </c>
      <c r="F66" s="0" t="n">
        <v>2</v>
      </c>
    </row>
    <row r="67" customFormat="false" ht="15" hidden="false" customHeight="false" outlineLevel="0" collapsed="false">
      <c r="A67" s="0" t="s">
        <v>33</v>
      </c>
      <c r="B67" s="0" t="s">
        <v>99</v>
      </c>
      <c r="C67" s="0" t="n">
        <v>54</v>
      </c>
      <c r="D67" s="0" t="n">
        <v>1</v>
      </c>
      <c r="E67" s="0" t="n">
        <v>21</v>
      </c>
      <c r="F67" s="0" t="n">
        <v>1</v>
      </c>
    </row>
    <row r="68" customFormat="false" ht="15" hidden="false" customHeight="false" outlineLevel="0" collapsed="false">
      <c r="A68" s="0" t="s">
        <v>33</v>
      </c>
      <c r="B68" s="0" t="s">
        <v>100</v>
      </c>
      <c r="C68" s="0" t="n">
        <v>66</v>
      </c>
      <c r="D68" s="0" t="n">
        <v>1</v>
      </c>
      <c r="E68" s="0" t="n">
        <v>9</v>
      </c>
      <c r="F68" s="0" t="n">
        <v>2</v>
      </c>
    </row>
    <row r="69" customFormat="false" ht="15" hidden="false" customHeight="false" outlineLevel="0" collapsed="false">
      <c r="A69" s="0" t="s">
        <v>33</v>
      </c>
      <c r="B69" s="0" t="s">
        <v>101</v>
      </c>
      <c r="C69" s="0" t="n">
        <v>66</v>
      </c>
      <c r="D69" s="0" t="n">
        <v>1</v>
      </c>
      <c r="E69" s="0" t="n">
        <v>9</v>
      </c>
      <c r="F69" s="0" t="n">
        <v>2</v>
      </c>
    </row>
    <row r="70" customFormat="false" ht="15" hidden="false" customHeight="false" outlineLevel="0" collapsed="false">
      <c r="A70" s="0" t="s">
        <v>33</v>
      </c>
      <c r="B70" s="0" t="s">
        <v>102</v>
      </c>
      <c r="C70" s="0" t="n">
        <v>96</v>
      </c>
      <c r="D70" s="0" t="n">
        <v>2</v>
      </c>
      <c r="E70" s="0" t="n">
        <v>54</v>
      </c>
      <c r="F70" s="0" t="n">
        <v>2</v>
      </c>
    </row>
    <row r="71" customFormat="false" ht="15" hidden="false" customHeight="false" outlineLevel="0" collapsed="false">
      <c r="A71" s="0" t="s">
        <v>33</v>
      </c>
      <c r="B71" s="0" t="s">
        <v>103</v>
      </c>
      <c r="C71" s="0" t="n">
        <v>102</v>
      </c>
      <c r="D71" s="0" t="n">
        <v>2</v>
      </c>
      <c r="E71" s="0" t="n">
        <v>48</v>
      </c>
      <c r="F71" s="0" t="n">
        <v>2</v>
      </c>
    </row>
    <row r="72" customFormat="false" ht="15" hidden="false" customHeight="false" outlineLevel="0" collapsed="false">
      <c r="A72" s="0" t="s">
        <v>33</v>
      </c>
      <c r="B72" s="0" t="s">
        <v>104</v>
      </c>
      <c r="C72" s="0" t="n">
        <v>48</v>
      </c>
      <c r="D72" s="0" t="n">
        <v>1</v>
      </c>
      <c r="E72" s="0" t="n">
        <v>27</v>
      </c>
      <c r="F72" s="0" t="n">
        <v>1</v>
      </c>
    </row>
    <row r="73" customFormat="false" ht="15" hidden="false" customHeight="false" outlineLevel="0" collapsed="false">
      <c r="A73" s="0" t="s">
        <v>33</v>
      </c>
      <c r="B73" s="0" t="s">
        <v>105</v>
      </c>
      <c r="C73" s="0" t="n">
        <v>18</v>
      </c>
      <c r="D73" s="0" t="n">
        <v>1</v>
      </c>
      <c r="E73" s="0" t="n">
        <v>57</v>
      </c>
      <c r="F73" s="0" t="n">
        <v>1</v>
      </c>
    </row>
    <row r="74" customFormat="false" ht="15" hidden="false" customHeight="false" outlineLevel="0" collapsed="false">
      <c r="A74" s="0" t="s">
        <v>33</v>
      </c>
      <c r="B74" s="0" t="s">
        <v>106</v>
      </c>
      <c r="C74" s="0" t="n">
        <v>30</v>
      </c>
      <c r="D74" s="0" t="n">
        <v>1</v>
      </c>
      <c r="E74" s="0" t="n">
        <v>45</v>
      </c>
      <c r="F74" s="0" t="n">
        <v>1</v>
      </c>
    </row>
    <row r="75" customFormat="false" ht="15" hidden="false" customHeight="false" outlineLevel="0" collapsed="false">
      <c r="A75" s="0" t="s">
        <v>33</v>
      </c>
      <c r="B75" s="0" t="s">
        <v>107</v>
      </c>
      <c r="C75" s="0" t="n">
        <v>30</v>
      </c>
      <c r="D75" s="0" t="n">
        <v>1</v>
      </c>
      <c r="E75" s="0" t="n">
        <v>45</v>
      </c>
      <c r="F75" s="0" t="n">
        <v>1</v>
      </c>
    </row>
    <row r="76" customFormat="false" ht="15" hidden="false" customHeight="false" outlineLevel="0" collapsed="false">
      <c r="A76" s="0" t="s">
        <v>33</v>
      </c>
      <c r="B76" s="0" t="s">
        <v>108</v>
      </c>
      <c r="C76" s="0" t="n">
        <v>60</v>
      </c>
      <c r="D76" s="0" t="n">
        <v>1</v>
      </c>
      <c r="E76" s="0" t="n">
        <v>15</v>
      </c>
      <c r="F76" s="0" t="n">
        <v>1</v>
      </c>
    </row>
    <row r="77" customFormat="false" ht="15" hidden="false" customHeight="false" outlineLevel="0" collapsed="false">
      <c r="A77" s="0" t="s">
        <v>33</v>
      </c>
      <c r="B77" s="0" t="s">
        <v>109</v>
      </c>
      <c r="C77" s="0" t="n">
        <v>150</v>
      </c>
      <c r="D77" s="0" t="n">
        <v>2</v>
      </c>
      <c r="E77" s="0" t="n">
        <v>0</v>
      </c>
      <c r="F77" s="0" t="n">
        <v>3</v>
      </c>
    </row>
    <row r="78" customFormat="false" ht="15" hidden="false" customHeight="false" outlineLevel="0" collapsed="false">
      <c r="A78" s="0" t="s">
        <v>33</v>
      </c>
      <c r="B78" s="0" t="s">
        <v>110</v>
      </c>
      <c r="C78" s="0" t="n">
        <v>90</v>
      </c>
      <c r="D78" s="0" t="n">
        <v>2</v>
      </c>
      <c r="E78" s="0" t="n">
        <v>60</v>
      </c>
      <c r="F78" s="0" t="n">
        <v>2</v>
      </c>
    </row>
    <row r="79" customFormat="false" ht="15" hidden="false" customHeight="false" outlineLevel="0" collapsed="false">
      <c r="A79" s="0" t="s">
        <v>33</v>
      </c>
      <c r="B79" s="0" t="s">
        <v>111</v>
      </c>
      <c r="C79" s="0" t="n">
        <v>96</v>
      </c>
      <c r="D79" s="0" t="n">
        <v>2</v>
      </c>
      <c r="E79" s="0" t="n">
        <v>54</v>
      </c>
      <c r="F79" s="0" t="n">
        <v>2</v>
      </c>
    </row>
    <row r="80" customFormat="false" ht="15" hidden="false" customHeight="false" outlineLevel="0" collapsed="false">
      <c r="A80" s="0" t="s">
        <v>33</v>
      </c>
      <c r="B80" s="0" t="s">
        <v>112</v>
      </c>
      <c r="C80" s="0" t="n">
        <v>54</v>
      </c>
      <c r="D80" s="0" t="n">
        <v>1</v>
      </c>
      <c r="E80" s="0" t="n">
        <v>21</v>
      </c>
      <c r="F80" s="0" t="n">
        <v>1</v>
      </c>
    </row>
    <row r="81" customFormat="false" ht="15" hidden="false" customHeight="false" outlineLevel="0" collapsed="false">
      <c r="A81" s="0" t="s">
        <v>33</v>
      </c>
      <c r="B81" s="0" t="s">
        <v>113</v>
      </c>
      <c r="C81" s="0" t="n">
        <v>102</v>
      </c>
      <c r="D81" s="0" t="n">
        <v>2</v>
      </c>
      <c r="E81" s="0" t="n">
        <v>48</v>
      </c>
      <c r="F81" s="0" t="n">
        <v>2</v>
      </c>
    </row>
    <row r="82" customFormat="false" ht="15" hidden="false" customHeight="false" outlineLevel="0" collapsed="false">
      <c r="A82" s="0" t="s">
        <v>33</v>
      </c>
      <c r="B82" s="0" t="s">
        <v>114</v>
      </c>
      <c r="C82" s="0" t="n">
        <v>84</v>
      </c>
      <c r="D82" s="0" t="n">
        <v>2</v>
      </c>
      <c r="E82" s="0" t="n">
        <v>66</v>
      </c>
      <c r="F82" s="0" t="n">
        <v>2</v>
      </c>
    </row>
    <row r="83" customFormat="false" ht="15" hidden="false" customHeight="false" outlineLevel="0" collapsed="false">
      <c r="A83" s="0" t="s">
        <v>33</v>
      </c>
      <c r="B83" s="0" t="s">
        <v>115</v>
      </c>
      <c r="C83" s="0" t="n">
        <v>30</v>
      </c>
      <c r="D83" s="0" t="n">
        <v>1</v>
      </c>
      <c r="E83" s="0" t="n">
        <v>45</v>
      </c>
      <c r="F83" s="0" t="n">
        <v>1</v>
      </c>
    </row>
    <row r="84" customFormat="false" ht="15" hidden="false" customHeight="false" outlineLevel="0" collapsed="false">
      <c r="A84" s="0" t="s">
        <v>33</v>
      </c>
      <c r="B84" s="0" t="s">
        <v>116</v>
      </c>
      <c r="C84" s="0" t="n">
        <v>108</v>
      </c>
      <c r="D84" s="0" t="n">
        <v>2</v>
      </c>
      <c r="E84" s="0" t="n">
        <v>42</v>
      </c>
      <c r="F84" s="0" t="n">
        <v>2</v>
      </c>
    </row>
    <row r="85" customFormat="false" ht="15" hidden="false" customHeight="false" outlineLevel="0" collapsed="false">
      <c r="A85" s="0" t="s">
        <v>33</v>
      </c>
      <c r="B85" s="0" t="s">
        <v>117</v>
      </c>
      <c r="C85" s="0" t="n">
        <v>72</v>
      </c>
      <c r="D85" s="0" t="n">
        <v>1</v>
      </c>
      <c r="E85" s="0" t="n">
        <v>3</v>
      </c>
      <c r="F85" s="0" t="n">
        <v>2</v>
      </c>
    </row>
    <row r="86" customFormat="false" ht="15" hidden="false" customHeight="false" outlineLevel="0" collapsed="false">
      <c r="A86" s="0" t="s">
        <v>33</v>
      </c>
      <c r="B86" s="0" t="s">
        <v>118</v>
      </c>
      <c r="C86" s="0" t="n">
        <v>48</v>
      </c>
      <c r="D86" s="0" t="n">
        <v>1</v>
      </c>
      <c r="E86" s="0" t="n">
        <v>27</v>
      </c>
      <c r="F86" s="0" t="n">
        <v>1</v>
      </c>
    </row>
    <row r="87" customFormat="false" ht="15" hidden="false" customHeight="false" outlineLevel="0" collapsed="false">
      <c r="A87" s="0" t="s">
        <v>33</v>
      </c>
      <c r="B87" s="0" t="s">
        <v>119</v>
      </c>
      <c r="C87" s="0" t="n">
        <v>30</v>
      </c>
      <c r="D87" s="0" t="n">
        <v>1</v>
      </c>
      <c r="E87" s="0" t="n">
        <v>45</v>
      </c>
      <c r="F87" s="0" t="n">
        <v>1</v>
      </c>
    </row>
    <row r="88" customFormat="false" ht="15" hidden="false" customHeight="false" outlineLevel="0" collapsed="false">
      <c r="A88" s="0" t="s">
        <v>33</v>
      </c>
      <c r="B88" s="0" t="s">
        <v>120</v>
      </c>
      <c r="C88" s="0" t="n">
        <v>84</v>
      </c>
      <c r="D88" s="0" t="n">
        <v>2</v>
      </c>
      <c r="E88" s="0" t="n">
        <v>66</v>
      </c>
      <c r="F88" s="0" t="n">
        <v>2</v>
      </c>
    </row>
    <row r="89" customFormat="false" ht="15" hidden="false" customHeight="false" outlineLevel="0" collapsed="false">
      <c r="A89" s="0" t="s">
        <v>33</v>
      </c>
      <c r="B89" s="0" t="s">
        <v>121</v>
      </c>
      <c r="C89" s="0" t="n">
        <v>96</v>
      </c>
      <c r="D89" s="0" t="n">
        <v>2</v>
      </c>
      <c r="E89" s="0" t="n">
        <v>54</v>
      </c>
      <c r="F89" s="0" t="n">
        <v>2</v>
      </c>
    </row>
    <row r="90" customFormat="false" ht="15" hidden="false" customHeight="false" outlineLevel="0" collapsed="false">
      <c r="A90" s="0" t="s">
        <v>33</v>
      </c>
      <c r="B90" s="0" t="s">
        <v>122</v>
      </c>
      <c r="C90" s="0" t="n">
        <v>120</v>
      </c>
      <c r="D90" s="0" t="n">
        <v>2</v>
      </c>
      <c r="E90" s="0" t="n">
        <v>30</v>
      </c>
      <c r="F90" s="0" t="n">
        <v>2</v>
      </c>
    </row>
    <row r="91" customFormat="false" ht="15" hidden="false" customHeight="false" outlineLevel="0" collapsed="false">
      <c r="A91" s="0" t="s">
        <v>33</v>
      </c>
      <c r="B91" s="0" t="s">
        <v>123</v>
      </c>
      <c r="C91" s="0" t="n">
        <v>24</v>
      </c>
      <c r="D91" s="0" t="n">
        <v>1</v>
      </c>
      <c r="E91" s="0" t="n">
        <v>51</v>
      </c>
      <c r="F91" s="0" t="n">
        <v>1</v>
      </c>
    </row>
    <row r="92" customFormat="false" ht="15" hidden="false" customHeight="false" outlineLevel="0" collapsed="false">
      <c r="A92" s="0" t="s">
        <v>33</v>
      </c>
      <c r="B92" s="0" t="s">
        <v>124</v>
      </c>
      <c r="C92" s="0" t="n">
        <v>126</v>
      </c>
      <c r="D92" s="0" t="n">
        <v>2</v>
      </c>
      <c r="E92" s="0" t="n">
        <v>24</v>
      </c>
      <c r="F92" s="0" t="n">
        <v>3</v>
      </c>
    </row>
    <row r="93" customFormat="false" ht="15" hidden="false" customHeight="false" outlineLevel="0" collapsed="false">
      <c r="A93" s="0" t="s">
        <v>33</v>
      </c>
      <c r="B93" s="0" t="s">
        <v>125</v>
      </c>
      <c r="C93" s="0" t="n">
        <v>60</v>
      </c>
      <c r="D93" s="0" t="n">
        <v>1</v>
      </c>
      <c r="E93" s="0" t="n">
        <v>15</v>
      </c>
      <c r="F93" s="0" t="n">
        <v>1</v>
      </c>
    </row>
    <row r="94" customFormat="false" ht="15" hidden="false" customHeight="false" outlineLevel="0" collapsed="false">
      <c r="A94" s="0" t="s">
        <v>33</v>
      </c>
      <c r="B94" s="0" t="s">
        <v>126</v>
      </c>
      <c r="C94" s="0" t="n">
        <v>60</v>
      </c>
      <c r="D94" s="0" t="n">
        <v>1</v>
      </c>
      <c r="E94" s="0" t="n">
        <v>15</v>
      </c>
      <c r="F94" s="0" t="n">
        <v>1</v>
      </c>
    </row>
    <row r="95" customFormat="false" ht="15" hidden="false" customHeight="false" outlineLevel="0" collapsed="false">
      <c r="A95" s="0" t="s">
        <v>33</v>
      </c>
      <c r="B95" s="0" t="s">
        <v>127</v>
      </c>
      <c r="C95" s="0" t="n">
        <v>24</v>
      </c>
      <c r="D95" s="0" t="n">
        <v>1</v>
      </c>
      <c r="E95" s="0" t="n">
        <v>51</v>
      </c>
      <c r="F95" s="0" t="n">
        <v>1</v>
      </c>
    </row>
    <row r="96" customFormat="false" ht="15" hidden="false" customHeight="false" outlineLevel="0" collapsed="false">
      <c r="A96" s="0" t="s">
        <v>33</v>
      </c>
      <c r="B96" s="0" t="s">
        <v>128</v>
      </c>
      <c r="C96" s="0" t="n">
        <v>114</v>
      </c>
      <c r="D96" s="0" t="n">
        <v>2</v>
      </c>
      <c r="E96" s="0" t="n">
        <v>36</v>
      </c>
      <c r="F96" s="0" t="n">
        <v>2</v>
      </c>
    </row>
    <row r="97" customFormat="false" ht="15" hidden="false" customHeight="false" outlineLevel="0" collapsed="false">
      <c r="A97" s="0" t="s">
        <v>33</v>
      </c>
      <c r="B97" s="0" t="s">
        <v>129</v>
      </c>
      <c r="C97" s="0" t="n">
        <v>66</v>
      </c>
      <c r="D97" s="0" t="n">
        <v>1</v>
      </c>
      <c r="E97" s="0" t="n">
        <v>9</v>
      </c>
      <c r="F97" s="0" t="n">
        <v>2</v>
      </c>
    </row>
    <row r="98" customFormat="false" ht="15" hidden="false" customHeight="false" outlineLevel="0" collapsed="false">
      <c r="A98" s="0" t="s">
        <v>33</v>
      </c>
      <c r="B98" s="0" t="s">
        <v>130</v>
      </c>
      <c r="C98" s="0" t="n">
        <v>72</v>
      </c>
      <c r="D98" s="0" t="n">
        <v>1</v>
      </c>
      <c r="E98" s="0" t="n">
        <v>3</v>
      </c>
      <c r="F98" s="0" t="n">
        <v>2</v>
      </c>
    </row>
    <row r="99" customFormat="false" ht="15" hidden="false" customHeight="false" outlineLevel="0" collapsed="false">
      <c r="A99" s="0" t="s">
        <v>33</v>
      </c>
      <c r="B99" s="0" t="s">
        <v>131</v>
      </c>
      <c r="C99" s="0" t="n">
        <v>30</v>
      </c>
      <c r="D99" s="0" t="n">
        <v>1</v>
      </c>
      <c r="E99" s="0" t="n">
        <v>45</v>
      </c>
      <c r="F99" s="0" t="n">
        <v>1</v>
      </c>
    </row>
    <row r="100" customFormat="false" ht="15" hidden="false" customHeight="false" outlineLevel="0" collapsed="false">
      <c r="A100" s="0" t="s">
        <v>33</v>
      </c>
      <c r="B100" s="0" t="s">
        <v>132</v>
      </c>
      <c r="C100" s="0" t="n">
        <v>144</v>
      </c>
      <c r="D100" s="0" t="n">
        <v>2</v>
      </c>
      <c r="E100" s="0" t="n">
        <v>6</v>
      </c>
      <c r="F100" s="0" t="n">
        <v>3</v>
      </c>
    </row>
    <row r="101" customFormat="false" ht="15" hidden="false" customHeight="false" outlineLevel="0" collapsed="false">
      <c r="A101" s="0" t="s">
        <v>33</v>
      </c>
      <c r="B101" s="0" t="s">
        <v>133</v>
      </c>
      <c r="C101" s="0" t="n">
        <v>72</v>
      </c>
      <c r="D101" s="0" t="n">
        <v>1</v>
      </c>
      <c r="E101" s="0" t="n">
        <v>3</v>
      </c>
      <c r="F101" s="0" t="n">
        <v>2</v>
      </c>
    </row>
    <row r="102" customFormat="false" ht="15" hidden="false" customHeight="false" outlineLevel="0" collapsed="false">
      <c r="A102" s="0" t="s">
        <v>33</v>
      </c>
      <c r="B102" s="0" t="s">
        <v>134</v>
      </c>
      <c r="C102" s="0" t="n">
        <v>108</v>
      </c>
      <c r="D102" s="0" t="n">
        <v>2</v>
      </c>
      <c r="E102" s="0" t="n">
        <v>42</v>
      </c>
      <c r="F102" s="0" t="n">
        <v>2</v>
      </c>
    </row>
    <row r="103" customFormat="false" ht="15" hidden="false" customHeight="false" outlineLevel="0" collapsed="false">
      <c r="A103" s="0" t="s">
        <v>33</v>
      </c>
      <c r="B103" s="0" t="s">
        <v>135</v>
      </c>
      <c r="C103" s="0" t="n">
        <v>12</v>
      </c>
      <c r="D103" s="0" t="n">
        <v>1</v>
      </c>
      <c r="E103" s="0" t="n">
        <v>63</v>
      </c>
      <c r="F103" s="0" t="n">
        <v>1</v>
      </c>
    </row>
    <row r="104" customFormat="false" ht="15" hidden="false" customHeight="false" outlineLevel="0" collapsed="false">
      <c r="A104" s="0" t="s">
        <v>33</v>
      </c>
      <c r="B104" s="0" t="s">
        <v>136</v>
      </c>
      <c r="C104" s="0" t="n">
        <v>72</v>
      </c>
      <c r="D104" s="0" t="n">
        <v>1</v>
      </c>
      <c r="E104" s="0" t="n">
        <v>3</v>
      </c>
      <c r="F104" s="0" t="n">
        <v>2</v>
      </c>
    </row>
    <row r="105" customFormat="false" ht="15" hidden="false" customHeight="false" outlineLevel="0" collapsed="false">
      <c r="A105" s="0" t="s">
        <v>33</v>
      </c>
      <c r="B105" s="0" t="s">
        <v>137</v>
      </c>
      <c r="C105" s="0" t="n">
        <v>48</v>
      </c>
      <c r="D105" s="0" t="n">
        <v>1</v>
      </c>
      <c r="E105" s="0" t="n">
        <v>27</v>
      </c>
      <c r="F105" s="0" t="n">
        <v>1</v>
      </c>
    </row>
    <row r="106" customFormat="false" ht="15" hidden="false" customHeight="false" outlineLevel="0" collapsed="false">
      <c r="A106" s="0" t="s">
        <v>33</v>
      </c>
      <c r="B106" s="0" t="s">
        <v>138</v>
      </c>
      <c r="C106" s="0" t="n">
        <v>96</v>
      </c>
      <c r="D106" s="0" t="n">
        <v>2</v>
      </c>
      <c r="E106" s="0" t="n">
        <v>54</v>
      </c>
      <c r="F106" s="0" t="n">
        <v>2</v>
      </c>
    </row>
    <row r="107" customFormat="false" ht="15" hidden="false" customHeight="false" outlineLevel="0" collapsed="false">
      <c r="A107" s="0" t="s">
        <v>33</v>
      </c>
      <c r="B107" s="0" t="s">
        <v>139</v>
      </c>
      <c r="C107" s="0" t="n">
        <v>54</v>
      </c>
      <c r="D107" s="0" t="n">
        <v>1</v>
      </c>
      <c r="E107" s="0" t="n">
        <v>21</v>
      </c>
      <c r="F107" s="0" t="n">
        <v>1</v>
      </c>
    </row>
    <row r="108" customFormat="false" ht="15" hidden="false" customHeight="false" outlineLevel="0" collapsed="false">
      <c r="A108" s="0" t="s">
        <v>33</v>
      </c>
      <c r="B108" s="0" t="s">
        <v>140</v>
      </c>
      <c r="C108" s="0" t="n">
        <v>66</v>
      </c>
      <c r="D108" s="0" t="n">
        <v>1</v>
      </c>
      <c r="E108" s="0" t="n">
        <v>9</v>
      </c>
      <c r="F108" s="0" t="n">
        <v>2</v>
      </c>
    </row>
    <row r="109" customFormat="false" ht="15" hidden="false" customHeight="false" outlineLevel="0" collapsed="false">
      <c r="A109" s="0" t="s">
        <v>33</v>
      </c>
      <c r="B109" s="0" t="s">
        <v>141</v>
      </c>
      <c r="C109" s="0" t="n">
        <v>90</v>
      </c>
      <c r="D109" s="0" t="n">
        <v>2</v>
      </c>
      <c r="E109" s="0" t="n">
        <v>60</v>
      </c>
      <c r="F109" s="0" t="n">
        <v>2</v>
      </c>
    </row>
    <row r="110" customFormat="false" ht="15" hidden="false" customHeight="false" outlineLevel="0" collapsed="false">
      <c r="A110" s="0" t="s">
        <v>33</v>
      </c>
      <c r="B110" s="0" t="s">
        <v>142</v>
      </c>
      <c r="C110" s="0" t="n">
        <v>66</v>
      </c>
      <c r="D110" s="0" t="n">
        <v>1</v>
      </c>
      <c r="E110" s="0" t="n">
        <v>9</v>
      </c>
      <c r="F110" s="0" t="n">
        <v>2</v>
      </c>
    </row>
    <row r="111" customFormat="false" ht="15" hidden="false" customHeight="false" outlineLevel="0" collapsed="false">
      <c r="A111" s="0" t="s">
        <v>33</v>
      </c>
      <c r="B111" s="0" t="s">
        <v>143</v>
      </c>
      <c r="C111" s="0" t="n">
        <v>66</v>
      </c>
      <c r="D111" s="0" t="n">
        <v>1</v>
      </c>
      <c r="E111" s="0" t="n">
        <v>9</v>
      </c>
      <c r="F111" s="0" t="n">
        <v>2</v>
      </c>
    </row>
    <row r="112" customFormat="false" ht="15" hidden="false" customHeight="false" outlineLevel="0" collapsed="false">
      <c r="A112" s="0" t="s">
        <v>33</v>
      </c>
      <c r="B112" s="0" t="s">
        <v>144</v>
      </c>
      <c r="C112" s="0" t="n">
        <v>96</v>
      </c>
      <c r="D112" s="0" t="n">
        <v>2</v>
      </c>
      <c r="E112" s="0" t="n">
        <v>54</v>
      </c>
      <c r="F112" s="0" t="n">
        <v>2</v>
      </c>
    </row>
    <row r="113" customFormat="false" ht="15" hidden="false" customHeight="false" outlineLevel="0" collapsed="false">
      <c r="A113" s="0" t="s">
        <v>33</v>
      </c>
      <c r="B113" s="0" t="s">
        <v>145</v>
      </c>
      <c r="C113" s="0" t="n">
        <v>66</v>
      </c>
      <c r="D113" s="0" t="n">
        <v>1</v>
      </c>
      <c r="E113" s="0" t="n">
        <v>9</v>
      </c>
      <c r="F113" s="0" t="n">
        <v>2</v>
      </c>
    </row>
    <row r="114" customFormat="false" ht="15" hidden="false" customHeight="false" outlineLevel="0" collapsed="false">
      <c r="A114" s="0" t="s">
        <v>33</v>
      </c>
      <c r="B114" s="0" t="s">
        <v>146</v>
      </c>
      <c r="C114" s="0" t="n">
        <v>60</v>
      </c>
      <c r="D114" s="0" t="n">
        <v>1</v>
      </c>
      <c r="E114" s="0" t="n">
        <v>15</v>
      </c>
      <c r="F114" s="0" t="n">
        <v>1</v>
      </c>
    </row>
    <row r="115" customFormat="false" ht="15" hidden="false" customHeight="false" outlineLevel="0" collapsed="false">
      <c r="A115" s="0" t="s">
        <v>33</v>
      </c>
      <c r="B115" s="0" t="s">
        <v>147</v>
      </c>
      <c r="C115" s="0" t="n">
        <v>66</v>
      </c>
      <c r="D115" s="0" t="n">
        <v>1</v>
      </c>
      <c r="E115" s="0" t="n">
        <v>9</v>
      </c>
      <c r="F115" s="0" t="n">
        <v>2</v>
      </c>
    </row>
    <row r="116" customFormat="false" ht="15" hidden="false" customHeight="false" outlineLevel="0" collapsed="false">
      <c r="A116" s="0" t="s">
        <v>33</v>
      </c>
      <c r="B116" s="0" t="s">
        <v>148</v>
      </c>
      <c r="C116" s="0" t="n">
        <v>30</v>
      </c>
      <c r="D116" s="0" t="n">
        <v>1</v>
      </c>
      <c r="E116" s="0" t="n">
        <v>45</v>
      </c>
      <c r="F116" s="0" t="n">
        <v>1</v>
      </c>
    </row>
    <row r="117" customFormat="false" ht="15" hidden="false" customHeight="false" outlineLevel="0" collapsed="false">
      <c r="A117" s="0" t="s">
        <v>33</v>
      </c>
      <c r="B117" s="0" t="s">
        <v>149</v>
      </c>
      <c r="C117" s="0" t="n">
        <v>42</v>
      </c>
      <c r="D117" s="0" t="n">
        <v>1</v>
      </c>
      <c r="E117" s="0" t="n">
        <v>33</v>
      </c>
      <c r="F117" s="0" t="n">
        <v>1</v>
      </c>
    </row>
    <row r="118" customFormat="false" ht="15" hidden="false" customHeight="false" outlineLevel="0" collapsed="false">
      <c r="A118" s="0" t="s">
        <v>33</v>
      </c>
      <c r="B118" s="0" t="s">
        <v>150</v>
      </c>
      <c r="C118" s="0" t="n">
        <v>108</v>
      </c>
      <c r="D118" s="0" t="n">
        <v>2</v>
      </c>
      <c r="E118" s="0" t="n">
        <v>42</v>
      </c>
      <c r="F118" s="0" t="n">
        <v>2</v>
      </c>
    </row>
    <row r="119" customFormat="false" ht="15" hidden="false" customHeight="false" outlineLevel="0" collapsed="false">
      <c r="A119" s="0" t="s">
        <v>33</v>
      </c>
      <c r="B119" s="0" t="s">
        <v>151</v>
      </c>
      <c r="C119" s="0" t="n">
        <v>18</v>
      </c>
      <c r="D119" s="0" t="n">
        <v>1</v>
      </c>
      <c r="E119" s="0" t="n">
        <v>57</v>
      </c>
      <c r="F119" s="0" t="n">
        <v>1</v>
      </c>
    </row>
    <row r="120" customFormat="false" ht="15" hidden="false" customHeight="false" outlineLevel="0" collapsed="false">
      <c r="A120" s="0" t="s">
        <v>33</v>
      </c>
      <c r="B120" s="0" t="s">
        <v>152</v>
      </c>
      <c r="C120" s="0" t="n">
        <v>21</v>
      </c>
      <c r="D120" s="0" t="n">
        <v>1</v>
      </c>
      <c r="E120" s="0" t="n">
        <v>54</v>
      </c>
      <c r="F120" s="0" t="n">
        <v>1</v>
      </c>
    </row>
    <row r="121" customFormat="false" ht="15" hidden="false" customHeight="false" outlineLevel="0" collapsed="false">
      <c r="A121" s="0" t="s">
        <v>33</v>
      </c>
      <c r="B121" s="0" t="s">
        <v>153</v>
      </c>
      <c r="C121" s="0" t="n">
        <v>24</v>
      </c>
      <c r="D121" s="0" t="n">
        <v>1</v>
      </c>
      <c r="E121" s="0" t="n">
        <v>51</v>
      </c>
      <c r="F121" s="0" t="n">
        <v>1</v>
      </c>
    </row>
    <row r="122" customFormat="false" ht="15" hidden="false" customHeight="false" outlineLevel="0" collapsed="false">
      <c r="A122" s="0" t="s">
        <v>33</v>
      </c>
      <c r="B122" s="0" t="s">
        <v>154</v>
      </c>
      <c r="C122" s="0" t="n">
        <v>30</v>
      </c>
      <c r="D122" s="0" t="n">
        <v>1</v>
      </c>
      <c r="E122" s="0" t="n">
        <v>45</v>
      </c>
      <c r="F122" s="0" t="n">
        <v>1</v>
      </c>
    </row>
    <row r="123" customFormat="false" ht="15" hidden="false" customHeight="false" outlineLevel="0" collapsed="false">
      <c r="A123" s="0" t="s">
        <v>33</v>
      </c>
      <c r="B123" s="0" t="s">
        <v>155</v>
      </c>
      <c r="C123" s="0" t="n">
        <v>18</v>
      </c>
      <c r="D123" s="0" t="n">
        <v>1</v>
      </c>
      <c r="E123" s="0" t="n">
        <v>57</v>
      </c>
      <c r="F123" s="0" t="n">
        <v>1</v>
      </c>
    </row>
    <row r="124" customFormat="false" ht="15" hidden="false" customHeight="false" outlineLevel="0" collapsed="false">
      <c r="A124" s="0" t="s">
        <v>33</v>
      </c>
      <c r="B124" s="0" t="s">
        <v>156</v>
      </c>
      <c r="C124" s="0" t="n">
        <v>18</v>
      </c>
      <c r="D124" s="0" t="n">
        <v>1</v>
      </c>
      <c r="E124" s="0" t="n">
        <v>57</v>
      </c>
      <c r="F124" s="0" t="n">
        <v>1</v>
      </c>
    </row>
    <row r="125" customFormat="false" ht="15" hidden="false" customHeight="false" outlineLevel="0" collapsed="false">
      <c r="A125" s="0" t="s">
        <v>33</v>
      </c>
      <c r="B125" s="0" t="s">
        <v>157</v>
      </c>
      <c r="C125" s="0" t="n">
        <v>114</v>
      </c>
      <c r="D125" s="0" t="n">
        <v>2</v>
      </c>
      <c r="E125" s="0" t="n">
        <v>36</v>
      </c>
      <c r="F125" s="0" t="n">
        <v>2</v>
      </c>
    </row>
    <row r="126" customFormat="false" ht="15" hidden="false" customHeight="false" outlineLevel="0" collapsed="false">
      <c r="A126" s="0" t="s">
        <v>33</v>
      </c>
      <c r="B126" s="0" t="s">
        <v>158</v>
      </c>
      <c r="C126" s="0" t="n">
        <v>90</v>
      </c>
      <c r="D126" s="0" t="n">
        <v>2</v>
      </c>
      <c r="E126" s="0" t="n">
        <v>60</v>
      </c>
      <c r="F126" s="0" t="n">
        <v>2</v>
      </c>
    </row>
    <row r="127" customFormat="false" ht="15" hidden="false" customHeight="false" outlineLevel="0" collapsed="false">
      <c r="A127" s="0" t="s">
        <v>33</v>
      </c>
      <c r="B127" s="0" t="s">
        <v>159</v>
      </c>
      <c r="C127" s="0" t="n">
        <v>114</v>
      </c>
      <c r="D127" s="0" t="n">
        <v>2</v>
      </c>
      <c r="E127" s="0" t="n">
        <v>36</v>
      </c>
      <c r="F127" s="0" t="n">
        <v>2</v>
      </c>
    </row>
    <row r="128" customFormat="false" ht="15" hidden="false" customHeight="false" outlineLevel="0" collapsed="false">
      <c r="A128" s="0" t="s">
        <v>33</v>
      </c>
      <c r="B128" s="0" t="s">
        <v>160</v>
      </c>
      <c r="C128" s="0" t="n">
        <v>78</v>
      </c>
      <c r="D128" s="0" t="n">
        <v>2</v>
      </c>
      <c r="E128" s="0" t="n">
        <v>72</v>
      </c>
      <c r="F128" s="0" t="n">
        <v>2</v>
      </c>
    </row>
    <row r="129" customFormat="false" ht="15" hidden="false" customHeight="false" outlineLevel="0" collapsed="false">
      <c r="A129" s="0" t="s">
        <v>33</v>
      </c>
      <c r="B129" s="0" t="s">
        <v>161</v>
      </c>
      <c r="C129" s="0" t="n">
        <v>96</v>
      </c>
      <c r="D129" s="0" t="n">
        <v>2</v>
      </c>
      <c r="E129" s="0" t="n">
        <v>54</v>
      </c>
      <c r="F129" s="0" t="n">
        <v>2</v>
      </c>
    </row>
    <row r="130" customFormat="false" ht="15" hidden="false" customHeight="false" outlineLevel="0" collapsed="false">
      <c r="A130" s="0" t="s">
        <v>33</v>
      </c>
      <c r="B130" s="0" t="s">
        <v>162</v>
      </c>
      <c r="C130" s="0" t="n">
        <v>36</v>
      </c>
      <c r="D130" s="0" t="n">
        <v>1</v>
      </c>
      <c r="E130" s="0" t="n">
        <v>39</v>
      </c>
      <c r="F130" s="0" t="n">
        <v>1</v>
      </c>
    </row>
    <row r="131" customFormat="false" ht="15" hidden="false" customHeight="false" outlineLevel="0" collapsed="false">
      <c r="A131" s="0" t="s">
        <v>33</v>
      </c>
      <c r="B131" s="0" t="s">
        <v>163</v>
      </c>
      <c r="C131" s="0" t="n">
        <v>84</v>
      </c>
      <c r="D131" s="0" t="n">
        <v>2</v>
      </c>
      <c r="E131" s="0" t="n">
        <v>66</v>
      </c>
      <c r="F131" s="0" t="n">
        <v>2</v>
      </c>
    </row>
    <row r="132" customFormat="false" ht="15" hidden="false" customHeight="false" outlineLevel="0" collapsed="false">
      <c r="A132" s="0" t="s">
        <v>33</v>
      </c>
      <c r="B132" s="0" t="s">
        <v>164</v>
      </c>
      <c r="C132" s="0" t="n">
        <v>192</v>
      </c>
      <c r="D132" s="0" t="n">
        <v>3</v>
      </c>
      <c r="E132" s="0" t="n">
        <v>33</v>
      </c>
      <c r="F132" s="0" t="n">
        <v>4</v>
      </c>
    </row>
    <row r="133" customFormat="false" ht="15" hidden="false" customHeight="false" outlineLevel="0" collapsed="false">
      <c r="A133" s="0" t="s">
        <v>33</v>
      </c>
      <c r="B133" s="0" t="s">
        <v>165</v>
      </c>
      <c r="C133" s="0" t="n">
        <v>36</v>
      </c>
      <c r="D133" s="0" t="n">
        <v>1</v>
      </c>
      <c r="E133" s="0" t="n">
        <v>39</v>
      </c>
      <c r="F133" s="0" t="n">
        <v>1</v>
      </c>
    </row>
    <row r="134" customFormat="false" ht="15" hidden="false" customHeight="false" outlineLevel="0" collapsed="false">
      <c r="A134" s="0" t="s">
        <v>33</v>
      </c>
      <c r="B134" s="0" t="s">
        <v>166</v>
      </c>
      <c r="C134" s="0" t="n">
        <v>21</v>
      </c>
      <c r="D134" s="0" t="n">
        <v>1</v>
      </c>
      <c r="E134" s="0" t="n">
        <v>54</v>
      </c>
      <c r="F134" s="0" t="n">
        <v>1</v>
      </c>
    </row>
    <row r="135" customFormat="false" ht="15" hidden="false" customHeight="false" outlineLevel="0" collapsed="false">
      <c r="A135" s="0" t="s">
        <v>33</v>
      </c>
      <c r="B135" s="0" t="s">
        <v>167</v>
      </c>
      <c r="C135" s="0" t="n">
        <v>36</v>
      </c>
      <c r="D135" s="0" t="n">
        <v>1</v>
      </c>
      <c r="E135" s="0" t="n">
        <v>39</v>
      </c>
      <c r="F135" s="0" t="n">
        <v>1</v>
      </c>
    </row>
    <row r="136" customFormat="false" ht="15" hidden="false" customHeight="false" outlineLevel="0" collapsed="false">
      <c r="A136" s="0" t="s">
        <v>33</v>
      </c>
      <c r="B136" s="0" t="s">
        <v>168</v>
      </c>
      <c r="C136" s="0" t="n">
        <v>36</v>
      </c>
      <c r="D136" s="0" t="n">
        <v>1</v>
      </c>
      <c r="E136" s="0" t="n">
        <v>39</v>
      </c>
      <c r="F136" s="0" t="n">
        <v>1</v>
      </c>
    </row>
    <row r="137" customFormat="false" ht="15" hidden="false" customHeight="false" outlineLevel="0" collapsed="false">
      <c r="A137" s="0" t="s">
        <v>33</v>
      </c>
      <c r="B137" s="0" t="s">
        <v>169</v>
      </c>
      <c r="C137" s="0" t="n">
        <v>54</v>
      </c>
      <c r="D137" s="0" t="n">
        <v>1</v>
      </c>
      <c r="E137" s="0" t="n">
        <v>21</v>
      </c>
      <c r="F137" s="0" t="n">
        <v>1</v>
      </c>
    </row>
    <row r="138" customFormat="false" ht="15" hidden="false" customHeight="false" outlineLevel="0" collapsed="false">
      <c r="A138" s="0" t="s">
        <v>33</v>
      </c>
      <c r="B138" s="0" t="s">
        <v>170</v>
      </c>
      <c r="C138" s="0" t="n">
        <v>60</v>
      </c>
      <c r="D138" s="0" t="n">
        <v>1</v>
      </c>
      <c r="E138" s="0" t="n">
        <v>15</v>
      </c>
      <c r="F138" s="0" t="n">
        <v>1</v>
      </c>
    </row>
    <row r="139" customFormat="false" ht="15" hidden="false" customHeight="false" outlineLevel="0" collapsed="false">
      <c r="A139" s="0" t="s">
        <v>33</v>
      </c>
      <c r="B139" s="0" t="s">
        <v>171</v>
      </c>
      <c r="C139" s="0" t="n">
        <v>30</v>
      </c>
      <c r="D139" s="0" t="n">
        <v>1</v>
      </c>
      <c r="E139" s="0" t="n">
        <v>45</v>
      </c>
      <c r="F139" s="0" t="n">
        <v>1</v>
      </c>
    </row>
    <row r="140" customFormat="false" ht="15" hidden="false" customHeight="false" outlineLevel="0" collapsed="false">
      <c r="A140" s="0" t="s">
        <v>33</v>
      </c>
      <c r="B140" s="0" t="s">
        <v>172</v>
      </c>
      <c r="C140" s="0" t="n">
        <v>24</v>
      </c>
      <c r="D140" s="0" t="n">
        <v>1</v>
      </c>
      <c r="E140" s="0" t="n">
        <v>51</v>
      </c>
      <c r="F140" s="0" t="n">
        <v>1</v>
      </c>
    </row>
    <row r="141" customFormat="false" ht="15" hidden="false" customHeight="false" outlineLevel="0" collapsed="false">
      <c r="A141" s="0" t="s">
        <v>33</v>
      </c>
      <c r="B141" s="0" t="s">
        <v>173</v>
      </c>
      <c r="C141" s="0" t="n">
        <v>24</v>
      </c>
      <c r="D141" s="0" t="n">
        <v>1</v>
      </c>
      <c r="E141" s="0" t="n">
        <v>51</v>
      </c>
      <c r="F141" s="0" t="n">
        <v>1</v>
      </c>
    </row>
    <row r="142" customFormat="false" ht="15" hidden="false" customHeight="false" outlineLevel="0" collapsed="false">
      <c r="A142" s="0" t="s">
        <v>33</v>
      </c>
      <c r="B142" s="0" t="s">
        <v>174</v>
      </c>
      <c r="C142" s="0" t="n">
        <v>72</v>
      </c>
      <c r="D142" s="0" t="n">
        <v>1</v>
      </c>
      <c r="E142" s="0" t="n">
        <v>3</v>
      </c>
      <c r="F142" s="0" t="n">
        <v>2</v>
      </c>
    </row>
    <row r="143" customFormat="false" ht="15" hidden="false" customHeight="false" outlineLevel="0" collapsed="false">
      <c r="A143" s="0" t="s">
        <v>33</v>
      </c>
      <c r="B143" s="0" t="s">
        <v>175</v>
      </c>
      <c r="C143" s="0" t="n">
        <v>36</v>
      </c>
      <c r="D143" s="0" t="n">
        <v>1</v>
      </c>
      <c r="E143" s="0" t="n">
        <v>39</v>
      </c>
      <c r="F143" s="0" t="n">
        <v>1</v>
      </c>
    </row>
    <row r="144" customFormat="false" ht="15" hidden="false" customHeight="false" outlineLevel="0" collapsed="false">
      <c r="A144" s="0" t="s">
        <v>33</v>
      </c>
      <c r="B144" s="0" t="s">
        <v>176</v>
      </c>
      <c r="C144" s="0" t="n">
        <v>6</v>
      </c>
      <c r="D144" s="0" t="n">
        <v>1</v>
      </c>
      <c r="E144" s="0" t="n">
        <v>69</v>
      </c>
      <c r="F144" s="0" t="n">
        <v>1</v>
      </c>
    </row>
    <row r="145" customFormat="false" ht="15" hidden="false" customHeight="false" outlineLevel="0" collapsed="false">
      <c r="A145" s="0" t="s">
        <v>33</v>
      </c>
      <c r="B145" s="0" t="s">
        <v>177</v>
      </c>
      <c r="C145" s="0" t="n">
        <v>12</v>
      </c>
      <c r="D145" s="0" t="n">
        <v>1</v>
      </c>
      <c r="E145" s="0" t="n">
        <v>63</v>
      </c>
      <c r="F145" s="0" t="n">
        <v>1</v>
      </c>
    </row>
    <row r="146" customFormat="false" ht="15" hidden="false" customHeight="false" outlineLevel="0" collapsed="false">
      <c r="A146" s="0" t="s">
        <v>33</v>
      </c>
      <c r="B146" s="0" t="s">
        <v>178</v>
      </c>
      <c r="C146" s="0" t="n">
        <v>12</v>
      </c>
      <c r="D146" s="0" t="n">
        <v>1</v>
      </c>
      <c r="E146" s="0" t="n">
        <v>63</v>
      </c>
      <c r="F146" s="0" t="n">
        <v>1</v>
      </c>
    </row>
    <row r="147" customFormat="false" ht="15" hidden="false" customHeight="false" outlineLevel="0" collapsed="false">
      <c r="A147" s="0" t="s">
        <v>33</v>
      </c>
      <c r="B147" s="0" t="s">
        <v>179</v>
      </c>
      <c r="C147" s="0" t="n">
        <v>96</v>
      </c>
      <c r="D147" s="0" t="n">
        <v>2</v>
      </c>
      <c r="E147" s="0" t="n">
        <v>54</v>
      </c>
      <c r="F147" s="0" t="n">
        <v>2</v>
      </c>
    </row>
    <row r="148" customFormat="false" ht="15" hidden="false" customHeight="false" outlineLevel="0" collapsed="false">
      <c r="A148" s="0" t="s">
        <v>33</v>
      </c>
      <c r="B148" s="0" t="s">
        <v>180</v>
      </c>
      <c r="C148" s="0" t="n">
        <v>72</v>
      </c>
      <c r="D148" s="0" t="n">
        <v>1</v>
      </c>
      <c r="E148" s="0" t="n">
        <v>3</v>
      </c>
      <c r="F148" s="0" t="n">
        <v>2</v>
      </c>
    </row>
    <row r="149" customFormat="false" ht="15" hidden="false" customHeight="false" outlineLevel="0" collapsed="false">
      <c r="A149" s="0" t="s">
        <v>33</v>
      </c>
      <c r="B149" s="0" t="s">
        <v>181</v>
      </c>
      <c r="C149" s="0" t="n">
        <v>84</v>
      </c>
      <c r="D149" s="0" t="n">
        <v>2</v>
      </c>
      <c r="E149" s="0" t="n">
        <v>66</v>
      </c>
      <c r="F149" s="0" t="n">
        <v>2</v>
      </c>
    </row>
    <row r="150" customFormat="false" ht="15" hidden="false" customHeight="false" outlineLevel="0" collapsed="false">
      <c r="A150" s="0" t="s">
        <v>33</v>
      </c>
      <c r="B150" s="0" t="s">
        <v>182</v>
      </c>
      <c r="C150" s="0" t="n">
        <v>54</v>
      </c>
      <c r="D150" s="0" t="n">
        <v>1</v>
      </c>
      <c r="E150" s="0" t="n">
        <v>21</v>
      </c>
      <c r="F150" s="0" t="n">
        <v>1</v>
      </c>
    </row>
    <row r="151" customFormat="false" ht="15" hidden="false" customHeight="false" outlineLevel="0" collapsed="false">
      <c r="A151" s="0" t="s">
        <v>33</v>
      </c>
      <c r="B151" s="0" t="s">
        <v>183</v>
      </c>
      <c r="C151" s="0" t="n">
        <v>72</v>
      </c>
      <c r="D151" s="0" t="n">
        <v>1</v>
      </c>
      <c r="E151" s="0" t="n">
        <v>3</v>
      </c>
      <c r="F151" s="0" t="n">
        <v>2</v>
      </c>
    </row>
    <row r="152" customFormat="false" ht="15" hidden="false" customHeight="false" outlineLevel="0" collapsed="false">
      <c r="A152" s="0" t="s">
        <v>33</v>
      </c>
      <c r="B152" s="0" t="s">
        <v>184</v>
      </c>
      <c r="C152" s="0" t="n">
        <v>54</v>
      </c>
      <c r="D152" s="0" t="n">
        <v>1</v>
      </c>
      <c r="E152" s="0" t="n">
        <v>21</v>
      </c>
      <c r="F152" s="0" t="n">
        <v>1</v>
      </c>
    </row>
    <row r="153" customFormat="false" ht="15" hidden="false" customHeight="false" outlineLevel="0" collapsed="false">
      <c r="A153" s="0" t="s">
        <v>33</v>
      </c>
      <c r="B153" s="0" t="s">
        <v>185</v>
      </c>
      <c r="C153" s="0" t="n">
        <v>78</v>
      </c>
      <c r="D153" s="0" t="n">
        <v>2</v>
      </c>
      <c r="E153" s="0" t="n">
        <v>72</v>
      </c>
      <c r="F153" s="0" t="n">
        <v>2</v>
      </c>
    </row>
    <row r="154" customFormat="false" ht="15" hidden="false" customHeight="false" outlineLevel="0" collapsed="false">
      <c r="A154" s="0" t="s">
        <v>33</v>
      </c>
      <c r="B154" s="0" t="s">
        <v>186</v>
      </c>
      <c r="C154" s="0" t="n">
        <v>60</v>
      </c>
      <c r="D154" s="0" t="n">
        <v>1</v>
      </c>
      <c r="E154" s="0" t="n">
        <v>15</v>
      </c>
      <c r="F154" s="0" t="n">
        <v>1</v>
      </c>
    </row>
    <row r="155" customFormat="false" ht="15" hidden="false" customHeight="false" outlineLevel="0" collapsed="false">
      <c r="A155" s="0" t="s">
        <v>33</v>
      </c>
      <c r="B155" s="0" t="s">
        <v>187</v>
      </c>
      <c r="C155" s="0" t="n">
        <v>24</v>
      </c>
      <c r="D155" s="0" t="n">
        <v>1</v>
      </c>
      <c r="E155" s="0" t="n">
        <v>51</v>
      </c>
      <c r="F155" s="0" t="n">
        <v>1</v>
      </c>
    </row>
    <row r="156" customFormat="false" ht="15" hidden="false" customHeight="false" outlineLevel="0" collapsed="false">
      <c r="A156" s="0" t="s">
        <v>33</v>
      </c>
      <c r="B156" s="0" t="s">
        <v>188</v>
      </c>
      <c r="C156" s="0" t="n">
        <v>18</v>
      </c>
      <c r="D156" s="0" t="n">
        <v>1</v>
      </c>
      <c r="E156" s="0" t="n">
        <v>57</v>
      </c>
      <c r="F156" s="0" t="n">
        <v>1</v>
      </c>
    </row>
    <row r="157" customFormat="false" ht="15" hidden="false" customHeight="false" outlineLevel="0" collapsed="false">
      <c r="A157" s="0" t="s">
        <v>33</v>
      </c>
      <c r="B157" s="0" t="s">
        <v>189</v>
      </c>
      <c r="C157" s="0" t="n">
        <v>108</v>
      </c>
      <c r="D157" s="0" t="n">
        <v>2</v>
      </c>
      <c r="E157" s="0" t="n">
        <v>42</v>
      </c>
      <c r="F157" s="0" t="n">
        <v>2</v>
      </c>
    </row>
    <row r="158" customFormat="false" ht="15" hidden="false" customHeight="false" outlineLevel="0" collapsed="false">
      <c r="A158" s="0" t="s">
        <v>33</v>
      </c>
      <c r="B158" s="0" t="s">
        <v>190</v>
      </c>
      <c r="C158" s="0" t="n">
        <v>24</v>
      </c>
      <c r="D158" s="0" t="n">
        <v>1</v>
      </c>
      <c r="E158" s="0" t="n">
        <v>51</v>
      </c>
      <c r="F158" s="0" t="n">
        <v>1</v>
      </c>
    </row>
    <row r="159" customFormat="false" ht="15" hidden="false" customHeight="false" outlineLevel="0" collapsed="false">
      <c r="A159" s="0" t="s">
        <v>33</v>
      </c>
      <c r="B159" s="0" t="s">
        <v>191</v>
      </c>
      <c r="C159" s="0" t="n">
        <v>48</v>
      </c>
      <c r="D159" s="0" t="n">
        <v>1</v>
      </c>
      <c r="E159" s="0" t="n">
        <v>27</v>
      </c>
      <c r="F159" s="0" t="n">
        <v>1</v>
      </c>
    </row>
    <row r="160" customFormat="false" ht="15" hidden="false" customHeight="false" outlineLevel="0" collapsed="false">
      <c r="A160" s="0" t="s">
        <v>33</v>
      </c>
      <c r="B160" s="0" t="s">
        <v>192</v>
      </c>
      <c r="C160" s="0" t="n">
        <v>42</v>
      </c>
      <c r="D160" s="0" t="n">
        <v>1</v>
      </c>
      <c r="E160" s="0" t="n">
        <v>33</v>
      </c>
      <c r="F160" s="0" t="n">
        <v>1</v>
      </c>
    </row>
    <row r="161" customFormat="false" ht="15" hidden="false" customHeight="false" outlineLevel="0" collapsed="false">
      <c r="A161" s="0" t="s">
        <v>33</v>
      </c>
      <c r="B161" s="0" t="s">
        <v>193</v>
      </c>
      <c r="C161" s="0" t="n">
        <v>66</v>
      </c>
      <c r="D161" s="0" t="n">
        <v>1</v>
      </c>
      <c r="E161" s="0" t="n">
        <v>9</v>
      </c>
      <c r="F161" s="0" t="n">
        <v>2</v>
      </c>
    </row>
    <row r="162" customFormat="false" ht="15" hidden="false" customHeight="false" outlineLevel="0" collapsed="false">
      <c r="A162" s="0" t="s">
        <v>33</v>
      </c>
      <c r="B162" s="0" t="s">
        <v>194</v>
      </c>
      <c r="C162" s="0" t="n">
        <v>108</v>
      </c>
      <c r="D162" s="0" t="n">
        <v>2</v>
      </c>
      <c r="E162" s="0" t="n">
        <v>42</v>
      </c>
      <c r="F162" s="0" t="n">
        <v>2</v>
      </c>
    </row>
    <row r="163" customFormat="false" ht="15" hidden="false" customHeight="false" outlineLevel="0" collapsed="false">
      <c r="A163" s="0" t="s">
        <v>33</v>
      </c>
      <c r="B163" s="0" t="s">
        <v>195</v>
      </c>
      <c r="C163" s="0" t="n">
        <v>24</v>
      </c>
      <c r="D163" s="0" t="n">
        <v>1</v>
      </c>
      <c r="E163" s="0" t="n">
        <v>51</v>
      </c>
      <c r="F163" s="0" t="n">
        <v>1</v>
      </c>
    </row>
    <row r="164" customFormat="false" ht="15" hidden="false" customHeight="false" outlineLevel="0" collapsed="false">
      <c r="A164" s="0" t="s">
        <v>33</v>
      </c>
      <c r="B164" s="0" t="s">
        <v>196</v>
      </c>
      <c r="C164" s="0" t="n">
        <v>18</v>
      </c>
      <c r="D164" s="0" t="n">
        <v>1</v>
      </c>
      <c r="E164" s="0" t="n">
        <v>57</v>
      </c>
      <c r="F164" s="0" t="n">
        <v>1</v>
      </c>
    </row>
    <row r="165" customFormat="false" ht="15" hidden="false" customHeight="false" outlineLevel="0" collapsed="false">
      <c r="A165" s="0" t="s">
        <v>33</v>
      </c>
      <c r="B165" s="0" t="s">
        <v>197</v>
      </c>
      <c r="C165" s="0" t="n">
        <v>6</v>
      </c>
      <c r="D165" s="0" t="n">
        <v>1</v>
      </c>
      <c r="E165" s="0" t="n">
        <v>69</v>
      </c>
      <c r="F165" s="0" t="n">
        <v>1</v>
      </c>
    </row>
    <row r="166" customFormat="false" ht="15" hidden="false" customHeight="false" outlineLevel="0" collapsed="false">
      <c r="A166" s="0" t="s">
        <v>33</v>
      </c>
      <c r="B166" s="0" t="s">
        <v>198</v>
      </c>
      <c r="C166" s="0" t="n">
        <v>18</v>
      </c>
      <c r="D166" s="0" t="n">
        <v>1</v>
      </c>
      <c r="E166" s="0" t="n">
        <v>57</v>
      </c>
      <c r="F166" s="0" t="n">
        <v>1</v>
      </c>
    </row>
    <row r="167" customFormat="false" ht="15" hidden="false" customHeight="false" outlineLevel="0" collapsed="false">
      <c r="A167" s="0" t="s">
        <v>33</v>
      </c>
      <c r="B167" s="0" t="s">
        <v>199</v>
      </c>
      <c r="C167" s="0" t="n">
        <v>72</v>
      </c>
      <c r="D167" s="0" t="n">
        <v>1</v>
      </c>
      <c r="E167" s="0" t="n">
        <v>3</v>
      </c>
      <c r="F167" s="0" t="n">
        <v>2</v>
      </c>
    </row>
    <row r="168" customFormat="false" ht="15" hidden="false" customHeight="false" outlineLevel="0" collapsed="false">
      <c r="A168" s="0" t="s">
        <v>33</v>
      </c>
      <c r="B168" s="0" t="s">
        <v>200</v>
      </c>
      <c r="C168" s="0" t="n">
        <v>102</v>
      </c>
      <c r="D168" s="0" t="n">
        <v>2</v>
      </c>
      <c r="E168" s="0" t="n">
        <v>48</v>
      </c>
      <c r="F168" s="0" t="n">
        <v>2</v>
      </c>
    </row>
    <row r="169" customFormat="false" ht="15" hidden="false" customHeight="false" outlineLevel="0" collapsed="false">
      <c r="A169" s="0" t="s">
        <v>33</v>
      </c>
      <c r="B169" s="0" t="s">
        <v>201</v>
      </c>
      <c r="C169" s="0" t="n">
        <v>6</v>
      </c>
      <c r="D169" s="0" t="n">
        <v>1</v>
      </c>
      <c r="E169" s="0" t="n">
        <v>69</v>
      </c>
      <c r="F169" s="0" t="n">
        <v>1</v>
      </c>
    </row>
    <row r="170" customFormat="false" ht="15" hidden="false" customHeight="false" outlineLevel="0" collapsed="false">
      <c r="A170" s="0" t="s">
        <v>33</v>
      </c>
      <c r="B170" s="0" t="s">
        <v>202</v>
      </c>
      <c r="C170" s="0" t="n">
        <v>12</v>
      </c>
      <c r="D170" s="0" t="n">
        <v>1</v>
      </c>
      <c r="E170" s="0" t="n">
        <v>63</v>
      </c>
      <c r="F170" s="0" t="n">
        <v>1</v>
      </c>
    </row>
    <row r="171" customFormat="false" ht="15" hidden="false" customHeight="false" outlineLevel="0" collapsed="false">
      <c r="A171" s="0" t="s">
        <v>33</v>
      </c>
      <c r="B171" s="0" t="s">
        <v>203</v>
      </c>
      <c r="C171" s="0" t="n">
        <v>18</v>
      </c>
      <c r="D171" s="0" t="n">
        <v>1</v>
      </c>
      <c r="E171" s="0" t="n">
        <v>57</v>
      </c>
      <c r="F171" s="0" t="n">
        <v>1</v>
      </c>
    </row>
    <row r="172" customFormat="false" ht="15" hidden="false" customHeight="false" outlineLevel="0" collapsed="false">
      <c r="A172" s="0" t="s">
        <v>33</v>
      </c>
      <c r="B172" s="0" t="s">
        <v>204</v>
      </c>
      <c r="C172" s="0" t="n">
        <v>60</v>
      </c>
      <c r="D172" s="0" t="n">
        <v>1</v>
      </c>
      <c r="E172" s="0" t="n">
        <v>15</v>
      </c>
      <c r="F172" s="0" t="n">
        <v>1</v>
      </c>
    </row>
    <row r="173" customFormat="false" ht="15" hidden="false" customHeight="false" outlineLevel="0" collapsed="false">
      <c r="A173" s="0" t="s">
        <v>33</v>
      </c>
      <c r="B173" s="0" t="s">
        <v>205</v>
      </c>
      <c r="C173" s="0" t="n">
        <v>18</v>
      </c>
      <c r="D173" s="0" t="n">
        <v>1</v>
      </c>
      <c r="E173" s="0" t="n">
        <v>57</v>
      </c>
      <c r="F173" s="0" t="n">
        <v>1</v>
      </c>
    </row>
    <row r="174" customFormat="false" ht="15" hidden="false" customHeight="false" outlineLevel="0" collapsed="false">
      <c r="A174" s="0" t="s">
        <v>33</v>
      </c>
      <c r="B174" s="0" t="s">
        <v>206</v>
      </c>
      <c r="C174" s="0" t="n">
        <v>6</v>
      </c>
      <c r="D174" s="0" t="n">
        <v>1</v>
      </c>
      <c r="E174" s="0" t="n">
        <v>69</v>
      </c>
      <c r="F174" s="0" t="n">
        <v>1</v>
      </c>
    </row>
    <row r="175" customFormat="false" ht="15" hidden="false" customHeight="false" outlineLevel="0" collapsed="false">
      <c r="A175" s="0" t="s">
        <v>33</v>
      </c>
      <c r="B175" s="0" t="s">
        <v>207</v>
      </c>
      <c r="C175" s="0" t="n">
        <v>12</v>
      </c>
      <c r="D175" s="0" t="n">
        <v>1</v>
      </c>
      <c r="E175" s="0" t="n">
        <v>63</v>
      </c>
      <c r="F175" s="0" t="n">
        <v>1</v>
      </c>
    </row>
    <row r="176" customFormat="false" ht="15" hidden="false" customHeight="false" outlineLevel="0" collapsed="false">
      <c r="A176" s="0" t="s">
        <v>33</v>
      </c>
      <c r="B176" s="0" t="s">
        <v>208</v>
      </c>
      <c r="C176" s="0" t="n">
        <v>36</v>
      </c>
      <c r="D176" s="0" t="n">
        <v>1</v>
      </c>
      <c r="E176" s="0" t="n">
        <v>39</v>
      </c>
      <c r="F176" s="0" t="n">
        <v>1</v>
      </c>
    </row>
    <row r="177" customFormat="false" ht="15" hidden="false" customHeight="false" outlineLevel="0" collapsed="false">
      <c r="A177" s="0" t="s">
        <v>33</v>
      </c>
      <c r="B177" s="0" t="s">
        <v>209</v>
      </c>
      <c r="C177" s="0" t="n">
        <v>30</v>
      </c>
      <c r="D177" s="0" t="n">
        <v>1</v>
      </c>
      <c r="E177" s="0" t="n">
        <v>45</v>
      </c>
      <c r="F177" s="0" t="n">
        <v>1</v>
      </c>
    </row>
    <row r="178" customFormat="false" ht="15" hidden="false" customHeight="false" outlineLevel="0" collapsed="false">
      <c r="A178" s="0" t="s">
        <v>33</v>
      </c>
      <c r="B178" s="0" t="s">
        <v>210</v>
      </c>
      <c r="C178" s="0" t="n">
        <v>48</v>
      </c>
      <c r="D178" s="0" t="n">
        <v>1</v>
      </c>
      <c r="E178" s="0" t="n">
        <v>27</v>
      </c>
      <c r="F178" s="0" t="n">
        <v>1</v>
      </c>
    </row>
    <row r="179" customFormat="false" ht="15" hidden="false" customHeight="false" outlineLevel="0" collapsed="false">
      <c r="A179" s="0" t="s">
        <v>33</v>
      </c>
      <c r="B179" s="0" t="s">
        <v>211</v>
      </c>
      <c r="C179" s="0" t="n">
        <v>6</v>
      </c>
      <c r="D179" s="0" t="n">
        <v>1</v>
      </c>
      <c r="E179" s="0" t="n">
        <v>69</v>
      </c>
      <c r="F179" s="0" t="n">
        <v>1</v>
      </c>
    </row>
    <row r="180" customFormat="false" ht="15" hidden="false" customHeight="false" outlineLevel="0" collapsed="false">
      <c r="A180" s="0" t="s">
        <v>33</v>
      </c>
      <c r="B180" s="0" t="s">
        <v>212</v>
      </c>
      <c r="C180" s="0" t="n">
        <v>15</v>
      </c>
      <c r="D180" s="0" t="n">
        <v>1</v>
      </c>
      <c r="E180" s="0" t="n">
        <v>60</v>
      </c>
      <c r="F180" s="0" t="n">
        <v>1</v>
      </c>
    </row>
    <row r="181" customFormat="false" ht="15" hidden="false" customHeight="false" outlineLevel="0" collapsed="false">
      <c r="A181" s="0" t="s">
        <v>33</v>
      </c>
      <c r="B181" s="0" t="s">
        <v>213</v>
      </c>
      <c r="C181" s="0" t="n">
        <v>18</v>
      </c>
      <c r="D181" s="0" t="n">
        <v>1</v>
      </c>
      <c r="E181" s="0" t="n">
        <v>57</v>
      </c>
      <c r="F181" s="0" t="n">
        <v>1</v>
      </c>
    </row>
    <row r="182" customFormat="false" ht="15" hidden="false" customHeight="false" outlineLevel="0" collapsed="false">
      <c r="A182" s="0" t="s">
        <v>33</v>
      </c>
      <c r="B182" s="0" t="s">
        <v>214</v>
      </c>
      <c r="C182" s="0" t="n">
        <v>30</v>
      </c>
      <c r="D182" s="0" t="n">
        <v>1</v>
      </c>
      <c r="E182" s="0" t="n">
        <v>45</v>
      </c>
      <c r="F182" s="0" t="n">
        <v>1</v>
      </c>
    </row>
    <row r="183" customFormat="false" ht="15" hidden="false" customHeight="false" outlineLevel="0" collapsed="false">
      <c r="A183" s="0" t="s">
        <v>33</v>
      </c>
      <c r="B183" s="0" t="s">
        <v>215</v>
      </c>
      <c r="C183" s="0" t="n">
        <v>18</v>
      </c>
      <c r="D183" s="0" t="n">
        <v>1</v>
      </c>
      <c r="E183" s="0" t="n">
        <v>57</v>
      </c>
      <c r="F183" s="0" t="n">
        <v>1</v>
      </c>
    </row>
    <row r="184" customFormat="false" ht="15" hidden="false" customHeight="false" outlineLevel="0" collapsed="false">
      <c r="A184" s="0" t="s">
        <v>33</v>
      </c>
      <c r="B184" s="0" t="s">
        <v>216</v>
      </c>
      <c r="C184" s="0" t="n">
        <v>30</v>
      </c>
      <c r="D184" s="0" t="n">
        <v>1</v>
      </c>
      <c r="E184" s="0" t="n">
        <v>45</v>
      </c>
      <c r="F184" s="0" t="n">
        <v>1</v>
      </c>
    </row>
    <row r="185" customFormat="false" ht="15" hidden="false" customHeight="false" outlineLevel="0" collapsed="false">
      <c r="A185" s="0" t="s">
        <v>33</v>
      </c>
      <c r="B185" s="0" t="s">
        <v>217</v>
      </c>
      <c r="C185" s="0" t="n">
        <v>42</v>
      </c>
      <c r="D185" s="0" t="n">
        <v>1</v>
      </c>
      <c r="E185" s="0" t="n">
        <v>33</v>
      </c>
      <c r="F185" s="0" t="n">
        <v>1</v>
      </c>
    </row>
    <row r="186" customFormat="false" ht="15" hidden="false" customHeight="false" outlineLevel="0" collapsed="false">
      <c r="A186" s="0" t="s">
        <v>33</v>
      </c>
      <c r="B186" s="0" t="s">
        <v>218</v>
      </c>
      <c r="C186" s="0" t="n">
        <v>54</v>
      </c>
      <c r="D186" s="0" t="n">
        <v>1</v>
      </c>
      <c r="E186" s="0" t="n">
        <v>21</v>
      </c>
      <c r="F186" s="0" t="n">
        <v>1</v>
      </c>
    </row>
    <row r="187" customFormat="false" ht="15" hidden="false" customHeight="false" outlineLevel="0" collapsed="false">
      <c r="A187" s="0" t="s">
        <v>33</v>
      </c>
      <c r="B187" s="0" t="s">
        <v>219</v>
      </c>
      <c r="C187" s="0" t="n">
        <v>54</v>
      </c>
      <c r="D187" s="0" t="n">
        <v>1</v>
      </c>
      <c r="E187" s="0" t="n">
        <v>21</v>
      </c>
      <c r="F187" s="0" t="n">
        <v>1</v>
      </c>
    </row>
    <row r="188" customFormat="false" ht="15" hidden="false" customHeight="false" outlineLevel="0" collapsed="false">
      <c r="A188" s="0" t="s">
        <v>33</v>
      </c>
      <c r="B188" s="0" t="s">
        <v>220</v>
      </c>
      <c r="C188" s="0" t="n">
        <v>48</v>
      </c>
      <c r="D188" s="0" t="n">
        <v>1</v>
      </c>
      <c r="E188" s="0" t="n">
        <v>27</v>
      </c>
      <c r="F188" s="0" t="n">
        <v>1</v>
      </c>
    </row>
    <row r="189" customFormat="false" ht="15" hidden="false" customHeight="false" outlineLevel="0" collapsed="false">
      <c r="A189" s="0" t="s">
        <v>33</v>
      </c>
      <c r="B189" s="0" t="s">
        <v>221</v>
      </c>
      <c r="C189" s="0" t="n">
        <v>24</v>
      </c>
      <c r="D189" s="0" t="n">
        <v>1</v>
      </c>
      <c r="E189" s="0" t="n">
        <v>51</v>
      </c>
      <c r="F189" s="0" t="n">
        <v>1</v>
      </c>
    </row>
    <row r="190" customFormat="false" ht="15" hidden="false" customHeight="false" outlineLevel="0" collapsed="false">
      <c r="A190" s="0" t="s">
        <v>33</v>
      </c>
      <c r="B190" s="0" t="s">
        <v>683</v>
      </c>
      <c r="C190" s="0" t="n">
        <v>24</v>
      </c>
      <c r="D190" s="0" t="n">
        <v>1</v>
      </c>
      <c r="E190" s="0" t="n">
        <v>51</v>
      </c>
      <c r="F190" s="0" t="n">
        <v>1</v>
      </c>
    </row>
    <row r="191" customFormat="false" ht="15" hidden="false" customHeight="false" outlineLevel="0" collapsed="false">
      <c r="A191" s="0" t="s">
        <v>33</v>
      </c>
      <c r="B191" s="0" t="s">
        <v>222</v>
      </c>
      <c r="C191" s="0" t="n">
        <v>66</v>
      </c>
      <c r="D191" s="0" t="n">
        <v>1</v>
      </c>
      <c r="E191" s="0" t="n">
        <v>9</v>
      </c>
      <c r="F191" s="0" t="n">
        <v>2</v>
      </c>
    </row>
    <row r="192" customFormat="false" ht="15" hidden="false" customHeight="false" outlineLevel="0" collapsed="false">
      <c r="A192" s="0" t="s">
        <v>33</v>
      </c>
      <c r="B192" s="0" t="s">
        <v>223</v>
      </c>
      <c r="C192" s="0" t="n">
        <v>102</v>
      </c>
      <c r="D192" s="0" t="n">
        <v>2</v>
      </c>
      <c r="E192" s="0" t="n">
        <v>48</v>
      </c>
      <c r="F192" s="0" t="n">
        <v>2</v>
      </c>
    </row>
    <row r="193" customFormat="false" ht="15" hidden="false" customHeight="false" outlineLevel="0" collapsed="false">
      <c r="A193" s="0" t="s">
        <v>33</v>
      </c>
      <c r="B193" s="0" t="s">
        <v>224</v>
      </c>
      <c r="C193" s="0" t="n">
        <v>24</v>
      </c>
      <c r="D193" s="0" t="n">
        <v>1</v>
      </c>
      <c r="E193" s="0" t="n">
        <v>51</v>
      </c>
      <c r="F193" s="0" t="n">
        <v>1</v>
      </c>
    </row>
    <row r="194" customFormat="false" ht="15" hidden="false" customHeight="false" outlineLevel="0" collapsed="false">
      <c r="A194" s="0" t="s">
        <v>33</v>
      </c>
      <c r="B194" s="0" t="s">
        <v>225</v>
      </c>
      <c r="C194" s="0" t="n">
        <v>12</v>
      </c>
      <c r="D194" s="0" t="n">
        <v>1</v>
      </c>
      <c r="E194" s="0" t="n">
        <v>63</v>
      </c>
      <c r="F194" s="0" t="n">
        <v>1</v>
      </c>
    </row>
    <row r="195" customFormat="false" ht="15" hidden="false" customHeight="false" outlineLevel="0" collapsed="false">
      <c r="A195" s="0" t="s">
        <v>33</v>
      </c>
      <c r="B195" s="0" t="s">
        <v>226</v>
      </c>
      <c r="C195" s="0" t="n">
        <v>42</v>
      </c>
      <c r="D195" s="0" t="n">
        <v>1</v>
      </c>
      <c r="E195" s="0" t="n">
        <v>33</v>
      </c>
      <c r="F195" s="0" t="n">
        <v>1</v>
      </c>
    </row>
    <row r="196" customFormat="false" ht="15" hidden="false" customHeight="false" outlineLevel="0" collapsed="false">
      <c r="A196" s="0" t="s">
        <v>33</v>
      </c>
      <c r="B196" s="0" t="s">
        <v>227</v>
      </c>
      <c r="C196" s="0" t="n">
        <v>72</v>
      </c>
      <c r="D196" s="0" t="n">
        <v>1</v>
      </c>
      <c r="E196" s="0" t="n">
        <v>3</v>
      </c>
      <c r="F196" s="0" t="n">
        <v>2</v>
      </c>
    </row>
    <row r="197" customFormat="false" ht="15" hidden="false" customHeight="false" outlineLevel="0" collapsed="false">
      <c r="A197" s="0" t="s">
        <v>33</v>
      </c>
      <c r="B197" s="0" t="s">
        <v>228</v>
      </c>
      <c r="C197" s="0" t="n">
        <v>102</v>
      </c>
      <c r="D197" s="0" t="n">
        <v>2</v>
      </c>
      <c r="E197" s="0" t="n">
        <v>48</v>
      </c>
      <c r="F197" s="0" t="n">
        <v>2</v>
      </c>
    </row>
    <row r="198" customFormat="false" ht="15" hidden="false" customHeight="false" outlineLevel="0" collapsed="false">
      <c r="A198" s="0" t="s">
        <v>33</v>
      </c>
      <c r="B198" s="0" t="s">
        <v>229</v>
      </c>
      <c r="C198" s="0" t="n">
        <v>24</v>
      </c>
      <c r="D198" s="0" t="n">
        <v>1</v>
      </c>
      <c r="E198" s="0" t="n">
        <v>51</v>
      </c>
      <c r="F198" s="0" t="n">
        <v>1</v>
      </c>
    </row>
    <row r="199" customFormat="false" ht="15" hidden="false" customHeight="false" outlineLevel="0" collapsed="false">
      <c r="A199" s="0" t="s">
        <v>33</v>
      </c>
      <c r="B199" s="0" t="s">
        <v>230</v>
      </c>
      <c r="C199" s="0" t="n">
        <v>18</v>
      </c>
      <c r="D199" s="0" t="n">
        <v>1</v>
      </c>
      <c r="E199" s="0" t="n">
        <v>57</v>
      </c>
      <c r="F199" s="0" t="n">
        <v>1</v>
      </c>
    </row>
    <row r="200" customFormat="false" ht="15" hidden="false" customHeight="false" outlineLevel="0" collapsed="false">
      <c r="A200" s="0" t="s">
        <v>33</v>
      </c>
      <c r="B200" s="0" t="s">
        <v>231</v>
      </c>
      <c r="C200" s="0" t="n">
        <v>18</v>
      </c>
      <c r="D200" s="0" t="n">
        <v>1</v>
      </c>
      <c r="E200" s="0" t="n">
        <v>57</v>
      </c>
      <c r="F200" s="0" t="n">
        <v>1</v>
      </c>
    </row>
    <row r="201" customFormat="false" ht="15" hidden="false" customHeight="false" outlineLevel="0" collapsed="false">
      <c r="A201" s="0" t="s">
        <v>33</v>
      </c>
      <c r="B201" s="0" t="s">
        <v>232</v>
      </c>
      <c r="C201" s="0" t="n">
        <v>36</v>
      </c>
      <c r="D201" s="0" t="n">
        <v>1</v>
      </c>
      <c r="E201" s="0" t="n">
        <v>39</v>
      </c>
      <c r="F201" s="0" t="n">
        <v>1</v>
      </c>
    </row>
    <row r="202" customFormat="false" ht="15" hidden="false" customHeight="false" outlineLevel="0" collapsed="false">
      <c r="A202" s="0" t="s">
        <v>33</v>
      </c>
      <c r="B202" s="0" t="s">
        <v>233</v>
      </c>
      <c r="C202" s="0" t="n">
        <v>12</v>
      </c>
      <c r="D202" s="0" t="n">
        <v>1</v>
      </c>
      <c r="E202" s="0" t="n">
        <v>63</v>
      </c>
      <c r="F202" s="0" t="n">
        <v>1</v>
      </c>
    </row>
    <row r="203" customFormat="false" ht="15" hidden="false" customHeight="false" outlineLevel="0" collapsed="false">
      <c r="A203" s="0" t="s">
        <v>33</v>
      </c>
      <c r="B203" s="0" t="s">
        <v>684</v>
      </c>
      <c r="C203" s="0" t="n">
        <v>6</v>
      </c>
      <c r="D203" s="0" t="n">
        <v>1</v>
      </c>
      <c r="E203" s="0" t="n">
        <v>69</v>
      </c>
      <c r="F203" s="0" t="n">
        <v>1</v>
      </c>
    </row>
    <row r="204" customFormat="false" ht="15" hidden="false" customHeight="false" outlineLevel="0" collapsed="false">
      <c r="A204" s="0" t="s">
        <v>33</v>
      </c>
      <c r="B204" s="0" t="s">
        <v>234</v>
      </c>
      <c r="C204" s="0" t="n">
        <v>12</v>
      </c>
      <c r="D204" s="0" t="n">
        <v>1</v>
      </c>
      <c r="E204" s="0" t="n">
        <v>63</v>
      </c>
      <c r="F204" s="0" t="n">
        <v>1</v>
      </c>
    </row>
    <row r="205" customFormat="false" ht="15" hidden="false" customHeight="false" outlineLevel="0" collapsed="false">
      <c r="A205" s="0" t="s">
        <v>33</v>
      </c>
      <c r="B205" s="0" t="s">
        <v>235</v>
      </c>
      <c r="C205" s="0" t="n">
        <v>66</v>
      </c>
      <c r="D205" s="0" t="n">
        <v>1</v>
      </c>
      <c r="E205" s="0" t="n">
        <v>9</v>
      </c>
      <c r="F205" s="0" t="n">
        <v>2</v>
      </c>
    </row>
    <row r="206" customFormat="false" ht="15" hidden="false" customHeight="false" outlineLevel="0" collapsed="false">
      <c r="A206" s="0" t="s">
        <v>33</v>
      </c>
      <c r="B206" s="0" t="s">
        <v>236</v>
      </c>
      <c r="C206" s="0" t="n">
        <v>30</v>
      </c>
      <c r="D206" s="0" t="n">
        <v>1</v>
      </c>
      <c r="E206" s="0" t="n">
        <v>45</v>
      </c>
      <c r="F206" s="0" t="n">
        <v>1</v>
      </c>
    </row>
    <row r="207" customFormat="false" ht="15" hidden="false" customHeight="false" outlineLevel="0" collapsed="false">
      <c r="A207" s="0" t="s">
        <v>33</v>
      </c>
      <c r="B207" s="0" t="s">
        <v>237</v>
      </c>
      <c r="C207" s="0" t="n">
        <v>12</v>
      </c>
      <c r="D207" s="0" t="n">
        <v>1</v>
      </c>
      <c r="E207" s="0" t="n">
        <v>63</v>
      </c>
      <c r="F207" s="0" t="n">
        <v>1</v>
      </c>
    </row>
    <row r="208" customFormat="false" ht="15" hidden="false" customHeight="false" outlineLevel="0" collapsed="false">
      <c r="A208" s="0" t="s">
        <v>33</v>
      </c>
      <c r="B208" s="0" t="s">
        <v>238</v>
      </c>
      <c r="C208" s="0" t="n">
        <v>24</v>
      </c>
      <c r="D208" s="0" t="n">
        <v>1</v>
      </c>
      <c r="E208" s="0" t="n">
        <v>51</v>
      </c>
      <c r="F208" s="0" t="n">
        <v>1</v>
      </c>
    </row>
    <row r="209" customFormat="false" ht="15" hidden="false" customHeight="false" outlineLevel="0" collapsed="false">
      <c r="A209" s="0" t="s">
        <v>33</v>
      </c>
      <c r="B209" s="0" t="s">
        <v>239</v>
      </c>
      <c r="C209" s="0" t="n">
        <v>18</v>
      </c>
      <c r="D209" s="0" t="n">
        <v>1</v>
      </c>
      <c r="E209" s="0" t="n">
        <v>57</v>
      </c>
      <c r="F209" s="0" t="n">
        <v>1</v>
      </c>
    </row>
    <row r="210" customFormat="false" ht="15" hidden="false" customHeight="false" outlineLevel="0" collapsed="false">
      <c r="A210" s="0" t="s">
        <v>33</v>
      </c>
      <c r="B210" s="0" t="s">
        <v>240</v>
      </c>
      <c r="C210" s="0" t="n">
        <v>48</v>
      </c>
      <c r="D210" s="0" t="n">
        <v>1</v>
      </c>
      <c r="E210" s="0" t="n">
        <v>27</v>
      </c>
      <c r="F210" s="0" t="n">
        <v>1</v>
      </c>
    </row>
    <row r="211" customFormat="false" ht="15" hidden="false" customHeight="false" outlineLevel="0" collapsed="false">
      <c r="A211" s="0" t="s">
        <v>33</v>
      </c>
      <c r="B211" s="0" t="s">
        <v>241</v>
      </c>
      <c r="C211" s="0" t="n">
        <v>12</v>
      </c>
      <c r="D211" s="0" t="n">
        <v>1</v>
      </c>
      <c r="E211" s="0" t="n">
        <v>63</v>
      </c>
      <c r="F211" s="0" t="n">
        <v>1</v>
      </c>
    </row>
    <row r="212" customFormat="false" ht="15" hidden="false" customHeight="false" outlineLevel="0" collapsed="false">
      <c r="A212" s="0" t="s">
        <v>33</v>
      </c>
      <c r="B212" s="0" t="s">
        <v>242</v>
      </c>
      <c r="C212" s="0" t="n">
        <v>12</v>
      </c>
      <c r="D212" s="0" t="n">
        <v>1</v>
      </c>
      <c r="E212" s="0" t="n">
        <v>63</v>
      </c>
      <c r="F212" s="0" t="n">
        <v>1</v>
      </c>
    </row>
    <row r="213" customFormat="false" ht="15" hidden="false" customHeight="false" outlineLevel="0" collapsed="false">
      <c r="A213" s="0" t="s">
        <v>33</v>
      </c>
      <c r="B213" s="0" t="s">
        <v>243</v>
      </c>
      <c r="C213" s="0" t="n">
        <v>36</v>
      </c>
      <c r="D213" s="0" t="n">
        <v>1</v>
      </c>
      <c r="E213" s="0" t="n">
        <v>39</v>
      </c>
      <c r="F213" s="0" t="n">
        <v>1</v>
      </c>
    </row>
    <row r="214" customFormat="false" ht="15" hidden="false" customHeight="false" outlineLevel="0" collapsed="false">
      <c r="A214" s="0" t="s">
        <v>33</v>
      </c>
      <c r="B214" s="0" t="s">
        <v>244</v>
      </c>
      <c r="C214" s="0" t="n">
        <v>96</v>
      </c>
      <c r="D214" s="0" t="n">
        <v>2</v>
      </c>
      <c r="E214" s="0" t="n">
        <v>54</v>
      </c>
      <c r="F214" s="0" t="n">
        <v>2</v>
      </c>
    </row>
    <row r="215" customFormat="false" ht="15" hidden="false" customHeight="false" outlineLevel="0" collapsed="false">
      <c r="A215" s="0" t="s">
        <v>33</v>
      </c>
      <c r="B215" s="0" t="s">
        <v>245</v>
      </c>
      <c r="C215" s="0" t="n">
        <v>54</v>
      </c>
      <c r="D215" s="0" t="n">
        <v>1</v>
      </c>
      <c r="E215" s="0" t="n">
        <v>21</v>
      </c>
      <c r="F215" s="0" t="n">
        <v>1</v>
      </c>
    </row>
    <row r="216" customFormat="false" ht="15" hidden="false" customHeight="false" outlineLevel="0" collapsed="false">
      <c r="A216" s="0" t="s">
        <v>33</v>
      </c>
      <c r="B216" s="0" t="s">
        <v>246</v>
      </c>
      <c r="C216" s="0" t="n">
        <v>4.8</v>
      </c>
      <c r="D216" s="0" t="n">
        <v>1</v>
      </c>
      <c r="E216" s="0" t="n">
        <v>70.2</v>
      </c>
      <c r="F216" s="0" t="n">
        <v>1</v>
      </c>
    </row>
    <row r="217" customFormat="false" ht="15" hidden="false" customHeight="false" outlineLevel="0" collapsed="false">
      <c r="A217" s="0" t="s">
        <v>33</v>
      </c>
      <c r="B217" s="0" t="s">
        <v>247</v>
      </c>
      <c r="C217" s="0" t="n">
        <v>6</v>
      </c>
      <c r="D217" s="0" t="n">
        <v>1</v>
      </c>
      <c r="E217" s="0" t="n">
        <v>69</v>
      </c>
      <c r="F217" s="0" t="n">
        <v>1</v>
      </c>
    </row>
    <row r="218" customFormat="false" ht="15" hidden="false" customHeight="false" outlineLevel="0" collapsed="false">
      <c r="A218" s="0" t="s">
        <v>33</v>
      </c>
      <c r="B218" s="0" t="s">
        <v>248</v>
      </c>
      <c r="C218" s="0" t="n">
        <v>42</v>
      </c>
      <c r="D218" s="0" t="n">
        <v>1</v>
      </c>
      <c r="E218" s="0" t="n">
        <v>33</v>
      </c>
      <c r="F218" s="0" t="n">
        <v>1</v>
      </c>
    </row>
    <row r="219" customFormat="false" ht="15" hidden="false" customHeight="false" outlineLevel="0" collapsed="false">
      <c r="A219" s="0" t="s">
        <v>249</v>
      </c>
      <c r="B219" s="0" t="s">
        <v>250</v>
      </c>
      <c r="C219" s="0" t="n">
        <v>72</v>
      </c>
      <c r="D219" s="0" t="n">
        <v>1</v>
      </c>
      <c r="E219" s="0" t="n">
        <v>3</v>
      </c>
      <c r="F219" s="0" t="n">
        <v>2</v>
      </c>
    </row>
    <row r="220" customFormat="false" ht="15" hidden="false" customHeight="false" outlineLevel="0" collapsed="false">
      <c r="A220" s="0" t="s">
        <v>249</v>
      </c>
      <c r="B220" s="0" t="s">
        <v>251</v>
      </c>
      <c r="C220" s="0" t="n">
        <v>18</v>
      </c>
      <c r="D220" s="0" t="n">
        <v>1</v>
      </c>
      <c r="E220" s="0" t="n">
        <v>57</v>
      </c>
      <c r="F220" s="0" t="n">
        <v>1</v>
      </c>
    </row>
    <row r="221" customFormat="false" ht="15" hidden="false" customHeight="false" outlineLevel="0" collapsed="false">
      <c r="A221" s="0" t="s">
        <v>249</v>
      </c>
      <c r="B221" s="0" t="s">
        <v>252</v>
      </c>
      <c r="C221" s="0" t="n">
        <v>30</v>
      </c>
      <c r="D221" s="0" t="n">
        <v>1</v>
      </c>
      <c r="E221" s="0" t="n">
        <v>45</v>
      </c>
      <c r="F221" s="0" t="n">
        <v>1</v>
      </c>
    </row>
    <row r="222" customFormat="false" ht="15" hidden="false" customHeight="false" outlineLevel="0" collapsed="false">
      <c r="A222" s="0" t="s">
        <v>249</v>
      </c>
      <c r="B222" s="0" t="s">
        <v>253</v>
      </c>
      <c r="C222" s="0" t="n">
        <v>30</v>
      </c>
      <c r="D222" s="0" t="n">
        <v>1</v>
      </c>
      <c r="E222" s="0" t="n">
        <v>45</v>
      </c>
      <c r="F222" s="0" t="n">
        <v>1</v>
      </c>
    </row>
    <row r="223" customFormat="false" ht="15" hidden="false" customHeight="false" outlineLevel="0" collapsed="false">
      <c r="A223" s="0" t="s">
        <v>249</v>
      </c>
      <c r="B223" s="0" t="s">
        <v>254</v>
      </c>
      <c r="C223" s="0" t="n">
        <v>120</v>
      </c>
      <c r="D223" s="0" t="n">
        <v>2</v>
      </c>
      <c r="E223" s="0" t="n">
        <v>30</v>
      </c>
      <c r="F223" s="0" t="n">
        <v>2</v>
      </c>
    </row>
    <row r="224" customFormat="false" ht="15" hidden="false" customHeight="false" outlineLevel="0" collapsed="false">
      <c r="A224" s="0" t="s">
        <v>249</v>
      </c>
      <c r="B224" s="0" t="s">
        <v>255</v>
      </c>
      <c r="C224" s="0" t="n">
        <v>108</v>
      </c>
      <c r="D224" s="0" t="n">
        <v>2</v>
      </c>
      <c r="E224" s="0" t="n">
        <v>42</v>
      </c>
      <c r="F224" s="0" t="n">
        <v>2</v>
      </c>
    </row>
    <row r="225" customFormat="false" ht="15" hidden="false" customHeight="false" outlineLevel="0" collapsed="false">
      <c r="A225" s="0" t="s">
        <v>249</v>
      </c>
      <c r="B225" s="0" t="s">
        <v>256</v>
      </c>
      <c r="C225" s="0" t="n">
        <v>96</v>
      </c>
      <c r="D225" s="0" t="n">
        <v>2</v>
      </c>
      <c r="E225" s="0" t="n">
        <v>54</v>
      </c>
      <c r="F225" s="0" t="n">
        <v>2</v>
      </c>
    </row>
    <row r="226" customFormat="false" ht="15" hidden="false" customHeight="false" outlineLevel="0" collapsed="false">
      <c r="A226" s="0" t="s">
        <v>249</v>
      </c>
      <c r="B226" s="0" t="s">
        <v>257</v>
      </c>
      <c r="C226" s="0" t="n">
        <v>12</v>
      </c>
      <c r="D226" s="0" t="n">
        <v>1</v>
      </c>
      <c r="E226" s="0" t="n">
        <v>63</v>
      </c>
      <c r="F226" s="0" t="n">
        <v>1</v>
      </c>
    </row>
    <row r="227" customFormat="false" ht="15" hidden="false" customHeight="false" outlineLevel="0" collapsed="false">
      <c r="A227" s="0" t="s">
        <v>249</v>
      </c>
      <c r="B227" s="0" t="s">
        <v>258</v>
      </c>
      <c r="C227" s="0" t="n">
        <v>84</v>
      </c>
      <c r="D227" s="0" t="n">
        <v>2</v>
      </c>
      <c r="E227" s="0" t="n">
        <v>66</v>
      </c>
      <c r="F227" s="0" t="n">
        <v>2</v>
      </c>
    </row>
    <row r="228" customFormat="false" ht="15" hidden="false" customHeight="false" outlineLevel="0" collapsed="false">
      <c r="A228" s="0" t="s">
        <v>249</v>
      </c>
      <c r="B228" s="0" t="s">
        <v>259</v>
      </c>
      <c r="C228" s="0" t="n">
        <v>42</v>
      </c>
      <c r="D228" s="0" t="n">
        <v>1</v>
      </c>
      <c r="E228" s="0" t="n">
        <v>33</v>
      </c>
      <c r="F228" s="0" t="n">
        <v>1</v>
      </c>
    </row>
    <row r="229" customFormat="false" ht="15" hidden="false" customHeight="false" outlineLevel="0" collapsed="false">
      <c r="A229" s="0" t="s">
        <v>249</v>
      </c>
      <c r="B229" s="0" t="s">
        <v>260</v>
      </c>
      <c r="C229" s="0" t="n">
        <v>30</v>
      </c>
      <c r="D229" s="0" t="n">
        <v>1</v>
      </c>
      <c r="E229" s="0" t="n">
        <v>45</v>
      </c>
      <c r="F229" s="0" t="n">
        <v>1</v>
      </c>
    </row>
    <row r="230" customFormat="false" ht="15" hidden="false" customHeight="false" outlineLevel="0" collapsed="false">
      <c r="A230" s="0" t="s">
        <v>249</v>
      </c>
      <c r="B230" s="0" t="s">
        <v>261</v>
      </c>
      <c r="C230" s="0" t="n">
        <v>48</v>
      </c>
      <c r="D230" s="0" t="n">
        <v>1</v>
      </c>
      <c r="E230" s="0" t="n">
        <v>27</v>
      </c>
      <c r="F230" s="0" t="n">
        <v>1</v>
      </c>
    </row>
    <row r="231" customFormat="false" ht="15" hidden="false" customHeight="false" outlineLevel="0" collapsed="false">
      <c r="A231" s="0" t="s">
        <v>249</v>
      </c>
      <c r="B231" s="0" t="s">
        <v>262</v>
      </c>
      <c r="C231" s="0" t="n">
        <v>60</v>
      </c>
      <c r="D231" s="0" t="n">
        <v>1</v>
      </c>
      <c r="E231" s="0" t="n">
        <v>15</v>
      </c>
      <c r="F231" s="0" t="n">
        <v>1</v>
      </c>
    </row>
    <row r="232" customFormat="false" ht="15" hidden="false" customHeight="false" outlineLevel="0" collapsed="false">
      <c r="A232" s="0" t="s">
        <v>249</v>
      </c>
      <c r="B232" s="0" t="s">
        <v>263</v>
      </c>
      <c r="C232" s="0" t="n">
        <v>24</v>
      </c>
      <c r="D232" s="0" t="n">
        <v>1</v>
      </c>
      <c r="E232" s="0" t="n">
        <v>51</v>
      </c>
      <c r="F232" s="0" t="n">
        <v>1</v>
      </c>
    </row>
    <row r="233" customFormat="false" ht="15" hidden="false" customHeight="false" outlineLevel="0" collapsed="false">
      <c r="A233" s="0" t="s">
        <v>249</v>
      </c>
      <c r="B233" s="0" t="s">
        <v>264</v>
      </c>
      <c r="C233" s="0" t="n">
        <v>30</v>
      </c>
      <c r="D233" s="0" t="n">
        <v>1</v>
      </c>
      <c r="E233" s="0" t="n">
        <v>45</v>
      </c>
      <c r="F233" s="0" t="n">
        <v>1</v>
      </c>
    </row>
    <row r="234" customFormat="false" ht="15" hidden="false" customHeight="false" outlineLevel="0" collapsed="false">
      <c r="A234" s="0" t="s">
        <v>249</v>
      </c>
      <c r="B234" s="0" t="s">
        <v>265</v>
      </c>
      <c r="C234" s="0" t="n">
        <v>72</v>
      </c>
      <c r="D234" s="0" t="n">
        <v>1</v>
      </c>
      <c r="E234" s="0" t="n">
        <v>3</v>
      </c>
      <c r="F234" s="0" t="n">
        <v>2</v>
      </c>
    </row>
    <row r="235" customFormat="false" ht="15" hidden="false" customHeight="false" outlineLevel="0" collapsed="false">
      <c r="A235" s="0" t="s">
        <v>249</v>
      </c>
      <c r="B235" s="0" t="s">
        <v>266</v>
      </c>
      <c r="C235" s="0" t="n">
        <v>72</v>
      </c>
      <c r="D235" s="0" t="n">
        <v>1</v>
      </c>
      <c r="E235" s="0" t="n">
        <v>3</v>
      </c>
      <c r="F235" s="0" t="n">
        <v>2</v>
      </c>
    </row>
    <row r="236" customFormat="false" ht="15" hidden="false" customHeight="false" outlineLevel="0" collapsed="false">
      <c r="A236" s="0" t="s">
        <v>249</v>
      </c>
      <c r="B236" s="0" t="s">
        <v>267</v>
      </c>
      <c r="C236" s="0" t="n">
        <v>90</v>
      </c>
      <c r="D236" s="0" t="n">
        <v>2</v>
      </c>
      <c r="E236" s="0" t="n">
        <v>60</v>
      </c>
      <c r="F236" s="0" t="n">
        <v>2</v>
      </c>
    </row>
    <row r="237" customFormat="false" ht="15" hidden="false" customHeight="false" outlineLevel="0" collapsed="false">
      <c r="A237" s="0" t="s">
        <v>249</v>
      </c>
      <c r="B237" s="0" t="s">
        <v>268</v>
      </c>
      <c r="C237" s="0" t="n">
        <v>114</v>
      </c>
      <c r="D237" s="0" t="n">
        <v>2</v>
      </c>
      <c r="E237" s="0" t="n">
        <v>36</v>
      </c>
      <c r="F237" s="0" t="n">
        <v>2</v>
      </c>
    </row>
    <row r="238" customFormat="false" ht="15" hidden="false" customHeight="false" outlineLevel="0" collapsed="false">
      <c r="A238" s="0" t="s">
        <v>249</v>
      </c>
      <c r="B238" s="0" t="s">
        <v>269</v>
      </c>
      <c r="C238" s="0" t="n">
        <v>84</v>
      </c>
      <c r="D238" s="0" t="n">
        <v>2</v>
      </c>
      <c r="E238" s="0" t="n">
        <v>66</v>
      </c>
      <c r="F238" s="0" t="n">
        <v>2</v>
      </c>
    </row>
    <row r="239" customFormat="false" ht="15" hidden="false" customHeight="false" outlineLevel="0" collapsed="false">
      <c r="A239" s="0" t="s">
        <v>249</v>
      </c>
      <c r="B239" s="0" t="s">
        <v>270</v>
      </c>
      <c r="C239" s="0" t="n">
        <v>54</v>
      </c>
      <c r="D239" s="0" t="n">
        <v>1</v>
      </c>
      <c r="E239" s="0" t="n">
        <v>21</v>
      </c>
      <c r="F239" s="0" t="n">
        <v>1</v>
      </c>
    </row>
    <row r="240" customFormat="false" ht="15" hidden="false" customHeight="false" outlineLevel="0" collapsed="false">
      <c r="A240" s="0" t="s">
        <v>249</v>
      </c>
      <c r="B240" s="0" t="s">
        <v>271</v>
      </c>
      <c r="C240" s="0" t="n">
        <v>24</v>
      </c>
      <c r="D240" s="0" t="n">
        <v>1</v>
      </c>
      <c r="E240" s="0" t="n">
        <v>51</v>
      </c>
      <c r="F240" s="0" t="n">
        <v>1</v>
      </c>
    </row>
    <row r="241" customFormat="false" ht="15" hidden="false" customHeight="false" outlineLevel="0" collapsed="false">
      <c r="A241" s="0" t="s">
        <v>249</v>
      </c>
      <c r="B241" s="0" t="s">
        <v>272</v>
      </c>
      <c r="C241" s="0" t="n">
        <v>78</v>
      </c>
      <c r="D241" s="0" t="n">
        <v>2</v>
      </c>
      <c r="E241" s="0" t="n">
        <v>72</v>
      </c>
      <c r="F241" s="0" t="n">
        <v>2</v>
      </c>
    </row>
    <row r="242" customFormat="false" ht="15" hidden="false" customHeight="false" outlineLevel="0" collapsed="false">
      <c r="A242" s="0" t="s">
        <v>249</v>
      </c>
      <c r="B242" s="0" t="s">
        <v>273</v>
      </c>
      <c r="C242" s="0" t="n">
        <v>102</v>
      </c>
      <c r="D242" s="0" t="n">
        <v>2</v>
      </c>
      <c r="E242" s="0" t="n">
        <v>48</v>
      </c>
      <c r="F242" s="0" t="n">
        <v>2</v>
      </c>
    </row>
    <row r="243" customFormat="false" ht="15" hidden="false" customHeight="false" outlineLevel="0" collapsed="false">
      <c r="A243" s="0" t="s">
        <v>249</v>
      </c>
      <c r="B243" s="0" t="s">
        <v>274</v>
      </c>
      <c r="C243" s="0" t="n">
        <v>30</v>
      </c>
      <c r="D243" s="0" t="n">
        <v>1</v>
      </c>
      <c r="E243" s="0" t="n">
        <v>45</v>
      </c>
      <c r="F243" s="0" t="n">
        <v>1</v>
      </c>
    </row>
    <row r="244" customFormat="false" ht="15" hidden="false" customHeight="false" outlineLevel="0" collapsed="false">
      <c r="A244" s="0" t="s">
        <v>249</v>
      </c>
      <c r="B244" s="0" t="s">
        <v>275</v>
      </c>
      <c r="C244" s="0" t="n">
        <v>60</v>
      </c>
      <c r="D244" s="0" t="n">
        <v>1</v>
      </c>
      <c r="E244" s="0" t="n">
        <v>15</v>
      </c>
      <c r="F244" s="0" t="n">
        <v>1</v>
      </c>
    </row>
    <row r="245" customFormat="false" ht="15" hidden="false" customHeight="false" outlineLevel="0" collapsed="false">
      <c r="A245" s="0" t="s">
        <v>249</v>
      </c>
      <c r="B245" s="0" t="s">
        <v>276</v>
      </c>
      <c r="C245" s="0" t="n">
        <v>48</v>
      </c>
      <c r="D245" s="0" t="n">
        <v>1</v>
      </c>
      <c r="E245" s="0" t="n">
        <v>27</v>
      </c>
      <c r="F245" s="0" t="n">
        <v>1</v>
      </c>
    </row>
    <row r="246" customFormat="false" ht="15" hidden="false" customHeight="false" outlineLevel="0" collapsed="false">
      <c r="A246" s="0" t="s">
        <v>249</v>
      </c>
      <c r="B246" s="0" t="s">
        <v>277</v>
      </c>
      <c r="C246" s="0" t="n">
        <v>48</v>
      </c>
      <c r="D246" s="0" t="n">
        <v>1</v>
      </c>
      <c r="E246" s="0" t="n">
        <v>27</v>
      </c>
      <c r="F246" s="0" t="n">
        <v>1</v>
      </c>
    </row>
    <row r="247" customFormat="false" ht="15" hidden="false" customHeight="false" outlineLevel="0" collapsed="false">
      <c r="A247" s="0" t="s">
        <v>249</v>
      </c>
      <c r="B247" s="0" t="s">
        <v>278</v>
      </c>
      <c r="C247" s="0" t="n">
        <v>120</v>
      </c>
      <c r="D247" s="0" t="n">
        <v>2</v>
      </c>
      <c r="E247" s="0" t="n">
        <v>30</v>
      </c>
      <c r="F247" s="0" t="n">
        <v>2</v>
      </c>
    </row>
    <row r="248" customFormat="false" ht="15" hidden="false" customHeight="false" outlineLevel="0" collapsed="false">
      <c r="A248" s="0" t="s">
        <v>249</v>
      </c>
      <c r="B248" s="0" t="s">
        <v>279</v>
      </c>
      <c r="C248" s="0" t="n">
        <v>66</v>
      </c>
      <c r="D248" s="0" t="n">
        <v>1</v>
      </c>
      <c r="E248" s="0" t="n">
        <v>9</v>
      </c>
      <c r="F248" s="0" t="n">
        <v>2</v>
      </c>
    </row>
    <row r="249" customFormat="false" ht="15" hidden="false" customHeight="false" outlineLevel="0" collapsed="false">
      <c r="A249" s="0" t="s">
        <v>249</v>
      </c>
      <c r="B249" s="0" t="s">
        <v>280</v>
      </c>
      <c r="C249" s="0" t="n">
        <v>54</v>
      </c>
      <c r="D249" s="0" t="n">
        <v>1</v>
      </c>
      <c r="E249" s="0" t="n">
        <v>21</v>
      </c>
      <c r="F249" s="0" t="n">
        <v>1</v>
      </c>
    </row>
    <row r="250" customFormat="false" ht="15" hidden="false" customHeight="false" outlineLevel="0" collapsed="false">
      <c r="A250" s="0" t="s">
        <v>249</v>
      </c>
      <c r="B250" s="0" t="s">
        <v>281</v>
      </c>
      <c r="C250" s="0" t="n">
        <v>90</v>
      </c>
      <c r="D250" s="0" t="n">
        <v>2</v>
      </c>
      <c r="E250" s="0" t="n">
        <v>60</v>
      </c>
      <c r="F250" s="0" t="n">
        <v>2</v>
      </c>
    </row>
    <row r="251" customFormat="false" ht="15" hidden="false" customHeight="false" outlineLevel="0" collapsed="false">
      <c r="A251" s="0" t="s">
        <v>249</v>
      </c>
      <c r="B251" s="0" t="s">
        <v>282</v>
      </c>
      <c r="C251" s="0" t="n">
        <v>72</v>
      </c>
      <c r="D251" s="0" t="n">
        <v>1</v>
      </c>
      <c r="E251" s="0" t="n">
        <v>3</v>
      </c>
      <c r="F251" s="0" t="n">
        <v>2</v>
      </c>
    </row>
    <row r="252" customFormat="false" ht="15" hidden="false" customHeight="false" outlineLevel="0" collapsed="false">
      <c r="A252" s="0" t="s">
        <v>249</v>
      </c>
      <c r="B252" s="0" t="s">
        <v>283</v>
      </c>
      <c r="C252" s="0" t="n">
        <v>72</v>
      </c>
      <c r="D252" s="0" t="n">
        <v>1</v>
      </c>
      <c r="E252" s="0" t="n">
        <v>3</v>
      </c>
      <c r="F252" s="0" t="n">
        <v>2</v>
      </c>
    </row>
    <row r="253" customFormat="false" ht="15" hidden="false" customHeight="false" outlineLevel="0" collapsed="false">
      <c r="A253" s="0" t="s">
        <v>249</v>
      </c>
      <c r="B253" s="0" t="s">
        <v>284</v>
      </c>
      <c r="C253" s="0" t="n">
        <v>90</v>
      </c>
      <c r="D253" s="0" t="n">
        <v>2</v>
      </c>
      <c r="E253" s="0" t="n">
        <v>60</v>
      </c>
      <c r="F253" s="0" t="n">
        <v>2</v>
      </c>
    </row>
    <row r="254" customFormat="false" ht="15" hidden="false" customHeight="false" outlineLevel="0" collapsed="false">
      <c r="A254" s="0" t="s">
        <v>249</v>
      </c>
      <c r="B254" s="0" t="s">
        <v>285</v>
      </c>
      <c r="C254" s="0" t="n">
        <v>42</v>
      </c>
      <c r="D254" s="0" t="n">
        <v>1</v>
      </c>
      <c r="E254" s="0" t="n">
        <v>33</v>
      </c>
      <c r="F254" s="0" t="n">
        <v>1</v>
      </c>
    </row>
    <row r="255" customFormat="false" ht="15" hidden="false" customHeight="false" outlineLevel="0" collapsed="false">
      <c r="A255" s="0" t="s">
        <v>249</v>
      </c>
      <c r="B255" s="0" t="s">
        <v>286</v>
      </c>
      <c r="C255" s="0" t="n">
        <v>126</v>
      </c>
      <c r="D255" s="0" t="n">
        <v>2</v>
      </c>
      <c r="E255" s="0" t="n">
        <v>24</v>
      </c>
      <c r="F255" s="0" t="n">
        <v>3</v>
      </c>
    </row>
    <row r="256" customFormat="false" ht="15" hidden="false" customHeight="false" outlineLevel="0" collapsed="false">
      <c r="A256" s="0" t="s">
        <v>249</v>
      </c>
      <c r="B256" s="0" t="s">
        <v>287</v>
      </c>
      <c r="C256" s="0" t="n">
        <v>54</v>
      </c>
      <c r="D256" s="0" t="n">
        <v>1</v>
      </c>
      <c r="E256" s="0" t="n">
        <v>21</v>
      </c>
      <c r="F256" s="0" t="n">
        <v>1</v>
      </c>
    </row>
    <row r="257" customFormat="false" ht="15" hidden="false" customHeight="false" outlineLevel="0" collapsed="false">
      <c r="A257" s="0" t="s">
        <v>249</v>
      </c>
      <c r="B257" s="0" t="s">
        <v>288</v>
      </c>
      <c r="C257" s="0" t="n">
        <v>30</v>
      </c>
      <c r="D257" s="0" t="n">
        <v>1</v>
      </c>
      <c r="E257" s="0" t="n">
        <v>45</v>
      </c>
      <c r="F257" s="0" t="n">
        <v>1</v>
      </c>
    </row>
    <row r="258" customFormat="false" ht="15" hidden="false" customHeight="false" outlineLevel="0" collapsed="false">
      <c r="A258" s="0" t="s">
        <v>249</v>
      </c>
      <c r="B258" s="0" t="s">
        <v>289</v>
      </c>
      <c r="C258" s="0" t="n">
        <v>66</v>
      </c>
      <c r="D258" s="0" t="n">
        <v>1</v>
      </c>
      <c r="E258" s="0" t="n">
        <v>9</v>
      </c>
      <c r="F258" s="0" t="n">
        <v>2</v>
      </c>
    </row>
    <row r="259" customFormat="false" ht="15" hidden="false" customHeight="false" outlineLevel="0" collapsed="false">
      <c r="A259" s="0" t="s">
        <v>249</v>
      </c>
      <c r="B259" s="0" t="s">
        <v>290</v>
      </c>
      <c r="C259" s="0" t="n">
        <v>36</v>
      </c>
      <c r="D259" s="0" t="n">
        <v>1</v>
      </c>
      <c r="E259" s="0" t="n">
        <v>39</v>
      </c>
      <c r="F259" s="0" t="n">
        <v>1</v>
      </c>
    </row>
    <row r="260" customFormat="false" ht="15" hidden="false" customHeight="false" outlineLevel="0" collapsed="false">
      <c r="A260" s="0" t="s">
        <v>249</v>
      </c>
      <c r="B260" s="0" t="s">
        <v>291</v>
      </c>
      <c r="C260" s="0" t="n">
        <v>84</v>
      </c>
      <c r="D260" s="0" t="n">
        <v>2</v>
      </c>
      <c r="E260" s="0" t="n">
        <v>66</v>
      </c>
      <c r="F260" s="0" t="n">
        <v>2</v>
      </c>
    </row>
    <row r="261" customFormat="false" ht="15" hidden="false" customHeight="false" outlineLevel="0" collapsed="false">
      <c r="A261" s="0" t="s">
        <v>249</v>
      </c>
      <c r="B261" s="0" t="s">
        <v>292</v>
      </c>
      <c r="C261" s="0" t="n">
        <v>36</v>
      </c>
      <c r="D261" s="0" t="n">
        <v>1</v>
      </c>
      <c r="E261" s="0" t="n">
        <v>39</v>
      </c>
      <c r="F261" s="0" t="n">
        <v>1</v>
      </c>
    </row>
    <row r="262" customFormat="false" ht="15" hidden="false" customHeight="false" outlineLevel="0" collapsed="false">
      <c r="A262" s="0" t="s">
        <v>249</v>
      </c>
      <c r="B262" s="0" t="s">
        <v>293</v>
      </c>
      <c r="C262" s="0" t="n">
        <v>18</v>
      </c>
      <c r="D262" s="0" t="n">
        <v>1</v>
      </c>
      <c r="E262" s="0" t="n">
        <v>57</v>
      </c>
      <c r="F262" s="0" t="n">
        <v>1</v>
      </c>
    </row>
    <row r="263" customFormat="false" ht="15" hidden="false" customHeight="false" outlineLevel="0" collapsed="false">
      <c r="A263" s="0" t="s">
        <v>249</v>
      </c>
      <c r="B263" s="0" t="s">
        <v>294</v>
      </c>
      <c r="C263" s="0" t="n">
        <v>84</v>
      </c>
      <c r="D263" s="0" t="n">
        <v>2</v>
      </c>
      <c r="E263" s="0" t="n">
        <v>66</v>
      </c>
      <c r="F263" s="0" t="n">
        <v>2</v>
      </c>
    </row>
    <row r="264" customFormat="false" ht="15" hidden="false" customHeight="false" outlineLevel="0" collapsed="false">
      <c r="A264" s="0" t="s">
        <v>249</v>
      </c>
      <c r="B264" s="0" t="s">
        <v>295</v>
      </c>
      <c r="C264" s="0" t="n">
        <v>24</v>
      </c>
      <c r="D264" s="0" t="n">
        <v>1</v>
      </c>
      <c r="E264" s="0" t="n">
        <v>51</v>
      </c>
      <c r="F264" s="0" t="n">
        <v>1</v>
      </c>
    </row>
    <row r="265" customFormat="false" ht="15" hidden="false" customHeight="false" outlineLevel="0" collapsed="false">
      <c r="A265" s="0" t="s">
        <v>249</v>
      </c>
      <c r="B265" s="0" t="s">
        <v>296</v>
      </c>
      <c r="C265" s="0" t="n">
        <v>54</v>
      </c>
      <c r="D265" s="0" t="n">
        <v>1</v>
      </c>
      <c r="E265" s="0" t="n">
        <v>21</v>
      </c>
      <c r="F265" s="0" t="n">
        <v>1</v>
      </c>
    </row>
    <row r="266" customFormat="false" ht="15" hidden="false" customHeight="false" outlineLevel="0" collapsed="false">
      <c r="A266" s="0" t="s">
        <v>249</v>
      </c>
      <c r="B266" s="0" t="s">
        <v>297</v>
      </c>
      <c r="C266" s="0" t="n">
        <v>123</v>
      </c>
      <c r="D266" s="0" t="n">
        <v>2</v>
      </c>
      <c r="E266" s="0" t="n">
        <v>27</v>
      </c>
      <c r="F266" s="0" t="n">
        <v>3</v>
      </c>
    </row>
    <row r="267" customFormat="false" ht="15" hidden="false" customHeight="false" outlineLevel="0" collapsed="false">
      <c r="A267" s="0" t="s">
        <v>249</v>
      </c>
      <c r="B267" s="0" t="s">
        <v>298</v>
      </c>
      <c r="C267" s="0" t="n">
        <v>72</v>
      </c>
      <c r="D267" s="0" t="n">
        <v>1</v>
      </c>
      <c r="E267" s="0" t="n">
        <v>3</v>
      </c>
      <c r="F267" s="0" t="n">
        <v>2</v>
      </c>
    </row>
    <row r="268" customFormat="false" ht="15" hidden="false" customHeight="false" outlineLevel="0" collapsed="false">
      <c r="A268" s="0" t="s">
        <v>249</v>
      </c>
      <c r="B268" s="0" t="s">
        <v>299</v>
      </c>
      <c r="C268" s="0" t="n">
        <v>54</v>
      </c>
      <c r="D268" s="0" t="n">
        <v>1</v>
      </c>
      <c r="E268" s="0" t="n">
        <v>21</v>
      </c>
      <c r="F268" s="0" t="n">
        <v>1</v>
      </c>
    </row>
    <row r="269" customFormat="false" ht="15" hidden="false" customHeight="false" outlineLevel="0" collapsed="false">
      <c r="A269" s="0" t="s">
        <v>249</v>
      </c>
      <c r="B269" s="0" t="s">
        <v>300</v>
      </c>
      <c r="C269" s="0" t="n">
        <v>90</v>
      </c>
      <c r="D269" s="0" t="n">
        <v>2</v>
      </c>
      <c r="E269" s="0" t="n">
        <v>60</v>
      </c>
      <c r="F269" s="0" t="n">
        <v>2</v>
      </c>
    </row>
    <row r="270" customFormat="false" ht="15" hidden="false" customHeight="false" outlineLevel="0" collapsed="false">
      <c r="A270" s="0" t="s">
        <v>249</v>
      </c>
      <c r="B270" s="0" t="s">
        <v>301</v>
      </c>
      <c r="C270" s="0" t="n">
        <v>54</v>
      </c>
      <c r="D270" s="0" t="n">
        <v>1</v>
      </c>
      <c r="E270" s="0" t="n">
        <v>21</v>
      </c>
      <c r="F270" s="0" t="n">
        <v>1</v>
      </c>
    </row>
    <row r="271" customFormat="false" ht="15" hidden="false" customHeight="false" outlineLevel="0" collapsed="false">
      <c r="A271" s="0" t="s">
        <v>249</v>
      </c>
      <c r="B271" s="0" t="s">
        <v>302</v>
      </c>
      <c r="C271" s="0" t="n">
        <v>60</v>
      </c>
      <c r="D271" s="0" t="n">
        <v>1</v>
      </c>
      <c r="E271" s="0" t="n">
        <v>15</v>
      </c>
      <c r="F271" s="0" t="n">
        <v>1</v>
      </c>
    </row>
    <row r="272" customFormat="false" ht="15" hidden="false" customHeight="false" outlineLevel="0" collapsed="false">
      <c r="A272" s="0" t="s">
        <v>249</v>
      </c>
      <c r="B272" s="0" t="s">
        <v>303</v>
      </c>
      <c r="C272" s="0" t="n">
        <v>24</v>
      </c>
      <c r="D272" s="0" t="n">
        <v>1</v>
      </c>
      <c r="E272" s="0" t="n">
        <v>51</v>
      </c>
      <c r="F272" s="0" t="n">
        <v>1</v>
      </c>
    </row>
    <row r="273" customFormat="false" ht="15" hidden="false" customHeight="false" outlineLevel="0" collapsed="false">
      <c r="A273" s="0" t="s">
        <v>249</v>
      </c>
      <c r="B273" s="0" t="s">
        <v>304</v>
      </c>
      <c r="C273" s="0" t="n">
        <v>42</v>
      </c>
      <c r="D273" s="0" t="n">
        <v>1</v>
      </c>
      <c r="E273" s="0" t="n">
        <v>33</v>
      </c>
      <c r="F273" s="0" t="n">
        <v>1</v>
      </c>
    </row>
    <row r="274" customFormat="false" ht="15" hidden="false" customHeight="false" outlineLevel="0" collapsed="false">
      <c r="A274" s="0" t="s">
        <v>249</v>
      </c>
      <c r="B274" s="0" t="s">
        <v>305</v>
      </c>
      <c r="C274" s="0" t="n">
        <v>42</v>
      </c>
      <c r="D274" s="0" t="n">
        <v>1</v>
      </c>
      <c r="E274" s="0" t="n">
        <v>33</v>
      </c>
      <c r="F274" s="0" t="n">
        <v>1</v>
      </c>
    </row>
    <row r="275" customFormat="false" ht="15" hidden="false" customHeight="false" outlineLevel="0" collapsed="false">
      <c r="A275" s="0" t="s">
        <v>249</v>
      </c>
      <c r="B275" s="0" t="s">
        <v>306</v>
      </c>
      <c r="C275" s="0" t="n">
        <v>120</v>
      </c>
      <c r="D275" s="0" t="n">
        <v>2</v>
      </c>
      <c r="E275" s="0" t="n">
        <v>30</v>
      </c>
      <c r="F275" s="0" t="n">
        <v>2</v>
      </c>
    </row>
    <row r="276" customFormat="false" ht="15" hidden="false" customHeight="false" outlineLevel="0" collapsed="false">
      <c r="A276" s="0" t="s">
        <v>249</v>
      </c>
      <c r="B276" s="0" t="s">
        <v>307</v>
      </c>
      <c r="C276" s="0" t="n">
        <v>108</v>
      </c>
      <c r="D276" s="0" t="n">
        <v>2</v>
      </c>
      <c r="E276" s="0" t="n">
        <v>42</v>
      </c>
      <c r="F276" s="0" t="n">
        <v>2</v>
      </c>
    </row>
    <row r="277" customFormat="false" ht="15" hidden="false" customHeight="false" outlineLevel="0" collapsed="false">
      <c r="A277" s="0" t="s">
        <v>249</v>
      </c>
      <c r="B277" s="0" t="s">
        <v>308</v>
      </c>
      <c r="C277" s="0" t="n">
        <v>72</v>
      </c>
      <c r="D277" s="0" t="n">
        <v>1</v>
      </c>
      <c r="E277" s="0" t="n">
        <v>3</v>
      </c>
      <c r="F277" s="0" t="n">
        <v>2</v>
      </c>
    </row>
    <row r="278" customFormat="false" ht="15" hidden="false" customHeight="false" outlineLevel="0" collapsed="false">
      <c r="A278" s="0" t="s">
        <v>249</v>
      </c>
      <c r="B278" s="0" t="s">
        <v>309</v>
      </c>
      <c r="C278" s="0" t="n">
        <v>174</v>
      </c>
      <c r="D278" s="0" t="n">
        <v>3</v>
      </c>
      <c r="E278" s="0" t="n">
        <v>51</v>
      </c>
      <c r="F278" s="0" t="n">
        <v>3</v>
      </c>
    </row>
    <row r="279" customFormat="false" ht="15" hidden="false" customHeight="false" outlineLevel="0" collapsed="false">
      <c r="A279" s="0" t="s">
        <v>249</v>
      </c>
      <c r="B279" s="0" t="s">
        <v>310</v>
      </c>
      <c r="C279" s="0" t="n">
        <v>48</v>
      </c>
      <c r="D279" s="0" t="n">
        <v>1</v>
      </c>
      <c r="E279" s="0" t="n">
        <v>27</v>
      </c>
      <c r="F279" s="0" t="n">
        <v>1</v>
      </c>
    </row>
    <row r="280" customFormat="false" ht="15" hidden="false" customHeight="false" outlineLevel="0" collapsed="false">
      <c r="A280" s="0" t="s">
        <v>249</v>
      </c>
      <c r="B280" s="0" t="s">
        <v>311</v>
      </c>
      <c r="C280" s="0" t="n">
        <v>48</v>
      </c>
      <c r="D280" s="0" t="n">
        <v>1</v>
      </c>
      <c r="E280" s="0" t="n">
        <v>27</v>
      </c>
      <c r="F280" s="0" t="n">
        <v>1</v>
      </c>
    </row>
    <row r="281" customFormat="false" ht="15" hidden="false" customHeight="false" outlineLevel="0" collapsed="false">
      <c r="A281" s="0" t="s">
        <v>249</v>
      </c>
      <c r="B281" s="0" t="s">
        <v>312</v>
      </c>
      <c r="C281" s="0" t="n">
        <v>96</v>
      </c>
      <c r="D281" s="0" t="n">
        <v>2</v>
      </c>
      <c r="E281" s="0" t="n">
        <v>54</v>
      </c>
      <c r="F281" s="0" t="n">
        <v>2</v>
      </c>
    </row>
    <row r="282" customFormat="false" ht="15" hidden="false" customHeight="false" outlineLevel="0" collapsed="false">
      <c r="A282" s="0" t="s">
        <v>249</v>
      </c>
      <c r="B282" s="0" t="s">
        <v>313</v>
      </c>
      <c r="C282" s="0" t="n">
        <v>72</v>
      </c>
      <c r="D282" s="0" t="n">
        <v>1</v>
      </c>
      <c r="E282" s="0" t="n">
        <v>3</v>
      </c>
      <c r="F282" s="0" t="n">
        <v>2</v>
      </c>
    </row>
    <row r="283" customFormat="false" ht="15" hidden="false" customHeight="false" outlineLevel="0" collapsed="false">
      <c r="A283" s="0" t="s">
        <v>249</v>
      </c>
      <c r="B283" s="0" t="s">
        <v>314</v>
      </c>
      <c r="C283" s="0" t="n">
        <v>90</v>
      </c>
      <c r="D283" s="0" t="n">
        <v>2</v>
      </c>
      <c r="E283" s="0" t="n">
        <v>60</v>
      </c>
      <c r="F283" s="0" t="n">
        <v>2</v>
      </c>
    </row>
    <row r="284" customFormat="false" ht="15" hidden="false" customHeight="false" outlineLevel="0" collapsed="false">
      <c r="A284" s="0" t="s">
        <v>249</v>
      </c>
      <c r="B284" s="0" t="s">
        <v>315</v>
      </c>
      <c r="C284" s="0" t="n">
        <v>78</v>
      </c>
      <c r="D284" s="0" t="n">
        <v>2</v>
      </c>
      <c r="E284" s="0" t="n">
        <v>72</v>
      </c>
      <c r="F284" s="0" t="n">
        <v>2</v>
      </c>
    </row>
    <row r="285" customFormat="false" ht="15" hidden="false" customHeight="false" outlineLevel="0" collapsed="false">
      <c r="A285" s="0" t="s">
        <v>249</v>
      </c>
      <c r="B285" s="0" t="s">
        <v>316</v>
      </c>
      <c r="C285" s="0" t="n">
        <v>144</v>
      </c>
      <c r="D285" s="0" t="n">
        <v>2</v>
      </c>
      <c r="E285" s="0" t="n">
        <v>6</v>
      </c>
      <c r="F285" s="0" t="n">
        <v>3</v>
      </c>
    </row>
    <row r="286" customFormat="false" ht="15" hidden="false" customHeight="false" outlineLevel="0" collapsed="false">
      <c r="A286" s="0" t="s">
        <v>249</v>
      </c>
      <c r="B286" s="0" t="s">
        <v>317</v>
      </c>
      <c r="C286" s="0" t="n">
        <v>54</v>
      </c>
      <c r="D286" s="0" t="n">
        <v>1</v>
      </c>
      <c r="E286" s="0" t="n">
        <v>21</v>
      </c>
      <c r="F286" s="0" t="n">
        <v>1</v>
      </c>
    </row>
    <row r="287" customFormat="false" ht="15" hidden="false" customHeight="false" outlineLevel="0" collapsed="false">
      <c r="A287" s="0" t="s">
        <v>249</v>
      </c>
      <c r="B287" s="0" t="s">
        <v>318</v>
      </c>
      <c r="C287" s="0" t="n">
        <v>120</v>
      </c>
      <c r="D287" s="0" t="n">
        <v>2</v>
      </c>
      <c r="E287" s="0" t="n">
        <v>30</v>
      </c>
      <c r="F287" s="0" t="n">
        <v>2</v>
      </c>
    </row>
    <row r="288" customFormat="false" ht="15" hidden="false" customHeight="false" outlineLevel="0" collapsed="false">
      <c r="A288" s="0" t="s">
        <v>249</v>
      </c>
      <c r="B288" s="0" t="s">
        <v>319</v>
      </c>
      <c r="C288" s="0" t="n">
        <v>126</v>
      </c>
      <c r="D288" s="0" t="n">
        <v>2</v>
      </c>
      <c r="E288" s="0" t="n">
        <v>24</v>
      </c>
      <c r="F288" s="0" t="n">
        <v>3</v>
      </c>
    </row>
    <row r="289" customFormat="false" ht="15" hidden="false" customHeight="false" outlineLevel="0" collapsed="false">
      <c r="A289" s="0" t="s">
        <v>249</v>
      </c>
      <c r="B289" s="0" t="s">
        <v>320</v>
      </c>
      <c r="C289" s="0" t="n">
        <v>60</v>
      </c>
      <c r="D289" s="0" t="n">
        <v>1</v>
      </c>
      <c r="E289" s="0" t="n">
        <v>15</v>
      </c>
      <c r="F289" s="0" t="n">
        <v>1</v>
      </c>
    </row>
    <row r="290" customFormat="false" ht="15" hidden="false" customHeight="false" outlineLevel="0" collapsed="false">
      <c r="A290" s="0" t="s">
        <v>249</v>
      </c>
      <c r="B290" s="0" t="s">
        <v>321</v>
      </c>
      <c r="C290" s="0" t="n">
        <v>84</v>
      </c>
      <c r="D290" s="0" t="n">
        <v>2</v>
      </c>
      <c r="E290" s="0" t="n">
        <v>66</v>
      </c>
      <c r="F290" s="0" t="n">
        <v>2</v>
      </c>
    </row>
    <row r="291" customFormat="false" ht="15" hidden="false" customHeight="false" outlineLevel="0" collapsed="false">
      <c r="A291" s="0" t="s">
        <v>249</v>
      </c>
      <c r="B291" s="0" t="s">
        <v>322</v>
      </c>
      <c r="C291" s="0" t="n">
        <v>108</v>
      </c>
      <c r="D291" s="0" t="n">
        <v>2</v>
      </c>
      <c r="E291" s="0" t="n">
        <v>42</v>
      </c>
      <c r="F291" s="0" t="n">
        <v>2</v>
      </c>
    </row>
    <row r="292" customFormat="false" ht="15" hidden="false" customHeight="false" outlineLevel="0" collapsed="false">
      <c r="A292" s="0" t="s">
        <v>249</v>
      </c>
      <c r="B292" s="0" t="s">
        <v>323</v>
      </c>
      <c r="C292" s="0" t="n">
        <v>150</v>
      </c>
      <c r="D292" s="0" t="n">
        <v>2</v>
      </c>
      <c r="E292" s="0" t="n">
        <v>0</v>
      </c>
      <c r="F292" s="0" t="n">
        <v>3</v>
      </c>
    </row>
    <row r="293" customFormat="false" ht="15" hidden="false" customHeight="false" outlineLevel="0" collapsed="false">
      <c r="A293" s="0" t="s">
        <v>249</v>
      </c>
      <c r="B293" s="0" t="s">
        <v>324</v>
      </c>
      <c r="C293" s="0" t="n">
        <v>138</v>
      </c>
      <c r="D293" s="0" t="n">
        <v>2</v>
      </c>
      <c r="E293" s="0" t="n">
        <v>12</v>
      </c>
      <c r="F293" s="0" t="n">
        <v>3</v>
      </c>
    </row>
    <row r="294" customFormat="false" ht="15" hidden="false" customHeight="false" outlineLevel="0" collapsed="false">
      <c r="A294" s="0" t="s">
        <v>249</v>
      </c>
      <c r="B294" s="0" t="s">
        <v>325</v>
      </c>
      <c r="C294" s="0" t="n">
        <v>150</v>
      </c>
      <c r="D294" s="0" t="n">
        <v>2</v>
      </c>
      <c r="E294" s="0" t="n">
        <v>0</v>
      </c>
      <c r="F294" s="0" t="n">
        <v>3</v>
      </c>
    </row>
    <row r="295" customFormat="false" ht="15" hidden="false" customHeight="false" outlineLevel="0" collapsed="false">
      <c r="A295" s="0" t="s">
        <v>249</v>
      </c>
      <c r="B295" s="0" t="s">
        <v>326</v>
      </c>
      <c r="C295" s="0" t="n">
        <v>162</v>
      </c>
      <c r="D295" s="0" t="n">
        <v>3</v>
      </c>
      <c r="E295" s="0" t="n">
        <v>63</v>
      </c>
      <c r="F295" s="0" t="n">
        <v>3</v>
      </c>
    </row>
    <row r="296" customFormat="false" ht="15" hidden="false" customHeight="false" outlineLevel="0" collapsed="false">
      <c r="A296" s="0" t="s">
        <v>249</v>
      </c>
      <c r="B296" s="0" t="s">
        <v>327</v>
      </c>
      <c r="C296" s="0" t="n">
        <v>168</v>
      </c>
      <c r="D296" s="0" t="n">
        <v>3</v>
      </c>
      <c r="E296" s="0" t="n">
        <v>57</v>
      </c>
      <c r="F296" s="0" t="n">
        <v>3</v>
      </c>
    </row>
    <row r="297" customFormat="false" ht="15" hidden="false" customHeight="false" outlineLevel="0" collapsed="false">
      <c r="A297" s="0" t="s">
        <v>249</v>
      </c>
      <c r="B297" s="0" t="s">
        <v>328</v>
      </c>
      <c r="C297" s="0" t="n">
        <v>78</v>
      </c>
      <c r="D297" s="0" t="n">
        <v>2</v>
      </c>
      <c r="E297" s="0" t="n">
        <v>72</v>
      </c>
      <c r="F297" s="0" t="n">
        <v>2</v>
      </c>
    </row>
    <row r="298" customFormat="false" ht="15" hidden="false" customHeight="false" outlineLevel="0" collapsed="false">
      <c r="A298" s="0" t="s">
        <v>249</v>
      </c>
      <c r="B298" s="0" t="s">
        <v>329</v>
      </c>
      <c r="C298" s="0" t="n">
        <v>24</v>
      </c>
      <c r="D298" s="0" t="n">
        <v>1</v>
      </c>
      <c r="E298" s="0" t="n">
        <v>51</v>
      </c>
      <c r="F298" s="0" t="n">
        <v>1</v>
      </c>
    </row>
    <row r="299" customFormat="false" ht="15" hidden="false" customHeight="false" outlineLevel="0" collapsed="false">
      <c r="A299" s="0" t="s">
        <v>249</v>
      </c>
      <c r="B299" s="0" t="s">
        <v>330</v>
      </c>
      <c r="C299" s="0" t="n">
        <v>90</v>
      </c>
      <c r="D299" s="0" t="n">
        <v>2</v>
      </c>
      <c r="E299" s="0" t="n">
        <v>60</v>
      </c>
      <c r="F299" s="0" t="n">
        <v>2</v>
      </c>
    </row>
    <row r="300" customFormat="false" ht="15" hidden="false" customHeight="false" outlineLevel="0" collapsed="false">
      <c r="A300" s="0" t="s">
        <v>249</v>
      </c>
      <c r="B300" s="0" t="s">
        <v>331</v>
      </c>
      <c r="C300" s="0" t="n">
        <v>102</v>
      </c>
      <c r="D300" s="0" t="n">
        <v>2</v>
      </c>
      <c r="E300" s="0" t="n">
        <v>48</v>
      </c>
      <c r="F300" s="0" t="n">
        <v>2</v>
      </c>
    </row>
    <row r="301" customFormat="false" ht="15" hidden="false" customHeight="false" outlineLevel="0" collapsed="false">
      <c r="A301" s="0" t="s">
        <v>249</v>
      </c>
      <c r="B301" s="0" t="s">
        <v>332</v>
      </c>
      <c r="C301" s="0" t="n">
        <v>90</v>
      </c>
      <c r="D301" s="0" t="n">
        <v>2</v>
      </c>
      <c r="E301" s="0" t="n">
        <v>60</v>
      </c>
      <c r="F301" s="0" t="n">
        <v>2</v>
      </c>
    </row>
    <row r="302" customFormat="false" ht="15" hidden="false" customHeight="false" outlineLevel="0" collapsed="false">
      <c r="A302" s="0" t="s">
        <v>249</v>
      </c>
      <c r="B302" s="0" t="s">
        <v>333</v>
      </c>
      <c r="C302" s="0" t="n">
        <v>78</v>
      </c>
      <c r="D302" s="0" t="n">
        <v>2</v>
      </c>
      <c r="E302" s="0" t="n">
        <v>72</v>
      </c>
      <c r="F302" s="0" t="n">
        <v>2</v>
      </c>
    </row>
    <row r="303" customFormat="false" ht="15" hidden="false" customHeight="false" outlineLevel="0" collapsed="false">
      <c r="A303" s="0" t="s">
        <v>249</v>
      </c>
      <c r="B303" s="0" t="s">
        <v>334</v>
      </c>
      <c r="C303" s="0" t="n">
        <v>120</v>
      </c>
      <c r="D303" s="0" t="n">
        <v>2</v>
      </c>
      <c r="E303" s="0" t="n">
        <v>30</v>
      </c>
      <c r="F303" s="0" t="n">
        <v>2</v>
      </c>
    </row>
    <row r="304" customFormat="false" ht="15" hidden="false" customHeight="false" outlineLevel="0" collapsed="false">
      <c r="A304" s="0" t="s">
        <v>249</v>
      </c>
      <c r="B304" s="0" t="s">
        <v>335</v>
      </c>
      <c r="C304" s="0" t="n">
        <v>24</v>
      </c>
      <c r="D304" s="0" t="n">
        <v>1</v>
      </c>
      <c r="E304" s="0" t="n">
        <v>51</v>
      </c>
      <c r="F304" s="0" t="n">
        <v>1</v>
      </c>
    </row>
    <row r="305" customFormat="false" ht="15" hidden="false" customHeight="false" outlineLevel="0" collapsed="false">
      <c r="A305" s="0" t="s">
        <v>249</v>
      </c>
      <c r="B305" s="0" t="s">
        <v>336</v>
      </c>
      <c r="C305" s="0" t="n">
        <v>144</v>
      </c>
      <c r="D305" s="0" t="n">
        <v>2</v>
      </c>
      <c r="E305" s="0" t="n">
        <v>6</v>
      </c>
      <c r="F305" s="0" t="n">
        <v>3</v>
      </c>
    </row>
    <row r="306" customFormat="false" ht="15" hidden="false" customHeight="false" outlineLevel="0" collapsed="false">
      <c r="A306" s="0" t="s">
        <v>249</v>
      </c>
      <c r="B306" s="0" t="s">
        <v>337</v>
      </c>
      <c r="C306" s="0" t="n">
        <v>102</v>
      </c>
      <c r="D306" s="0" t="n">
        <v>2</v>
      </c>
      <c r="E306" s="0" t="n">
        <v>48</v>
      </c>
      <c r="F306" s="0" t="n">
        <v>2</v>
      </c>
    </row>
    <row r="307" customFormat="false" ht="15" hidden="false" customHeight="false" outlineLevel="0" collapsed="false">
      <c r="A307" s="0" t="s">
        <v>249</v>
      </c>
      <c r="B307" s="0" t="s">
        <v>338</v>
      </c>
      <c r="C307" s="0" t="n">
        <v>138</v>
      </c>
      <c r="D307" s="0" t="n">
        <v>2</v>
      </c>
      <c r="E307" s="0" t="n">
        <v>12</v>
      </c>
      <c r="F307" s="0" t="n">
        <v>3</v>
      </c>
    </row>
    <row r="308" customFormat="false" ht="15" hidden="false" customHeight="false" outlineLevel="0" collapsed="false">
      <c r="A308" s="0" t="s">
        <v>249</v>
      </c>
      <c r="B308" s="0" t="s">
        <v>339</v>
      </c>
      <c r="C308" s="0" t="n">
        <v>144</v>
      </c>
      <c r="D308" s="0" t="n">
        <v>2</v>
      </c>
      <c r="E308" s="0" t="n">
        <v>6</v>
      </c>
      <c r="F308" s="0" t="n">
        <v>3</v>
      </c>
    </row>
    <row r="309" customFormat="false" ht="15" hidden="false" customHeight="false" outlineLevel="0" collapsed="false">
      <c r="A309" s="0" t="s">
        <v>249</v>
      </c>
      <c r="B309" s="0" t="s">
        <v>340</v>
      </c>
      <c r="C309" s="0" t="n">
        <v>78</v>
      </c>
      <c r="D309" s="0" t="n">
        <v>2</v>
      </c>
      <c r="E309" s="0" t="n">
        <v>72</v>
      </c>
      <c r="F309" s="0" t="n">
        <v>2</v>
      </c>
    </row>
    <row r="310" customFormat="false" ht="15" hidden="false" customHeight="false" outlineLevel="0" collapsed="false">
      <c r="A310" s="0" t="s">
        <v>249</v>
      </c>
      <c r="B310" s="0" t="s">
        <v>341</v>
      </c>
      <c r="C310" s="0" t="n">
        <v>42</v>
      </c>
      <c r="D310" s="0" t="n">
        <v>1</v>
      </c>
      <c r="E310" s="0" t="n">
        <v>33</v>
      </c>
      <c r="F310" s="0" t="n">
        <v>1</v>
      </c>
    </row>
    <row r="311" customFormat="false" ht="15" hidden="false" customHeight="false" outlineLevel="0" collapsed="false">
      <c r="A311" s="0" t="s">
        <v>249</v>
      </c>
      <c r="B311" s="0" t="s">
        <v>342</v>
      </c>
      <c r="C311" s="0" t="n">
        <v>96</v>
      </c>
      <c r="D311" s="0" t="n">
        <v>2</v>
      </c>
      <c r="E311" s="0" t="n">
        <v>54</v>
      </c>
      <c r="F311" s="0" t="n">
        <v>2</v>
      </c>
    </row>
    <row r="312" customFormat="false" ht="15" hidden="false" customHeight="false" outlineLevel="0" collapsed="false">
      <c r="A312" s="0" t="s">
        <v>249</v>
      </c>
      <c r="B312" s="0" t="s">
        <v>343</v>
      </c>
      <c r="C312" s="0" t="n">
        <v>87</v>
      </c>
      <c r="D312" s="0" t="n">
        <v>2</v>
      </c>
      <c r="E312" s="0" t="n">
        <v>63</v>
      </c>
      <c r="F312" s="0" t="n">
        <v>2</v>
      </c>
    </row>
    <row r="313" customFormat="false" ht="15" hidden="false" customHeight="false" outlineLevel="0" collapsed="false">
      <c r="A313" s="0" t="s">
        <v>249</v>
      </c>
      <c r="B313" s="0" t="s">
        <v>344</v>
      </c>
      <c r="C313" s="0" t="n">
        <v>132</v>
      </c>
      <c r="D313" s="0" t="n">
        <v>2</v>
      </c>
      <c r="E313" s="0" t="n">
        <v>18</v>
      </c>
      <c r="F313" s="0" t="n">
        <v>3</v>
      </c>
    </row>
    <row r="314" customFormat="false" ht="15" hidden="false" customHeight="false" outlineLevel="0" collapsed="false">
      <c r="A314" s="0" t="s">
        <v>249</v>
      </c>
      <c r="B314" s="0" t="s">
        <v>345</v>
      </c>
      <c r="C314" s="0" t="n">
        <v>120</v>
      </c>
      <c r="D314" s="0" t="n">
        <v>2</v>
      </c>
      <c r="E314" s="0" t="n">
        <v>30</v>
      </c>
      <c r="F314" s="0" t="n">
        <v>2</v>
      </c>
    </row>
    <row r="315" customFormat="false" ht="15" hidden="false" customHeight="false" outlineLevel="0" collapsed="false">
      <c r="A315" s="0" t="s">
        <v>249</v>
      </c>
      <c r="B315" s="0" t="s">
        <v>346</v>
      </c>
      <c r="C315" s="0" t="n">
        <v>90</v>
      </c>
      <c r="D315" s="0" t="n">
        <v>2</v>
      </c>
      <c r="E315" s="0" t="n">
        <v>60</v>
      </c>
      <c r="F315" s="0" t="n">
        <v>2</v>
      </c>
    </row>
    <row r="316" customFormat="false" ht="15" hidden="false" customHeight="false" outlineLevel="0" collapsed="false">
      <c r="A316" s="0" t="s">
        <v>249</v>
      </c>
      <c r="B316" s="0" t="s">
        <v>347</v>
      </c>
      <c r="C316" s="0" t="n">
        <v>78</v>
      </c>
      <c r="D316" s="0" t="n">
        <v>2</v>
      </c>
      <c r="E316" s="0" t="n">
        <v>72</v>
      </c>
      <c r="F316" s="0" t="n">
        <v>2</v>
      </c>
    </row>
    <row r="317" customFormat="false" ht="15" hidden="false" customHeight="false" outlineLevel="0" collapsed="false">
      <c r="A317" s="0" t="s">
        <v>249</v>
      </c>
      <c r="B317" s="0" t="s">
        <v>348</v>
      </c>
      <c r="C317" s="0" t="n">
        <v>78</v>
      </c>
      <c r="D317" s="0" t="n">
        <v>2</v>
      </c>
      <c r="E317" s="0" t="n">
        <v>72</v>
      </c>
      <c r="F317" s="0" t="n">
        <v>2</v>
      </c>
    </row>
    <row r="318" customFormat="false" ht="15" hidden="false" customHeight="false" outlineLevel="0" collapsed="false">
      <c r="A318" s="0" t="s">
        <v>249</v>
      </c>
      <c r="B318" s="0" t="s">
        <v>349</v>
      </c>
      <c r="C318" s="0" t="n">
        <v>54</v>
      </c>
      <c r="D318" s="0" t="n">
        <v>1</v>
      </c>
      <c r="E318" s="0" t="n">
        <v>21</v>
      </c>
      <c r="F318" s="0" t="n">
        <v>1</v>
      </c>
    </row>
    <row r="319" customFormat="false" ht="15" hidden="false" customHeight="false" outlineLevel="0" collapsed="false">
      <c r="A319" s="0" t="s">
        <v>249</v>
      </c>
      <c r="B319" s="0" t="s">
        <v>350</v>
      </c>
      <c r="C319" s="0" t="n">
        <v>138</v>
      </c>
      <c r="D319" s="0" t="n">
        <v>2</v>
      </c>
      <c r="E319" s="0" t="n">
        <v>12</v>
      </c>
      <c r="F319" s="0" t="n">
        <v>3</v>
      </c>
    </row>
    <row r="320" customFormat="false" ht="15" hidden="false" customHeight="false" outlineLevel="0" collapsed="false">
      <c r="A320" s="0" t="s">
        <v>249</v>
      </c>
      <c r="B320" s="0" t="s">
        <v>351</v>
      </c>
      <c r="C320" s="0" t="n">
        <v>66</v>
      </c>
      <c r="D320" s="0" t="n">
        <v>1</v>
      </c>
      <c r="E320" s="0" t="n">
        <v>9</v>
      </c>
      <c r="F320" s="0" t="n">
        <v>2</v>
      </c>
    </row>
    <row r="321" customFormat="false" ht="15" hidden="false" customHeight="false" outlineLevel="0" collapsed="false">
      <c r="A321" s="0" t="s">
        <v>249</v>
      </c>
      <c r="B321" s="0" t="s">
        <v>352</v>
      </c>
      <c r="C321" s="0" t="n">
        <v>96</v>
      </c>
      <c r="D321" s="0" t="n">
        <v>2</v>
      </c>
      <c r="E321" s="0" t="n">
        <v>54</v>
      </c>
      <c r="F321" s="0" t="n">
        <v>2</v>
      </c>
    </row>
    <row r="322" customFormat="false" ht="15" hidden="false" customHeight="false" outlineLevel="0" collapsed="false">
      <c r="A322" s="0" t="s">
        <v>249</v>
      </c>
      <c r="B322" s="0" t="s">
        <v>353</v>
      </c>
      <c r="C322" s="0" t="n">
        <v>54</v>
      </c>
      <c r="D322" s="0" t="n">
        <v>1</v>
      </c>
      <c r="E322" s="0" t="n">
        <v>21</v>
      </c>
      <c r="F322" s="0" t="n">
        <v>1</v>
      </c>
    </row>
    <row r="323" customFormat="false" ht="15" hidden="false" customHeight="false" outlineLevel="0" collapsed="false">
      <c r="A323" s="0" t="s">
        <v>249</v>
      </c>
      <c r="B323" s="0" t="s">
        <v>354</v>
      </c>
      <c r="C323" s="0" t="n">
        <v>96</v>
      </c>
      <c r="D323" s="0" t="n">
        <v>2</v>
      </c>
      <c r="E323" s="0" t="n">
        <v>54</v>
      </c>
      <c r="F323" s="0" t="n">
        <v>2</v>
      </c>
    </row>
    <row r="324" customFormat="false" ht="15" hidden="false" customHeight="false" outlineLevel="0" collapsed="false">
      <c r="A324" s="0" t="s">
        <v>249</v>
      </c>
      <c r="B324" s="0" t="s">
        <v>355</v>
      </c>
      <c r="C324" s="0" t="n">
        <v>90</v>
      </c>
      <c r="D324" s="0" t="n">
        <v>2</v>
      </c>
      <c r="E324" s="0" t="n">
        <v>60</v>
      </c>
      <c r="F324" s="0" t="n">
        <v>2</v>
      </c>
    </row>
    <row r="325" customFormat="false" ht="15" hidden="false" customHeight="false" outlineLevel="0" collapsed="false">
      <c r="A325" s="0" t="s">
        <v>249</v>
      </c>
      <c r="B325" s="0" t="s">
        <v>356</v>
      </c>
      <c r="C325" s="0" t="n">
        <v>63</v>
      </c>
      <c r="D325" s="0" t="n">
        <v>1</v>
      </c>
      <c r="E325" s="0" t="n">
        <v>12</v>
      </c>
      <c r="F325" s="0" t="n">
        <v>2</v>
      </c>
    </row>
    <row r="326" customFormat="false" ht="15" hidden="false" customHeight="false" outlineLevel="0" collapsed="false">
      <c r="A326" s="0" t="s">
        <v>249</v>
      </c>
      <c r="B326" s="0" t="s">
        <v>357</v>
      </c>
      <c r="C326" s="0" t="n">
        <v>42</v>
      </c>
      <c r="D326" s="0" t="n">
        <v>1</v>
      </c>
      <c r="E326" s="0" t="n">
        <v>33</v>
      </c>
      <c r="F326" s="0" t="n">
        <v>1</v>
      </c>
    </row>
    <row r="327" customFormat="false" ht="15" hidden="false" customHeight="false" outlineLevel="0" collapsed="false">
      <c r="A327" s="0" t="s">
        <v>249</v>
      </c>
      <c r="B327" s="0" t="s">
        <v>358</v>
      </c>
      <c r="C327" s="0" t="n">
        <v>48</v>
      </c>
      <c r="D327" s="0" t="n">
        <v>1</v>
      </c>
      <c r="E327" s="0" t="n">
        <v>27</v>
      </c>
      <c r="F327" s="0" t="n">
        <v>1</v>
      </c>
    </row>
    <row r="328" customFormat="false" ht="15" hidden="false" customHeight="false" outlineLevel="0" collapsed="false">
      <c r="A328" s="0" t="s">
        <v>249</v>
      </c>
      <c r="B328" s="0" t="s">
        <v>359</v>
      </c>
      <c r="C328" s="0" t="n">
        <v>78</v>
      </c>
      <c r="D328" s="0" t="n">
        <v>2</v>
      </c>
      <c r="E328" s="0" t="n">
        <v>72</v>
      </c>
      <c r="F328" s="0" t="n">
        <v>2</v>
      </c>
    </row>
    <row r="329" customFormat="false" ht="15" hidden="false" customHeight="false" outlineLevel="0" collapsed="false">
      <c r="A329" s="0" t="s">
        <v>249</v>
      </c>
      <c r="B329" s="0" t="s">
        <v>360</v>
      </c>
      <c r="C329" s="0" t="n">
        <v>126</v>
      </c>
      <c r="D329" s="0" t="n">
        <v>2</v>
      </c>
      <c r="E329" s="0" t="n">
        <v>24</v>
      </c>
      <c r="F329" s="0" t="n">
        <v>3</v>
      </c>
    </row>
    <row r="330" customFormat="false" ht="15" hidden="false" customHeight="false" outlineLevel="0" collapsed="false">
      <c r="A330" s="0" t="s">
        <v>249</v>
      </c>
      <c r="B330" s="0" t="s">
        <v>361</v>
      </c>
      <c r="C330" s="0" t="n">
        <v>24</v>
      </c>
      <c r="D330" s="0" t="n">
        <v>1</v>
      </c>
      <c r="E330" s="0" t="n">
        <v>51</v>
      </c>
      <c r="F330" s="0" t="n">
        <v>1</v>
      </c>
    </row>
    <row r="331" customFormat="false" ht="15" hidden="false" customHeight="false" outlineLevel="0" collapsed="false">
      <c r="A331" s="0" t="s">
        <v>249</v>
      </c>
      <c r="B331" s="0" t="s">
        <v>362</v>
      </c>
      <c r="C331" s="0" t="n">
        <v>84</v>
      </c>
      <c r="D331" s="0" t="n">
        <v>2</v>
      </c>
      <c r="E331" s="0" t="n">
        <v>66</v>
      </c>
      <c r="F331" s="0" t="n">
        <v>2</v>
      </c>
    </row>
    <row r="332" customFormat="false" ht="15" hidden="false" customHeight="false" outlineLevel="0" collapsed="false">
      <c r="A332" s="0" t="s">
        <v>249</v>
      </c>
      <c r="B332" s="0" t="s">
        <v>363</v>
      </c>
      <c r="C332" s="0" t="n">
        <v>102</v>
      </c>
      <c r="D332" s="0" t="n">
        <v>2</v>
      </c>
      <c r="E332" s="0" t="n">
        <v>48</v>
      </c>
      <c r="F332" s="0" t="n">
        <v>2</v>
      </c>
    </row>
    <row r="333" customFormat="false" ht="15" hidden="false" customHeight="false" outlineLevel="0" collapsed="false">
      <c r="A333" s="0" t="s">
        <v>249</v>
      </c>
      <c r="B333" s="0" t="s">
        <v>364</v>
      </c>
      <c r="C333" s="0" t="n">
        <v>66</v>
      </c>
      <c r="D333" s="0" t="n">
        <v>1</v>
      </c>
      <c r="E333" s="0" t="n">
        <v>9</v>
      </c>
      <c r="F333" s="0" t="n">
        <v>2</v>
      </c>
    </row>
    <row r="334" customFormat="false" ht="15" hidden="false" customHeight="false" outlineLevel="0" collapsed="false">
      <c r="A334" s="0" t="s">
        <v>249</v>
      </c>
      <c r="B334" s="0" t="s">
        <v>365</v>
      </c>
      <c r="C334" s="0" t="n">
        <v>48</v>
      </c>
      <c r="D334" s="0" t="n">
        <v>1</v>
      </c>
      <c r="E334" s="0" t="n">
        <v>27</v>
      </c>
      <c r="F334" s="0" t="n">
        <v>1</v>
      </c>
    </row>
    <row r="335" customFormat="false" ht="15" hidden="false" customHeight="false" outlineLevel="0" collapsed="false">
      <c r="A335" s="0" t="s">
        <v>249</v>
      </c>
      <c r="B335" s="0" t="s">
        <v>366</v>
      </c>
      <c r="C335" s="0" t="n">
        <v>126</v>
      </c>
      <c r="D335" s="0" t="n">
        <v>2</v>
      </c>
      <c r="E335" s="0" t="n">
        <v>24</v>
      </c>
      <c r="F335" s="0" t="n">
        <v>3</v>
      </c>
    </row>
    <row r="336" customFormat="false" ht="15" hidden="false" customHeight="false" outlineLevel="0" collapsed="false">
      <c r="A336" s="0" t="s">
        <v>249</v>
      </c>
      <c r="B336" s="0" t="s">
        <v>367</v>
      </c>
      <c r="C336" s="0" t="n">
        <v>42</v>
      </c>
      <c r="D336" s="0" t="n">
        <v>1</v>
      </c>
      <c r="E336" s="0" t="n">
        <v>33</v>
      </c>
      <c r="F336" s="0" t="n">
        <v>1</v>
      </c>
    </row>
    <row r="337" customFormat="false" ht="15" hidden="false" customHeight="false" outlineLevel="0" collapsed="false">
      <c r="A337" s="0" t="s">
        <v>249</v>
      </c>
      <c r="B337" s="0" t="s">
        <v>368</v>
      </c>
      <c r="C337" s="0" t="n">
        <v>96</v>
      </c>
      <c r="D337" s="0" t="n">
        <v>2</v>
      </c>
      <c r="E337" s="0" t="n">
        <v>54</v>
      </c>
      <c r="F337" s="0" t="n">
        <v>2</v>
      </c>
    </row>
    <row r="338" customFormat="false" ht="15" hidden="false" customHeight="false" outlineLevel="0" collapsed="false">
      <c r="A338" s="0" t="s">
        <v>249</v>
      </c>
      <c r="B338" s="0" t="s">
        <v>369</v>
      </c>
      <c r="C338" s="0" t="n">
        <v>48</v>
      </c>
      <c r="D338" s="0" t="n">
        <v>1</v>
      </c>
      <c r="E338" s="0" t="n">
        <v>27</v>
      </c>
      <c r="F338" s="0" t="n">
        <v>1</v>
      </c>
    </row>
    <row r="339" customFormat="false" ht="15" hidden="false" customHeight="false" outlineLevel="0" collapsed="false">
      <c r="A339" s="0" t="s">
        <v>249</v>
      </c>
      <c r="B339" s="0" t="s">
        <v>370</v>
      </c>
      <c r="C339" s="0" t="n">
        <v>54</v>
      </c>
      <c r="D339" s="0" t="n">
        <v>1</v>
      </c>
      <c r="E339" s="0" t="n">
        <v>21</v>
      </c>
      <c r="F339" s="0" t="n">
        <v>1</v>
      </c>
    </row>
    <row r="340" customFormat="false" ht="15" hidden="false" customHeight="false" outlineLevel="0" collapsed="false">
      <c r="A340" s="0" t="s">
        <v>249</v>
      </c>
      <c r="B340" s="0" t="s">
        <v>371</v>
      </c>
      <c r="C340" s="0" t="n">
        <v>162</v>
      </c>
      <c r="D340" s="0" t="n">
        <v>3</v>
      </c>
      <c r="E340" s="0" t="n">
        <v>63</v>
      </c>
      <c r="F340" s="0" t="n">
        <v>3</v>
      </c>
    </row>
    <row r="341" customFormat="false" ht="15" hidden="false" customHeight="false" outlineLevel="0" collapsed="false">
      <c r="A341" s="0" t="s">
        <v>249</v>
      </c>
      <c r="B341" s="0" t="s">
        <v>372</v>
      </c>
      <c r="C341" s="0" t="n">
        <v>96</v>
      </c>
      <c r="D341" s="0" t="n">
        <v>2</v>
      </c>
      <c r="E341" s="0" t="n">
        <v>54</v>
      </c>
      <c r="F341" s="0" t="n">
        <v>2</v>
      </c>
    </row>
    <row r="342" customFormat="false" ht="15" hidden="false" customHeight="false" outlineLevel="0" collapsed="false">
      <c r="A342" s="0" t="s">
        <v>249</v>
      </c>
      <c r="B342" s="0" t="s">
        <v>373</v>
      </c>
      <c r="C342" s="0" t="n">
        <v>42</v>
      </c>
      <c r="D342" s="0" t="n">
        <v>1</v>
      </c>
      <c r="E342" s="0" t="n">
        <v>33</v>
      </c>
      <c r="F342" s="0" t="n">
        <v>1</v>
      </c>
    </row>
    <row r="343" customFormat="false" ht="15" hidden="false" customHeight="false" outlineLevel="0" collapsed="false">
      <c r="A343" s="0" t="s">
        <v>249</v>
      </c>
      <c r="B343" s="0" t="s">
        <v>374</v>
      </c>
      <c r="C343" s="0" t="n">
        <v>60</v>
      </c>
      <c r="D343" s="0" t="n">
        <v>1</v>
      </c>
      <c r="E343" s="0" t="n">
        <v>15</v>
      </c>
      <c r="F343" s="0" t="n">
        <v>1</v>
      </c>
    </row>
    <row r="344" customFormat="false" ht="15" hidden="false" customHeight="false" outlineLevel="0" collapsed="false">
      <c r="A344" s="0" t="s">
        <v>249</v>
      </c>
      <c r="B344" s="0" t="s">
        <v>375</v>
      </c>
      <c r="C344" s="0" t="n">
        <v>42</v>
      </c>
      <c r="D344" s="0" t="n">
        <v>1</v>
      </c>
      <c r="E344" s="0" t="n">
        <v>33</v>
      </c>
      <c r="F344" s="0" t="n">
        <v>1</v>
      </c>
    </row>
    <row r="345" customFormat="false" ht="15" hidden="false" customHeight="false" outlineLevel="0" collapsed="false">
      <c r="A345" s="0" t="s">
        <v>249</v>
      </c>
      <c r="B345" s="0" t="s">
        <v>376</v>
      </c>
      <c r="C345" s="0" t="n">
        <v>54</v>
      </c>
      <c r="D345" s="0" t="n">
        <v>1</v>
      </c>
      <c r="E345" s="0" t="n">
        <v>21</v>
      </c>
      <c r="F345" s="0" t="n">
        <v>1</v>
      </c>
    </row>
    <row r="346" customFormat="false" ht="15" hidden="false" customHeight="false" outlineLevel="0" collapsed="false">
      <c r="A346" s="0" t="s">
        <v>249</v>
      </c>
      <c r="B346" s="0" t="s">
        <v>377</v>
      </c>
      <c r="C346" s="0" t="n">
        <v>48</v>
      </c>
      <c r="D346" s="0" t="n">
        <v>1</v>
      </c>
      <c r="E346" s="0" t="n">
        <v>27</v>
      </c>
      <c r="F346" s="0" t="n">
        <v>1</v>
      </c>
    </row>
    <row r="347" customFormat="false" ht="15" hidden="false" customHeight="false" outlineLevel="0" collapsed="false">
      <c r="A347" s="0" t="s">
        <v>249</v>
      </c>
      <c r="B347" s="0" t="s">
        <v>378</v>
      </c>
      <c r="C347" s="0" t="n">
        <v>18</v>
      </c>
      <c r="D347" s="0" t="n">
        <v>1</v>
      </c>
      <c r="E347" s="0" t="n">
        <v>57</v>
      </c>
      <c r="F347" s="0" t="n">
        <v>1</v>
      </c>
    </row>
    <row r="348" customFormat="false" ht="15" hidden="false" customHeight="false" outlineLevel="0" collapsed="false">
      <c r="A348" s="0" t="s">
        <v>249</v>
      </c>
      <c r="B348" s="0" t="s">
        <v>379</v>
      </c>
      <c r="C348" s="0" t="n">
        <v>54</v>
      </c>
      <c r="D348" s="0" t="n">
        <v>1</v>
      </c>
      <c r="E348" s="0" t="n">
        <v>21</v>
      </c>
      <c r="F348" s="0" t="n">
        <v>1</v>
      </c>
    </row>
    <row r="349" customFormat="false" ht="15" hidden="false" customHeight="false" outlineLevel="0" collapsed="false">
      <c r="A349" s="0" t="s">
        <v>249</v>
      </c>
      <c r="B349" s="0" t="s">
        <v>380</v>
      </c>
      <c r="C349" s="0" t="n">
        <v>78</v>
      </c>
      <c r="D349" s="0" t="n">
        <v>2</v>
      </c>
      <c r="E349" s="0" t="n">
        <v>72</v>
      </c>
      <c r="F349" s="0" t="n">
        <v>2</v>
      </c>
    </row>
    <row r="350" customFormat="false" ht="15" hidden="false" customHeight="false" outlineLevel="0" collapsed="false">
      <c r="A350" s="0" t="s">
        <v>249</v>
      </c>
      <c r="B350" s="0" t="s">
        <v>381</v>
      </c>
      <c r="C350" s="0" t="n">
        <v>78</v>
      </c>
      <c r="D350" s="0" t="n">
        <v>2</v>
      </c>
      <c r="E350" s="0" t="n">
        <v>72</v>
      </c>
      <c r="F350" s="0" t="n">
        <v>2</v>
      </c>
    </row>
    <row r="351" customFormat="false" ht="15" hidden="false" customHeight="false" outlineLevel="0" collapsed="false">
      <c r="A351" s="0" t="s">
        <v>249</v>
      </c>
      <c r="B351" s="0" t="s">
        <v>382</v>
      </c>
      <c r="C351" s="0" t="n">
        <v>60</v>
      </c>
      <c r="D351" s="0" t="n">
        <v>1</v>
      </c>
      <c r="E351" s="0" t="n">
        <v>15</v>
      </c>
      <c r="F351" s="0" t="n">
        <v>1</v>
      </c>
    </row>
    <row r="352" customFormat="false" ht="15" hidden="false" customHeight="false" outlineLevel="0" collapsed="false">
      <c r="A352" s="0" t="s">
        <v>249</v>
      </c>
      <c r="B352" s="0" t="s">
        <v>383</v>
      </c>
      <c r="C352" s="0" t="n">
        <v>78</v>
      </c>
      <c r="D352" s="0" t="n">
        <v>2</v>
      </c>
      <c r="E352" s="0" t="n">
        <v>72</v>
      </c>
      <c r="F352" s="0" t="n">
        <v>2</v>
      </c>
    </row>
    <row r="353" customFormat="false" ht="15" hidden="false" customHeight="false" outlineLevel="0" collapsed="false">
      <c r="A353" s="0" t="s">
        <v>249</v>
      </c>
      <c r="B353" s="0" t="s">
        <v>384</v>
      </c>
      <c r="C353" s="0" t="n">
        <v>54</v>
      </c>
      <c r="D353" s="0" t="n">
        <v>1</v>
      </c>
      <c r="E353" s="0" t="n">
        <v>21</v>
      </c>
      <c r="F353" s="0" t="n">
        <v>1</v>
      </c>
    </row>
    <row r="354" customFormat="false" ht="15" hidden="false" customHeight="false" outlineLevel="0" collapsed="false">
      <c r="A354" s="0" t="s">
        <v>249</v>
      </c>
      <c r="B354" s="0" t="s">
        <v>385</v>
      </c>
      <c r="C354" s="0" t="n">
        <v>84</v>
      </c>
      <c r="D354" s="0" t="n">
        <v>2</v>
      </c>
      <c r="E354" s="0" t="n">
        <v>66</v>
      </c>
      <c r="F354" s="0" t="n">
        <v>2</v>
      </c>
    </row>
    <row r="355" customFormat="false" ht="15" hidden="false" customHeight="false" outlineLevel="0" collapsed="false">
      <c r="A355" s="0" t="s">
        <v>249</v>
      </c>
      <c r="B355" s="0" t="s">
        <v>386</v>
      </c>
      <c r="C355" s="0" t="n">
        <v>78</v>
      </c>
      <c r="D355" s="0" t="n">
        <v>2</v>
      </c>
      <c r="E355" s="0" t="n">
        <v>72</v>
      </c>
      <c r="F355" s="0" t="n">
        <v>2</v>
      </c>
    </row>
    <row r="356" customFormat="false" ht="15" hidden="false" customHeight="false" outlineLevel="0" collapsed="false">
      <c r="A356" s="0" t="s">
        <v>249</v>
      </c>
      <c r="B356" s="0" t="s">
        <v>387</v>
      </c>
      <c r="C356" s="0" t="n">
        <v>84</v>
      </c>
      <c r="D356" s="0" t="n">
        <v>2</v>
      </c>
      <c r="E356" s="0" t="n">
        <v>66</v>
      </c>
      <c r="F356" s="0" t="n">
        <v>2</v>
      </c>
    </row>
    <row r="357" customFormat="false" ht="15" hidden="false" customHeight="false" outlineLevel="0" collapsed="false">
      <c r="A357" s="0" t="s">
        <v>249</v>
      </c>
      <c r="B357" s="0" t="s">
        <v>388</v>
      </c>
      <c r="C357" s="0" t="n">
        <v>54</v>
      </c>
      <c r="D357" s="0" t="n">
        <v>1</v>
      </c>
      <c r="E357" s="0" t="n">
        <v>21</v>
      </c>
      <c r="F357" s="0" t="n">
        <v>1</v>
      </c>
    </row>
    <row r="358" customFormat="false" ht="15" hidden="false" customHeight="false" outlineLevel="0" collapsed="false">
      <c r="A358" s="0" t="s">
        <v>249</v>
      </c>
      <c r="B358" s="0" t="s">
        <v>389</v>
      </c>
      <c r="C358" s="0" t="n">
        <v>54</v>
      </c>
      <c r="D358" s="0" t="n">
        <v>1</v>
      </c>
      <c r="E358" s="0" t="n">
        <v>21</v>
      </c>
      <c r="F358" s="0" t="n">
        <v>1</v>
      </c>
    </row>
    <row r="359" customFormat="false" ht="15" hidden="false" customHeight="false" outlineLevel="0" collapsed="false">
      <c r="A359" s="0" t="s">
        <v>249</v>
      </c>
      <c r="B359" s="0" t="s">
        <v>390</v>
      </c>
      <c r="C359" s="0" t="n">
        <v>102</v>
      </c>
      <c r="D359" s="0" t="n">
        <v>2</v>
      </c>
      <c r="E359" s="0" t="n">
        <v>48</v>
      </c>
      <c r="F359" s="0" t="n">
        <v>2</v>
      </c>
    </row>
    <row r="360" customFormat="false" ht="15" hidden="false" customHeight="false" outlineLevel="0" collapsed="false">
      <c r="A360" s="0" t="s">
        <v>249</v>
      </c>
      <c r="B360" s="0" t="s">
        <v>391</v>
      </c>
      <c r="C360" s="0" t="n">
        <v>114</v>
      </c>
      <c r="D360" s="0" t="n">
        <v>2</v>
      </c>
      <c r="E360" s="0" t="n">
        <v>36</v>
      </c>
      <c r="F360" s="0" t="n">
        <v>2</v>
      </c>
    </row>
    <row r="361" customFormat="false" ht="15" hidden="false" customHeight="false" outlineLevel="0" collapsed="false">
      <c r="A361" s="0" t="s">
        <v>249</v>
      </c>
      <c r="B361" s="0" t="s">
        <v>392</v>
      </c>
      <c r="C361" s="0" t="n">
        <v>36</v>
      </c>
      <c r="D361" s="0" t="n">
        <v>1</v>
      </c>
      <c r="E361" s="0" t="n">
        <v>39</v>
      </c>
      <c r="F361" s="0" t="n">
        <v>1</v>
      </c>
    </row>
    <row r="362" customFormat="false" ht="15" hidden="false" customHeight="false" outlineLevel="0" collapsed="false">
      <c r="A362" s="0" t="s">
        <v>249</v>
      </c>
      <c r="B362" s="0" t="s">
        <v>393</v>
      </c>
      <c r="C362" s="0" t="n">
        <v>42</v>
      </c>
      <c r="D362" s="0" t="n">
        <v>1</v>
      </c>
      <c r="E362" s="0" t="n">
        <v>33</v>
      </c>
      <c r="F362" s="0" t="n">
        <v>1</v>
      </c>
    </row>
    <row r="363" customFormat="false" ht="15" hidden="false" customHeight="false" outlineLevel="0" collapsed="false">
      <c r="A363" s="0" t="s">
        <v>249</v>
      </c>
      <c r="B363" s="0" t="s">
        <v>394</v>
      </c>
      <c r="C363" s="0" t="n">
        <v>24</v>
      </c>
      <c r="D363" s="0" t="n">
        <v>1</v>
      </c>
      <c r="E363" s="0" t="n">
        <v>51</v>
      </c>
      <c r="F363" s="0" t="n">
        <v>1</v>
      </c>
    </row>
    <row r="364" customFormat="false" ht="15" hidden="false" customHeight="false" outlineLevel="0" collapsed="false">
      <c r="A364" s="0" t="s">
        <v>249</v>
      </c>
      <c r="B364" s="0" t="s">
        <v>395</v>
      </c>
      <c r="C364" s="0" t="n">
        <v>84</v>
      </c>
      <c r="D364" s="0" t="n">
        <v>2</v>
      </c>
      <c r="E364" s="0" t="n">
        <v>66</v>
      </c>
      <c r="F364" s="0" t="n">
        <v>2</v>
      </c>
    </row>
    <row r="365" customFormat="false" ht="15" hidden="false" customHeight="false" outlineLevel="0" collapsed="false">
      <c r="A365" s="0" t="s">
        <v>249</v>
      </c>
      <c r="B365" s="0" t="s">
        <v>396</v>
      </c>
      <c r="C365" s="0" t="n">
        <v>66</v>
      </c>
      <c r="D365" s="0" t="n">
        <v>1</v>
      </c>
      <c r="E365" s="0" t="n">
        <v>9</v>
      </c>
      <c r="F365" s="0" t="n">
        <v>2</v>
      </c>
    </row>
    <row r="366" customFormat="false" ht="15" hidden="false" customHeight="false" outlineLevel="0" collapsed="false">
      <c r="A366" s="0" t="s">
        <v>249</v>
      </c>
      <c r="B366" s="0" t="s">
        <v>397</v>
      </c>
      <c r="C366" s="0" t="n">
        <v>78</v>
      </c>
      <c r="D366" s="0" t="n">
        <v>2</v>
      </c>
      <c r="E366" s="0" t="n">
        <v>72</v>
      </c>
      <c r="F366" s="0" t="n">
        <v>2</v>
      </c>
    </row>
    <row r="367" customFormat="false" ht="15" hidden="false" customHeight="false" outlineLevel="0" collapsed="false">
      <c r="A367" s="0" t="s">
        <v>249</v>
      </c>
      <c r="B367" s="0" t="s">
        <v>398</v>
      </c>
      <c r="C367" s="0" t="n">
        <v>66</v>
      </c>
      <c r="D367" s="0" t="n">
        <v>1</v>
      </c>
      <c r="E367" s="0" t="n">
        <v>9</v>
      </c>
      <c r="F367" s="0" t="n">
        <v>2</v>
      </c>
    </row>
    <row r="368" customFormat="false" ht="15" hidden="false" customHeight="false" outlineLevel="0" collapsed="false">
      <c r="A368" s="0" t="s">
        <v>249</v>
      </c>
      <c r="B368" s="0" t="s">
        <v>399</v>
      </c>
      <c r="C368" s="0" t="n">
        <v>30</v>
      </c>
      <c r="D368" s="0" t="n">
        <v>1</v>
      </c>
      <c r="E368" s="0" t="n">
        <v>45</v>
      </c>
      <c r="F368" s="0" t="n">
        <v>1</v>
      </c>
    </row>
    <row r="369" customFormat="false" ht="15" hidden="false" customHeight="false" outlineLevel="0" collapsed="false">
      <c r="A369" s="0" t="s">
        <v>249</v>
      </c>
      <c r="B369" s="0" t="s">
        <v>400</v>
      </c>
      <c r="C369" s="0" t="n">
        <v>78</v>
      </c>
      <c r="D369" s="0" t="n">
        <v>2</v>
      </c>
      <c r="E369" s="0" t="n">
        <v>72</v>
      </c>
      <c r="F369" s="0" t="n">
        <v>2</v>
      </c>
    </row>
    <row r="370" customFormat="false" ht="15" hidden="false" customHeight="false" outlineLevel="0" collapsed="false">
      <c r="A370" s="0" t="s">
        <v>249</v>
      </c>
      <c r="B370" s="0" t="s">
        <v>401</v>
      </c>
      <c r="C370" s="0" t="n">
        <v>114</v>
      </c>
      <c r="D370" s="0" t="n">
        <v>2</v>
      </c>
      <c r="E370" s="0" t="n">
        <v>36</v>
      </c>
      <c r="F370" s="0" t="n">
        <v>2</v>
      </c>
    </row>
    <row r="371" customFormat="false" ht="15" hidden="false" customHeight="false" outlineLevel="0" collapsed="false">
      <c r="A371" s="0" t="s">
        <v>249</v>
      </c>
      <c r="B371" s="0" t="s">
        <v>402</v>
      </c>
      <c r="C371" s="0" t="n">
        <v>42</v>
      </c>
      <c r="D371" s="0" t="n">
        <v>1</v>
      </c>
      <c r="E371" s="0" t="n">
        <v>33</v>
      </c>
      <c r="F371" s="0" t="n">
        <v>1</v>
      </c>
    </row>
    <row r="372" customFormat="false" ht="15" hidden="false" customHeight="false" outlineLevel="0" collapsed="false">
      <c r="A372" s="0" t="s">
        <v>249</v>
      </c>
      <c r="B372" s="0" t="s">
        <v>403</v>
      </c>
      <c r="C372" s="0" t="n">
        <v>42</v>
      </c>
      <c r="D372" s="0" t="n">
        <v>1</v>
      </c>
      <c r="E372" s="0" t="n">
        <v>33</v>
      </c>
      <c r="F372" s="0" t="n">
        <v>1</v>
      </c>
    </row>
    <row r="373" customFormat="false" ht="15" hidden="false" customHeight="false" outlineLevel="0" collapsed="false">
      <c r="A373" s="0" t="s">
        <v>249</v>
      </c>
      <c r="B373" s="0" t="s">
        <v>404</v>
      </c>
      <c r="C373" s="0" t="n">
        <v>90</v>
      </c>
      <c r="D373" s="0" t="n">
        <v>2</v>
      </c>
      <c r="E373" s="0" t="n">
        <v>60</v>
      </c>
      <c r="F373" s="0" t="n">
        <v>2</v>
      </c>
    </row>
    <row r="374" customFormat="false" ht="15" hidden="false" customHeight="false" outlineLevel="0" collapsed="false">
      <c r="A374" s="0" t="s">
        <v>249</v>
      </c>
      <c r="B374" s="0" t="s">
        <v>405</v>
      </c>
      <c r="C374" s="0" t="n">
        <v>36</v>
      </c>
      <c r="D374" s="0" t="n">
        <v>1</v>
      </c>
      <c r="E374" s="0" t="n">
        <v>39</v>
      </c>
      <c r="F374" s="0" t="n">
        <v>1</v>
      </c>
    </row>
    <row r="375" customFormat="false" ht="15" hidden="false" customHeight="false" outlineLevel="0" collapsed="false">
      <c r="A375" s="0" t="s">
        <v>249</v>
      </c>
      <c r="B375" s="0" t="s">
        <v>406</v>
      </c>
      <c r="C375" s="0" t="n">
        <v>48</v>
      </c>
      <c r="D375" s="0" t="n">
        <v>1</v>
      </c>
      <c r="E375" s="0" t="n">
        <v>27</v>
      </c>
      <c r="F375" s="0" t="n">
        <v>1</v>
      </c>
    </row>
    <row r="376" customFormat="false" ht="15" hidden="false" customHeight="false" outlineLevel="0" collapsed="false">
      <c r="A376" s="0" t="s">
        <v>249</v>
      </c>
      <c r="B376" s="0" t="s">
        <v>407</v>
      </c>
      <c r="C376" s="0" t="n">
        <v>6</v>
      </c>
      <c r="D376" s="0" t="n">
        <v>1</v>
      </c>
      <c r="E376" s="0" t="n">
        <v>69</v>
      </c>
      <c r="F376" s="0" t="n">
        <v>1</v>
      </c>
    </row>
    <row r="377" customFormat="false" ht="15" hidden="false" customHeight="false" outlineLevel="0" collapsed="false">
      <c r="A377" s="0" t="s">
        <v>249</v>
      </c>
      <c r="B377" s="0" t="s">
        <v>408</v>
      </c>
      <c r="C377" s="0" t="n">
        <v>18</v>
      </c>
      <c r="D377" s="0" t="n">
        <v>1</v>
      </c>
      <c r="E377" s="0" t="n">
        <v>57</v>
      </c>
      <c r="F377" s="0" t="n">
        <v>1</v>
      </c>
    </row>
    <row r="378" customFormat="false" ht="15" hidden="false" customHeight="false" outlineLevel="0" collapsed="false">
      <c r="A378" s="0" t="s">
        <v>249</v>
      </c>
      <c r="B378" s="0" t="s">
        <v>409</v>
      </c>
      <c r="C378" s="0" t="n">
        <v>78</v>
      </c>
      <c r="D378" s="0" t="n">
        <v>2</v>
      </c>
      <c r="E378" s="0" t="n">
        <v>72</v>
      </c>
      <c r="F378" s="0" t="n">
        <v>2</v>
      </c>
    </row>
    <row r="379" customFormat="false" ht="15" hidden="false" customHeight="false" outlineLevel="0" collapsed="false">
      <c r="A379" s="0" t="s">
        <v>249</v>
      </c>
      <c r="B379" s="0" t="s">
        <v>410</v>
      </c>
      <c r="C379" s="0" t="n">
        <v>36</v>
      </c>
      <c r="D379" s="0" t="n">
        <v>1</v>
      </c>
      <c r="E379" s="0" t="n">
        <v>39</v>
      </c>
      <c r="F379" s="0" t="n">
        <v>1</v>
      </c>
    </row>
    <row r="380" customFormat="false" ht="15" hidden="false" customHeight="false" outlineLevel="0" collapsed="false">
      <c r="A380" s="0" t="s">
        <v>249</v>
      </c>
      <c r="B380" s="0" t="s">
        <v>411</v>
      </c>
      <c r="C380" s="0" t="n">
        <v>30</v>
      </c>
      <c r="D380" s="0" t="n">
        <v>1</v>
      </c>
      <c r="E380" s="0" t="n">
        <v>45</v>
      </c>
      <c r="F380" s="0" t="n">
        <v>1</v>
      </c>
    </row>
    <row r="381" customFormat="false" ht="15" hidden="false" customHeight="false" outlineLevel="0" collapsed="false">
      <c r="A381" s="0" t="s">
        <v>249</v>
      </c>
      <c r="B381" s="0" t="s">
        <v>412</v>
      </c>
      <c r="C381" s="0" t="n">
        <v>48</v>
      </c>
      <c r="D381" s="0" t="n">
        <v>1</v>
      </c>
      <c r="E381" s="0" t="n">
        <v>27</v>
      </c>
      <c r="F381" s="0" t="n">
        <v>1</v>
      </c>
    </row>
    <row r="382" customFormat="false" ht="15" hidden="false" customHeight="false" outlineLevel="0" collapsed="false">
      <c r="A382" s="0" t="s">
        <v>249</v>
      </c>
      <c r="B382" s="0" t="s">
        <v>413</v>
      </c>
      <c r="C382" s="0" t="n">
        <v>42</v>
      </c>
      <c r="D382" s="0" t="n">
        <v>1</v>
      </c>
      <c r="E382" s="0" t="n">
        <v>33</v>
      </c>
      <c r="F382" s="0" t="n">
        <v>1</v>
      </c>
    </row>
    <row r="383" customFormat="false" ht="15" hidden="false" customHeight="false" outlineLevel="0" collapsed="false">
      <c r="A383" s="0" t="s">
        <v>249</v>
      </c>
      <c r="B383" s="0" t="s">
        <v>414</v>
      </c>
      <c r="C383" s="0" t="n">
        <v>42</v>
      </c>
      <c r="D383" s="0" t="n">
        <v>1</v>
      </c>
      <c r="E383" s="0" t="n">
        <v>33</v>
      </c>
      <c r="F383" s="0" t="n">
        <v>1</v>
      </c>
    </row>
    <row r="384" customFormat="false" ht="15" hidden="false" customHeight="false" outlineLevel="0" collapsed="false">
      <c r="A384" s="0" t="s">
        <v>249</v>
      </c>
      <c r="B384" s="0" t="s">
        <v>415</v>
      </c>
      <c r="C384" s="0" t="n">
        <v>12</v>
      </c>
      <c r="D384" s="0" t="n">
        <v>1</v>
      </c>
      <c r="E384" s="0" t="n">
        <v>63</v>
      </c>
      <c r="F384" s="0" t="n">
        <v>1</v>
      </c>
    </row>
    <row r="385" customFormat="false" ht="15" hidden="false" customHeight="false" outlineLevel="0" collapsed="false">
      <c r="A385" s="0" t="s">
        <v>249</v>
      </c>
      <c r="B385" s="0" t="s">
        <v>416</v>
      </c>
      <c r="C385" s="0" t="n">
        <v>72</v>
      </c>
      <c r="D385" s="0" t="n">
        <v>1</v>
      </c>
      <c r="E385" s="0" t="n">
        <v>3</v>
      </c>
      <c r="F385" s="0" t="n">
        <v>2</v>
      </c>
    </row>
    <row r="386" customFormat="false" ht="15" hidden="false" customHeight="false" outlineLevel="0" collapsed="false">
      <c r="A386" s="0" t="s">
        <v>249</v>
      </c>
      <c r="B386" s="0" t="s">
        <v>417</v>
      </c>
      <c r="C386" s="0" t="n">
        <v>42</v>
      </c>
      <c r="D386" s="0" t="n">
        <v>1</v>
      </c>
      <c r="E386" s="0" t="n">
        <v>33</v>
      </c>
      <c r="F386" s="0" t="n">
        <v>1</v>
      </c>
    </row>
    <row r="387" customFormat="false" ht="15" hidden="false" customHeight="false" outlineLevel="0" collapsed="false">
      <c r="A387" s="0" t="s">
        <v>249</v>
      </c>
      <c r="B387" s="0" t="s">
        <v>418</v>
      </c>
      <c r="C387" s="0" t="n">
        <v>24</v>
      </c>
      <c r="D387" s="0" t="n">
        <v>1</v>
      </c>
      <c r="E387" s="0" t="n">
        <v>51</v>
      </c>
      <c r="F387" s="0" t="n">
        <v>1</v>
      </c>
    </row>
    <row r="388" customFormat="false" ht="15" hidden="false" customHeight="false" outlineLevel="0" collapsed="false">
      <c r="A388" s="0" t="s">
        <v>249</v>
      </c>
      <c r="B388" s="0" t="s">
        <v>419</v>
      </c>
      <c r="C388" s="0" t="n">
        <v>24</v>
      </c>
      <c r="D388" s="0" t="n">
        <v>1</v>
      </c>
      <c r="E388" s="0" t="n">
        <v>51</v>
      </c>
      <c r="F388" s="0" t="n">
        <v>1</v>
      </c>
    </row>
    <row r="389" customFormat="false" ht="15" hidden="false" customHeight="false" outlineLevel="0" collapsed="false">
      <c r="A389" s="0" t="s">
        <v>249</v>
      </c>
      <c r="B389" s="0" t="s">
        <v>420</v>
      </c>
      <c r="C389" s="0" t="n">
        <v>54</v>
      </c>
      <c r="D389" s="0" t="n">
        <v>1</v>
      </c>
      <c r="E389" s="0" t="n">
        <v>21</v>
      </c>
      <c r="F389" s="0" t="n">
        <v>1</v>
      </c>
    </row>
    <row r="390" customFormat="false" ht="15" hidden="false" customHeight="false" outlineLevel="0" collapsed="false">
      <c r="A390" s="0" t="s">
        <v>249</v>
      </c>
      <c r="B390" s="0" t="s">
        <v>421</v>
      </c>
      <c r="C390" s="0" t="n">
        <v>54</v>
      </c>
      <c r="D390" s="0" t="n">
        <v>1</v>
      </c>
      <c r="E390" s="0" t="n">
        <v>21</v>
      </c>
      <c r="F390" s="0" t="n">
        <v>1</v>
      </c>
    </row>
    <row r="391" customFormat="false" ht="15" hidden="false" customHeight="false" outlineLevel="0" collapsed="false">
      <c r="A391" s="0" t="s">
        <v>249</v>
      </c>
      <c r="B391" s="0" t="s">
        <v>422</v>
      </c>
      <c r="C391" s="0" t="n">
        <v>24</v>
      </c>
      <c r="D391" s="0" t="n">
        <v>1</v>
      </c>
      <c r="E391" s="0" t="n">
        <v>51</v>
      </c>
      <c r="F391" s="0" t="n">
        <v>1</v>
      </c>
    </row>
    <row r="392" customFormat="false" ht="15" hidden="false" customHeight="false" outlineLevel="0" collapsed="false">
      <c r="A392" s="0" t="s">
        <v>249</v>
      </c>
      <c r="B392" s="0" t="s">
        <v>423</v>
      </c>
      <c r="C392" s="0" t="n">
        <v>30</v>
      </c>
      <c r="D392" s="0" t="n">
        <v>1</v>
      </c>
      <c r="E392" s="0" t="n">
        <v>45</v>
      </c>
      <c r="F392" s="0" t="n">
        <v>1</v>
      </c>
    </row>
    <row r="393" customFormat="false" ht="15" hidden="false" customHeight="false" outlineLevel="0" collapsed="false">
      <c r="A393" s="0" t="s">
        <v>249</v>
      </c>
      <c r="B393" s="0" t="s">
        <v>424</v>
      </c>
      <c r="C393" s="0" t="n">
        <v>24</v>
      </c>
      <c r="D393" s="0" t="n">
        <v>1</v>
      </c>
      <c r="E393" s="0" t="n">
        <v>51</v>
      </c>
      <c r="F393" s="0" t="n">
        <v>1</v>
      </c>
    </row>
    <row r="394" customFormat="false" ht="15" hidden="false" customHeight="false" outlineLevel="0" collapsed="false">
      <c r="A394" s="0" t="s">
        <v>249</v>
      </c>
      <c r="B394" s="0" t="s">
        <v>425</v>
      </c>
      <c r="C394" s="0" t="n">
        <v>72</v>
      </c>
      <c r="D394" s="0" t="n">
        <v>1</v>
      </c>
      <c r="E394" s="0" t="n">
        <v>3</v>
      </c>
      <c r="F394" s="0" t="n">
        <v>2</v>
      </c>
    </row>
    <row r="395" customFormat="false" ht="15" hidden="false" customHeight="false" outlineLevel="0" collapsed="false">
      <c r="A395" s="0" t="s">
        <v>249</v>
      </c>
      <c r="B395" s="0" t="s">
        <v>426</v>
      </c>
      <c r="C395" s="0" t="n">
        <v>24</v>
      </c>
      <c r="D395" s="0" t="n">
        <v>1</v>
      </c>
      <c r="E395" s="0" t="n">
        <v>51</v>
      </c>
      <c r="F395" s="0" t="n">
        <v>1</v>
      </c>
    </row>
    <row r="396" customFormat="false" ht="15" hidden="false" customHeight="false" outlineLevel="0" collapsed="false">
      <c r="A396" s="0" t="s">
        <v>249</v>
      </c>
      <c r="B396" s="0" t="s">
        <v>427</v>
      </c>
      <c r="C396" s="0" t="n">
        <v>120</v>
      </c>
      <c r="D396" s="0" t="n">
        <v>2</v>
      </c>
      <c r="E396" s="0" t="n">
        <v>30</v>
      </c>
      <c r="F396" s="0" t="n">
        <v>2</v>
      </c>
    </row>
    <row r="397" customFormat="false" ht="15" hidden="false" customHeight="false" outlineLevel="0" collapsed="false">
      <c r="A397" s="0" t="s">
        <v>249</v>
      </c>
      <c r="B397" s="0" t="s">
        <v>428</v>
      </c>
      <c r="C397" s="0" t="n">
        <v>18</v>
      </c>
      <c r="D397" s="0" t="n">
        <v>1</v>
      </c>
      <c r="E397" s="0" t="n">
        <v>57</v>
      </c>
      <c r="F397" s="0" t="n">
        <v>1</v>
      </c>
    </row>
    <row r="398" customFormat="false" ht="15" hidden="false" customHeight="false" outlineLevel="0" collapsed="false">
      <c r="A398" s="0" t="s">
        <v>249</v>
      </c>
      <c r="B398" s="0" t="s">
        <v>429</v>
      </c>
      <c r="C398" s="0" t="n">
        <v>48</v>
      </c>
      <c r="D398" s="0" t="n">
        <v>1</v>
      </c>
      <c r="E398" s="0" t="n">
        <v>27</v>
      </c>
      <c r="F398" s="0" t="n">
        <v>1</v>
      </c>
    </row>
    <row r="399" customFormat="false" ht="15" hidden="false" customHeight="false" outlineLevel="0" collapsed="false">
      <c r="A399" s="0" t="s">
        <v>249</v>
      </c>
      <c r="B399" s="0" t="s">
        <v>430</v>
      </c>
      <c r="C399" s="0" t="n">
        <v>36</v>
      </c>
      <c r="D399" s="0" t="n">
        <v>1</v>
      </c>
      <c r="E399" s="0" t="n">
        <v>39</v>
      </c>
      <c r="F399" s="0" t="n">
        <v>1</v>
      </c>
    </row>
    <row r="400" customFormat="false" ht="15" hidden="false" customHeight="false" outlineLevel="0" collapsed="false">
      <c r="A400" s="0" t="s">
        <v>249</v>
      </c>
      <c r="B400" s="0" t="s">
        <v>431</v>
      </c>
      <c r="C400" s="0" t="n">
        <v>42</v>
      </c>
      <c r="D400" s="0" t="n">
        <v>1</v>
      </c>
      <c r="E400" s="0" t="n">
        <v>33</v>
      </c>
      <c r="F400" s="0" t="n">
        <v>1</v>
      </c>
    </row>
    <row r="401" customFormat="false" ht="15" hidden="false" customHeight="false" outlineLevel="0" collapsed="false">
      <c r="A401" s="0" t="s">
        <v>249</v>
      </c>
      <c r="B401" s="0" t="s">
        <v>432</v>
      </c>
      <c r="C401" s="0" t="n">
        <v>42</v>
      </c>
      <c r="D401" s="0" t="n">
        <v>1</v>
      </c>
      <c r="E401" s="0" t="n">
        <v>33</v>
      </c>
      <c r="F401" s="0" t="n">
        <v>1</v>
      </c>
    </row>
    <row r="402" customFormat="false" ht="15" hidden="false" customHeight="false" outlineLevel="0" collapsed="false">
      <c r="A402" s="0" t="s">
        <v>249</v>
      </c>
      <c r="B402" s="0" t="s">
        <v>433</v>
      </c>
      <c r="C402" s="0" t="n">
        <v>42</v>
      </c>
      <c r="D402" s="0" t="n">
        <v>1</v>
      </c>
      <c r="E402" s="0" t="n">
        <v>33</v>
      </c>
      <c r="F402" s="0" t="n">
        <v>1</v>
      </c>
    </row>
    <row r="403" customFormat="false" ht="15" hidden="false" customHeight="false" outlineLevel="0" collapsed="false">
      <c r="A403" s="0" t="s">
        <v>249</v>
      </c>
      <c r="B403" s="0" t="s">
        <v>434</v>
      </c>
      <c r="C403" s="0" t="n">
        <v>36</v>
      </c>
      <c r="D403" s="0" t="n">
        <v>1</v>
      </c>
      <c r="E403" s="0" t="n">
        <v>39</v>
      </c>
      <c r="F403" s="0" t="n">
        <v>1</v>
      </c>
    </row>
    <row r="404" customFormat="false" ht="15" hidden="false" customHeight="false" outlineLevel="0" collapsed="false">
      <c r="A404" s="0" t="s">
        <v>249</v>
      </c>
      <c r="B404" s="0" t="s">
        <v>435</v>
      </c>
      <c r="C404" s="0" t="n">
        <v>54</v>
      </c>
      <c r="D404" s="0" t="n">
        <v>1</v>
      </c>
      <c r="E404" s="0" t="n">
        <v>21</v>
      </c>
      <c r="F404" s="0" t="n">
        <v>1</v>
      </c>
    </row>
    <row r="405" customFormat="false" ht="15" hidden="false" customHeight="false" outlineLevel="0" collapsed="false">
      <c r="A405" s="0" t="s">
        <v>249</v>
      </c>
      <c r="B405" s="0" t="s">
        <v>436</v>
      </c>
      <c r="C405" s="0" t="n">
        <v>12</v>
      </c>
      <c r="D405" s="0" t="n">
        <v>1</v>
      </c>
      <c r="E405" s="0" t="n">
        <v>63</v>
      </c>
      <c r="F405" s="0" t="n">
        <v>1</v>
      </c>
    </row>
    <row r="406" customFormat="false" ht="15" hidden="false" customHeight="false" outlineLevel="0" collapsed="false">
      <c r="A406" s="0" t="s">
        <v>249</v>
      </c>
      <c r="B406" s="0" t="s">
        <v>437</v>
      </c>
      <c r="C406" s="0" t="n">
        <v>6</v>
      </c>
      <c r="D406" s="0" t="n">
        <v>1</v>
      </c>
      <c r="E406" s="0" t="n">
        <v>69</v>
      </c>
      <c r="F406" s="0" t="n">
        <v>1</v>
      </c>
    </row>
    <row r="407" customFormat="false" ht="15" hidden="false" customHeight="false" outlineLevel="0" collapsed="false">
      <c r="A407" s="0" t="s">
        <v>249</v>
      </c>
      <c r="B407" s="0" t="s">
        <v>438</v>
      </c>
      <c r="C407" s="0" t="n">
        <v>42</v>
      </c>
      <c r="D407" s="0" t="n">
        <v>1</v>
      </c>
      <c r="E407" s="0" t="n">
        <v>33</v>
      </c>
      <c r="F407" s="0" t="n">
        <v>1</v>
      </c>
    </row>
    <row r="408" customFormat="false" ht="15" hidden="false" customHeight="false" outlineLevel="0" collapsed="false">
      <c r="A408" s="0" t="s">
        <v>249</v>
      </c>
      <c r="B408" s="0" t="s">
        <v>439</v>
      </c>
      <c r="C408" s="0" t="n">
        <v>54</v>
      </c>
      <c r="D408" s="0" t="n">
        <v>1</v>
      </c>
      <c r="E408" s="0" t="n">
        <v>21</v>
      </c>
      <c r="F408" s="0" t="n">
        <v>1</v>
      </c>
    </row>
    <row r="409" customFormat="false" ht="15" hidden="false" customHeight="false" outlineLevel="0" collapsed="false">
      <c r="A409" s="0" t="s">
        <v>249</v>
      </c>
      <c r="B409" s="0" t="s">
        <v>440</v>
      </c>
      <c r="C409" s="0" t="n">
        <v>12</v>
      </c>
      <c r="D409" s="0" t="n">
        <v>1</v>
      </c>
      <c r="E409" s="0" t="n">
        <v>63</v>
      </c>
      <c r="F409" s="0" t="n">
        <v>1</v>
      </c>
    </row>
    <row r="410" customFormat="false" ht="15" hidden="false" customHeight="false" outlineLevel="0" collapsed="false">
      <c r="A410" s="0" t="s">
        <v>249</v>
      </c>
      <c r="B410" s="0" t="s">
        <v>441</v>
      </c>
      <c r="C410" s="0" t="n">
        <v>66</v>
      </c>
      <c r="D410" s="0" t="n">
        <v>1</v>
      </c>
      <c r="E410" s="0" t="n">
        <v>9</v>
      </c>
      <c r="F410" s="0" t="n">
        <v>2</v>
      </c>
    </row>
    <row r="411" customFormat="false" ht="15" hidden="false" customHeight="false" outlineLevel="0" collapsed="false">
      <c r="A411" s="0" t="s">
        <v>249</v>
      </c>
      <c r="B411" s="0" t="s">
        <v>442</v>
      </c>
      <c r="C411" s="0" t="n">
        <v>48</v>
      </c>
      <c r="D411" s="0" t="n">
        <v>1</v>
      </c>
      <c r="E411" s="0" t="n">
        <v>27</v>
      </c>
      <c r="F411" s="0" t="n">
        <v>1</v>
      </c>
    </row>
    <row r="412" customFormat="false" ht="15" hidden="false" customHeight="false" outlineLevel="0" collapsed="false">
      <c r="A412" s="0" t="s">
        <v>249</v>
      </c>
      <c r="B412" s="0" t="s">
        <v>443</v>
      </c>
      <c r="C412" s="0" t="n">
        <v>42</v>
      </c>
      <c r="D412" s="0" t="n">
        <v>1</v>
      </c>
      <c r="E412" s="0" t="n">
        <v>33</v>
      </c>
      <c r="F412" s="0" t="n">
        <v>1</v>
      </c>
    </row>
    <row r="413" customFormat="false" ht="15" hidden="false" customHeight="false" outlineLevel="0" collapsed="false">
      <c r="A413" s="0" t="s">
        <v>249</v>
      </c>
      <c r="B413" s="0" t="s">
        <v>444</v>
      </c>
      <c r="C413" s="0" t="n">
        <v>78</v>
      </c>
      <c r="D413" s="0" t="n">
        <v>2</v>
      </c>
      <c r="E413" s="0" t="n">
        <v>72</v>
      </c>
      <c r="F413" s="0" t="n">
        <v>2</v>
      </c>
    </row>
    <row r="414" customFormat="false" ht="15" hidden="false" customHeight="false" outlineLevel="0" collapsed="false">
      <c r="A414" s="0" t="s">
        <v>249</v>
      </c>
      <c r="B414" s="0" t="s">
        <v>445</v>
      </c>
      <c r="C414" s="0" t="n">
        <v>6</v>
      </c>
      <c r="D414" s="0" t="n">
        <v>1</v>
      </c>
      <c r="E414" s="0" t="n">
        <v>69</v>
      </c>
      <c r="F414" s="0" t="n">
        <v>1</v>
      </c>
    </row>
    <row r="415" customFormat="false" ht="15" hidden="false" customHeight="false" outlineLevel="0" collapsed="false">
      <c r="A415" s="0" t="s">
        <v>249</v>
      </c>
      <c r="B415" s="0" t="s">
        <v>446</v>
      </c>
      <c r="C415" s="0" t="n">
        <v>24</v>
      </c>
      <c r="D415" s="0" t="n">
        <v>1</v>
      </c>
      <c r="E415" s="0" t="n">
        <v>51</v>
      </c>
      <c r="F415" s="0" t="n">
        <v>1</v>
      </c>
    </row>
    <row r="416" customFormat="false" ht="15" hidden="false" customHeight="false" outlineLevel="0" collapsed="false">
      <c r="A416" s="0" t="s">
        <v>249</v>
      </c>
      <c r="B416" s="0" t="s">
        <v>447</v>
      </c>
      <c r="C416" s="0" t="n">
        <v>66</v>
      </c>
      <c r="D416" s="0" t="n">
        <v>1</v>
      </c>
      <c r="E416" s="0" t="n">
        <v>9</v>
      </c>
      <c r="F416" s="0" t="n">
        <v>2</v>
      </c>
    </row>
    <row r="417" customFormat="false" ht="15" hidden="false" customHeight="false" outlineLevel="0" collapsed="false">
      <c r="A417" s="0" t="s">
        <v>249</v>
      </c>
      <c r="B417" s="0" t="s">
        <v>448</v>
      </c>
      <c r="C417" s="0" t="n">
        <v>54</v>
      </c>
      <c r="D417" s="0" t="n">
        <v>1</v>
      </c>
      <c r="E417" s="0" t="n">
        <v>21</v>
      </c>
      <c r="F417" s="0" t="n">
        <v>1</v>
      </c>
    </row>
    <row r="418" customFormat="false" ht="15" hidden="false" customHeight="false" outlineLevel="0" collapsed="false">
      <c r="A418" s="0" t="s">
        <v>249</v>
      </c>
      <c r="B418" s="0" t="s">
        <v>449</v>
      </c>
      <c r="C418" s="0" t="n">
        <v>18</v>
      </c>
      <c r="D418" s="0" t="n">
        <v>1</v>
      </c>
      <c r="E418" s="0" t="n">
        <v>57</v>
      </c>
      <c r="F418" s="0" t="n">
        <v>1</v>
      </c>
    </row>
    <row r="419" customFormat="false" ht="15" hidden="false" customHeight="false" outlineLevel="0" collapsed="false">
      <c r="A419" s="0" t="s">
        <v>249</v>
      </c>
      <c r="B419" s="0" t="s">
        <v>450</v>
      </c>
      <c r="C419" s="0" t="n">
        <v>18</v>
      </c>
      <c r="D419" s="0" t="n">
        <v>1</v>
      </c>
      <c r="E419" s="0" t="n">
        <v>57</v>
      </c>
      <c r="F419" s="0" t="n">
        <v>1</v>
      </c>
    </row>
    <row r="420" customFormat="false" ht="15" hidden="false" customHeight="false" outlineLevel="0" collapsed="false">
      <c r="A420" s="0" t="s">
        <v>249</v>
      </c>
      <c r="B420" s="0" t="s">
        <v>451</v>
      </c>
      <c r="C420" s="0" t="n">
        <v>114</v>
      </c>
      <c r="D420" s="0" t="n">
        <v>2</v>
      </c>
      <c r="E420" s="0" t="n">
        <v>36</v>
      </c>
      <c r="F420" s="0" t="n">
        <v>2</v>
      </c>
    </row>
    <row r="421" customFormat="false" ht="15" hidden="false" customHeight="false" outlineLevel="0" collapsed="false">
      <c r="A421" s="0" t="s">
        <v>249</v>
      </c>
      <c r="B421" s="0" t="s">
        <v>452</v>
      </c>
      <c r="C421" s="0" t="n">
        <v>96</v>
      </c>
      <c r="D421" s="0" t="n">
        <v>2</v>
      </c>
      <c r="E421" s="0" t="n">
        <v>54</v>
      </c>
      <c r="F421" s="0" t="n">
        <v>2</v>
      </c>
    </row>
    <row r="422" customFormat="false" ht="15" hidden="false" customHeight="false" outlineLevel="0" collapsed="false">
      <c r="A422" s="0" t="s">
        <v>249</v>
      </c>
      <c r="B422" s="0" t="s">
        <v>453</v>
      </c>
      <c r="C422" s="0" t="n">
        <v>12</v>
      </c>
      <c r="D422" s="0" t="n">
        <v>1</v>
      </c>
      <c r="E422" s="0" t="n">
        <v>63</v>
      </c>
      <c r="F422" s="0" t="n">
        <v>1</v>
      </c>
    </row>
    <row r="423" customFormat="false" ht="15" hidden="false" customHeight="false" outlineLevel="0" collapsed="false">
      <c r="A423" s="0" t="s">
        <v>249</v>
      </c>
      <c r="B423" s="0" t="s">
        <v>454</v>
      </c>
      <c r="C423" s="0" t="n">
        <v>36</v>
      </c>
      <c r="D423" s="0" t="n">
        <v>1</v>
      </c>
      <c r="E423" s="0" t="n">
        <v>39</v>
      </c>
      <c r="F423" s="0" t="n">
        <v>1</v>
      </c>
    </row>
    <row r="424" customFormat="false" ht="15" hidden="false" customHeight="false" outlineLevel="0" collapsed="false">
      <c r="A424" s="0" t="s">
        <v>249</v>
      </c>
      <c r="B424" s="0" t="s">
        <v>455</v>
      </c>
      <c r="C424" s="0" t="n">
        <v>30</v>
      </c>
      <c r="D424" s="0" t="n">
        <v>1</v>
      </c>
      <c r="E424" s="0" t="n">
        <v>45</v>
      </c>
      <c r="F424" s="0" t="n">
        <v>1</v>
      </c>
    </row>
    <row r="425" customFormat="false" ht="15" hidden="false" customHeight="false" outlineLevel="0" collapsed="false">
      <c r="A425" s="0" t="s">
        <v>249</v>
      </c>
      <c r="B425" s="0" t="s">
        <v>456</v>
      </c>
      <c r="C425" s="0" t="n">
        <v>48</v>
      </c>
      <c r="D425" s="0" t="n">
        <v>1</v>
      </c>
      <c r="E425" s="0" t="n">
        <v>27</v>
      </c>
      <c r="F425" s="0" t="n">
        <v>1</v>
      </c>
    </row>
    <row r="426" customFormat="false" ht="15" hidden="false" customHeight="false" outlineLevel="0" collapsed="false">
      <c r="A426" s="0" t="s">
        <v>249</v>
      </c>
      <c r="B426" s="0" t="s">
        <v>457</v>
      </c>
      <c r="C426" s="0" t="n">
        <v>66</v>
      </c>
      <c r="D426" s="0" t="n">
        <v>1</v>
      </c>
      <c r="E426" s="0" t="n">
        <v>9</v>
      </c>
      <c r="F426" s="0" t="n">
        <v>2</v>
      </c>
    </row>
    <row r="427" customFormat="false" ht="15" hidden="false" customHeight="false" outlineLevel="0" collapsed="false">
      <c r="A427" s="0" t="s">
        <v>249</v>
      </c>
      <c r="B427" s="0" t="s">
        <v>458</v>
      </c>
      <c r="C427" s="0" t="n">
        <v>12</v>
      </c>
      <c r="D427" s="0" t="n">
        <v>1</v>
      </c>
      <c r="E427" s="0" t="n">
        <v>63</v>
      </c>
      <c r="F427" s="0" t="n">
        <v>1</v>
      </c>
    </row>
    <row r="428" customFormat="false" ht="15" hidden="false" customHeight="false" outlineLevel="0" collapsed="false">
      <c r="A428" s="0" t="s">
        <v>249</v>
      </c>
      <c r="B428" s="0" t="s">
        <v>459</v>
      </c>
      <c r="C428" s="0" t="n">
        <v>108</v>
      </c>
      <c r="D428" s="0" t="n">
        <v>2</v>
      </c>
      <c r="E428" s="0" t="n">
        <v>42</v>
      </c>
      <c r="F428" s="0" t="n">
        <v>2</v>
      </c>
    </row>
    <row r="429" customFormat="false" ht="15" hidden="false" customHeight="false" outlineLevel="0" collapsed="false">
      <c r="A429" s="0" t="s">
        <v>249</v>
      </c>
      <c r="B429" s="0" t="s">
        <v>460</v>
      </c>
      <c r="C429" s="0" t="n">
        <v>120</v>
      </c>
      <c r="D429" s="0" t="n">
        <v>2</v>
      </c>
      <c r="E429" s="0" t="n">
        <v>30</v>
      </c>
      <c r="F429" s="0" t="n">
        <v>2</v>
      </c>
    </row>
    <row r="430" customFormat="false" ht="15" hidden="false" customHeight="false" outlineLevel="0" collapsed="false">
      <c r="A430" s="0" t="s">
        <v>249</v>
      </c>
      <c r="B430" s="0" t="s">
        <v>461</v>
      </c>
      <c r="C430" s="0" t="n">
        <v>102</v>
      </c>
      <c r="D430" s="0" t="n">
        <v>2</v>
      </c>
      <c r="E430" s="0" t="n">
        <v>48</v>
      </c>
      <c r="F430" s="0" t="n">
        <v>2</v>
      </c>
    </row>
    <row r="431" customFormat="false" ht="15" hidden="false" customHeight="false" outlineLevel="0" collapsed="false">
      <c r="A431" s="0" t="s">
        <v>462</v>
      </c>
      <c r="B431" s="0" t="s">
        <v>463</v>
      </c>
      <c r="C431" s="0" t="n">
        <v>12</v>
      </c>
      <c r="D431" s="0" t="n">
        <v>1</v>
      </c>
      <c r="E431" s="0" t="n">
        <v>63</v>
      </c>
      <c r="F431" s="0" t="n">
        <v>1</v>
      </c>
    </row>
    <row r="432" customFormat="false" ht="15" hidden="false" customHeight="false" outlineLevel="0" collapsed="false">
      <c r="A432" s="0" t="s">
        <v>462</v>
      </c>
      <c r="B432" s="0" t="s">
        <v>464</v>
      </c>
      <c r="C432" s="0" t="n">
        <v>36</v>
      </c>
      <c r="D432" s="0" t="n">
        <v>1</v>
      </c>
      <c r="E432" s="0" t="n">
        <v>39</v>
      </c>
      <c r="F432" s="0" t="n">
        <v>1</v>
      </c>
    </row>
    <row r="433" customFormat="false" ht="15" hidden="false" customHeight="false" outlineLevel="0" collapsed="false">
      <c r="A433" s="0" t="s">
        <v>462</v>
      </c>
      <c r="B433" s="0" t="s">
        <v>465</v>
      </c>
      <c r="C433" s="0" t="n">
        <v>108</v>
      </c>
      <c r="D433" s="0" t="n">
        <v>2</v>
      </c>
      <c r="E433" s="0" t="n">
        <v>42</v>
      </c>
      <c r="F433" s="0" t="n">
        <v>2</v>
      </c>
    </row>
    <row r="434" customFormat="false" ht="15" hidden="false" customHeight="false" outlineLevel="0" collapsed="false">
      <c r="A434" s="0" t="s">
        <v>462</v>
      </c>
      <c r="B434" s="0" t="s">
        <v>466</v>
      </c>
      <c r="C434" s="0" t="n">
        <v>60</v>
      </c>
      <c r="D434" s="0" t="n">
        <v>1</v>
      </c>
      <c r="E434" s="0" t="n">
        <v>15</v>
      </c>
      <c r="F434" s="0" t="n">
        <v>1</v>
      </c>
    </row>
    <row r="435" customFormat="false" ht="15" hidden="false" customHeight="false" outlineLevel="0" collapsed="false">
      <c r="A435" s="0" t="s">
        <v>462</v>
      </c>
      <c r="B435" s="0" t="s">
        <v>467</v>
      </c>
      <c r="C435" s="0" t="n">
        <v>102</v>
      </c>
      <c r="D435" s="0" t="n">
        <v>2</v>
      </c>
      <c r="E435" s="0" t="n">
        <v>48</v>
      </c>
      <c r="F435" s="0" t="n">
        <v>2</v>
      </c>
    </row>
    <row r="436" customFormat="false" ht="15" hidden="false" customHeight="false" outlineLevel="0" collapsed="false">
      <c r="A436" s="0" t="s">
        <v>462</v>
      </c>
      <c r="B436" s="0" t="s">
        <v>468</v>
      </c>
      <c r="C436" s="0" t="n">
        <v>48</v>
      </c>
      <c r="D436" s="0" t="n">
        <v>1</v>
      </c>
      <c r="E436" s="0" t="n">
        <v>27</v>
      </c>
      <c r="F436" s="0" t="n">
        <v>1</v>
      </c>
    </row>
    <row r="437" customFormat="false" ht="15" hidden="false" customHeight="false" outlineLevel="0" collapsed="false">
      <c r="A437" s="0" t="s">
        <v>462</v>
      </c>
      <c r="B437" s="0" t="s">
        <v>469</v>
      </c>
      <c r="C437" s="0" t="n">
        <v>6</v>
      </c>
      <c r="D437" s="0" t="n">
        <v>1</v>
      </c>
      <c r="E437" s="0" t="n">
        <v>69</v>
      </c>
      <c r="F437" s="0" t="n">
        <v>1</v>
      </c>
    </row>
    <row r="438" customFormat="false" ht="15" hidden="false" customHeight="false" outlineLevel="0" collapsed="false">
      <c r="A438" s="0" t="s">
        <v>462</v>
      </c>
      <c r="B438" s="0" t="s">
        <v>470</v>
      </c>
      <c r="C438" s="0" t="n">
        <v>54</v>
      </c>
      <c r="D438" s="0" t="n">
        <v>1</v>
      </c>
      <c r="E438" s="0" t="n">
        <v>21</v>
      </c>
      <c r="F438" s="0" t="n">
        <v>1</v>
      </c>
    </row>
    <row r="439" customFormat="false" ht="15" hidden="false" customHeight="false" outlineLevel="0" collapsed="false">
      <c r="A439" s="0" t="s">
        <v>462</v>
      </c>
      <c r="B439" s="0" t="s">
        <v>471</v>
      </c>
      <c r="C439" s="0" t="n">
        <v>48</v>
      </c>
      <c r="D439" s="0" t="n">
        <v>1</v>
      </c>
      <c r="E439" s="0" t="n">
        <v>27</v>
      </c>
      <c r="F439" s="0" t="n">
        <v>1</v>
      </c>
    </row>
    <row r="440" customFormat="false" ht="15" hidden="false" customHeight="false" outlineLevel="0" collapsed="false">
      <c r="A440" s="0" t="s">
        <v>462</v>
      </c>
      <c r="B440" s="0" t="s">
        <v>472</v>
      </c>
      <c r="C440" s="0" t="n">
        <v>24</v>
      </c>
      <c r="D440" s="0" t="n">
        <v>1</v>
      </c>
      <c r="E440" s="0" t="n">
        <v>51</v>
      </c>
      <c r="F440" s="0" t="n">
        <v>1</v>
      </c>
    </row>
    <row r="441" customFormat="false" ht="15" hidden="false" customHeight="false" outlineLevel="0" collapsed="false">
      <c r="A441" s="0" t="s">
        <v>462</v>
      </c>
      <c r="B441" s="0" t="s">
        <v>685</v>
      </c>
      <c r="C441" s="0" t="n">
        <v>12</v>
      </c>
      <c r="D441" s="0" t="n">
        <v>1</v>
      </c>
      <c r="E441" s="0" t="n">
        <v>63</v>
      </c>
      <c r="F441" s="0" t="n">
        <v>1</v>
      </c>
    </row>
    <row r="442" customFormat="false" ht="15" hidden="false" customHeight="false" outlineLevel="0" collapsed="false">
      <c r="A442" s="0" t="s">
        <v>462</v>
      </c>
      <c r="B442" s="0" t="s">
        <v>473</v>
      </c>
      <c r="C442" s="0" t="n">
        <v>36</v>
      </c>
      <c r="D442" s="0" t="n">
        <v>1</v>
      </c>
      <c r="E442" s="0" t="n">
        <v>39</v>
      </c>
      <c r="F442" s="0" t="n">
        <v>1</v>
      </c>
    </row>
    <row r="443" customFormat="false" ht="15" hidden="false" customHeight="false" outlineLevel="0" collapsed="false">
      <c r="A443" s="0" t="s">
        <v>462</v>
      </c>
      <c r="B443" s="0" t="s">
        <v>474</v>
      </c>
      <c r="C443" s="0" t="n">
        <v>30</v>
      </c>
      <c r="D443" s="0" t="n">
        <v>1</v>
      </c>
      <c r="E443" s="0" t="n">
        <v>45</v>
      </c>
      <c r="F443" s="0" t="n">
        <v>1</v>
      </c>
    </row>
    <row r="444" customFormat="false" ht="15" hidden="false" customHeight="false" outlineLevel="0" collapsed="false">
      <c r="A444" s="0" t="s">
        <v>462</v>
      </c>
      <c r="B444" s="0" t="s">
        <v>475</v>
      </c>
      <c r="C444" s="0" t="n">
        <v>42</v>
      </c>
      <c r="D444" s="0" t="n">
        <v>1</v>
      </c>
      <c r="E444" s="0" t="n">
        <v>33</v>
      </c>
      <c r="F444" s="0" t="n">
        <v>1</v>
      </c>
    </row>
    <row r="445" customFormat="false" ht="15" hidden="false" customHeight="false" outlineLevel="0" collapsed="false">
      <c r="A445" s="0" t="s">
        <v>462</v>
      </c>
      <c r="B445" s="0" t="s">
        <v>476</v>
      </c>
      <c r="C445" s="0" t="n">
        <v>42</v>
      </c>
      <c r="D445" s="0" t="n">
        <v>1</v>
      </c>
      <c r="E445" s="0" t="n">
        <v>33</v>
      </c>
      <c r="F445" s="0" t="n">
        <v>1</v>
      </c>
    </row>
    <row r="446" customFormat="false" ht="15" hidden="false" customHeight="false" outlineLevel="0" collapsed="false">
      <c r="A446" s="0" t="s">
        <v>462</v>
      </c>
      <c r="B446" s="0" t="s">
        <v>477</v>
      </c>
      <c r="C446" s="0" t="n">
        <v>66</v>
      </c>
      <c r="D446" s="0" t="n">
        <v>1</v>
      </c>
      <c r="E446" s="0" t="n">
        <v>9</v>
      </c>
      <c r="F446" s="0" t="n">
        <v>2</v>
      </c>
    </row>
    <row r="447" customFormat="false" ht="15" hidden="false" customHeight="false" outlineLevel="0" collapsed="false">
      <c r="A447" s="0" t="s">
        <v>462</v>
      </c>
      <c r="B447" s="0" t="s">
        <v>478</v>
      </c>
      <c r="C447" s="0" t="n">
        <v>90</v>
      </c>
      <c r="D447" s="0" t="n">
        <v>2</v>
      </c>
      <c r="E447" s="0" t="n">
        <v>60</v>
      </c>
      <c r="F447" s="0" t="n">
        <v>2</v>
      </c>
    </row>
    <row r="448" customFormat="false" ht="15" hidden="false" customHeight="false" outlineLevel="0" collapsed="false">
      <c r="A448" s="0" t="s">
        <v>462</v>
      </c>
      <c r="B448" s="0" t="s">
        <v>479</v>
      </c>
      <c r="C448" s="0" t="n">
        <v>96</v>
      </c>
      <c r="D448" s="0" t="n">
        <v>2</v>
      </c>
      <c r="E448" s="0" t="n">
        <v>54</v>
      </c>
      <c r="F448" s="0" t="n">
        <v>2</v>
      </c>
    </row>
    <row r="449" customFormat="false" ht="15" hidden="false" customHeight="false" outlineLevel="0" collapsed="false">
      <c r="A449" s="0" t="s">
        <v>462</v>
      </c>
      <c r="B449" s="0" t="s">
        <v>480</v>
      </c>
      <c r="C449" s="0" t="n">
        <v>126</v>
      </c>
      <c r="D449" s="0" t="n">
        <v>2</v>
      </c>
      <c r="E449" s="0" t="n">
        <v>24</v>
      </c>
      <c r="F449" s="0" t="n">
        <v>3</v>
      </c>
    </row>
    <row r="450" customFormat="false" ht="15" hidden="false" customHeight="false" outlineLevel="0" collapsed="false">
      <c r="A450" s="0" t="s">
        <v>462</v>
      </c>
      <c r="B450" s="0" t="s">
        <v>481</v>
      </c>
      <c r="C450" s="0" t="n">
        <v>72</v>
      </c>
      <c r="D450" s="0" t="n">
        <v>1</v>
      </c>
      <c r="E450" s="0" t="n">
        <v>3</v>
      </c>
      <c r="F450" s="0" t="n">
        <v>2</v>
      </c>
    </row>
    <row r="451" customFormat="false" ht="15" hidden="false" customHeight="false" outlineLevel="0" collapsed="false">
      <c r="A451" s="0" t="s">
        <v>462</v>
      </c>
      <c r="B451" s="0" t="s">
        <v>482</v>
      </c>
      <c r="C451" s="0" t="n">
        <v>66</v>
      </c>
      <c r="D451" s="0" t="n">
        <v>1</v>
      </c>
      <c r="E451" s="0" t="n">
        <v>9</v>
      </c>
      <c r="F451" s="0" t="n">
        <v>2</v>
      </c>
    </row>
    <row r="452" customFormat="false" ht="15" hidden="false" customHeight="false" outlineLevel="0" collapsed="false">
      <c r="A452" s="0" t="s">
        <v>462</v>
      </c>
      <c r="B452" s="0" t="s">
        <v>483</v>
      </c>
      <c r="C452" s="0" t="n">
        <v>60</v>
      </c>
      <c r="D452" s="0" t="n">
        <v>1</v>
      </c>
      <c r="E452" s="0" t="n">
        <v>15</v>
      </c>
      <c r="F452" s="0" t="n">
        <v>1</v>
      </c>
    </row>
    <row r="453" customFormat="false" ht="15" hidden="false" customHeight="false" outlineLevel="0" collapsed="false">
      <c r="A453" s="0" t="s">
        <v>462</v>
      </c>
      <c r="B453" s="0" t="s">
        <v>484</v>
      </c>
      <c r="C453" s="0" t="n">
        <v>90</v>
      </c>
      <c r="D453" s="0" t="n">
        <v>2</v>
      </c>
      <c r="E453" s="0" t="n">
        <v>60</v>
      </c>
      <c r="F453" s="0" t="n">
        <v>2</v>
      </c>
    </row>
    <row r="454" customFormat="false" ht="15" hidden="false" customHeight="false" outlineLevel="0" collapsed="false">
      <c r="A454" s="0" t="s">
        <v>462</v>
      </c>
      <c r="B454" s="0" t="s">
        <v>485</v>
      </c>
      <c r="C454" s="0" t="n">
        <v>36</v>
      </c>
      <c r="D454" s="0" t="n">
        <v>1</v>
      </c>
      <c r="E454" s="0" t="n">
        <v>39</v>
      </c>
      <c r="F454" s="0" t="n">
        <v>1</v>
      </c>
    </row>
    <row r="455" customFormat="false" ht="15" hidden="false" customHeight="false" outlineLevel="0" collapsed="false">
      <c r="A455" s="0" t="s">
        <v>462</v>
      </c>
      <c r="B455" s="0" t="s">
        <v>486</v>
      </c>
      <c r="C455" s="0" t="n">
        <v>72</v>
      </c>
      <c r="D455" s="0" t="n">
        <v>1</v>
      </c>
      <c r="E455" s="0" t="n">
        <v>3</v>
      </c>
      <c r="F455" s="0" t="n">
        <v>2</v>
      </c>
    </row>
    <row r="456" customFormat="false" ht="15" hidden="false" customHeight="false" outlineLevel="0" collapsed="false">
      <c r="A456" s="0" t="s">
        <v>462</v>
      </c>
      <c r="B456" s="0" t="s">
        <v>487</v>
      </c>
      <c r="C456" s="0" t="n">
        <v>72</v>
      </c>
      <c r="D456" s="0" t="n">
        <v>1</v>
      </c>
      <c r="E456" s="0" t="n">
        <v>3</v>
      </c>
      <c r="F456" s="0" t="n">
        <v>2</v>
      </c>
    </row>
    <row r="457" customFormat="false" ht="15" hidden="false" customHeight="false" outlineLevel="0" collapsed="false">
      <c r="A457" s="0" t="s">
        <v>462</v>
      </c>
      <c r="B457" s="0" t="s">
        <v>488</v>
      </c>
      <c r="C457" s="0" t="n">
        <v>102</v>
      </c>
      <c r="D457" s="0" t="n">
        <v>2</v>
      </c>
      <c r="E457" s="0" t="n">
        <v>48</v>
      </c>
      <c r="F457" s="0" t="n">
        <v>2</v>
      </c>
    </row>
    <row r="458" customFormat="false" ht="15" hidden="false" customHeight="false" outlineLevel="0" collapsed="false">
      <c r="A458" s="0" t="s">
        <v>462</v>
      </c>
      <c r="B458" s="0" t="s">
        <v>489</v>
      </c>
      <c r="C458" s="0" t="n">
        <v>90</v>
      </c>
      <c r="D458" s="0" t="n">
        <v>2</v>
      </c>
      <c r="E458" s="0" t="n">
        <v>60</v>
      </c>
      <c r="F458" s="0" t="n">
        <v>2</v>
      </c>
    </row>
    <row r="459" customFormat="false" ht="15" hidden="false" customHeight="false" outlineLevel="0" collapsed="false">
      <c r="A459" s="0" t="s">
        <v>462</v>
      </c>
      <c r="B459" s="0" t="s">
        <v>490</v>
      </c>
      <c r="C459" s="0" t="n">
        <v>78</v>
      </c>
      <c r="D459" s="0" t="n">
        <v>2</v>
      </c>
      <c r="E459" s="0" t="n">
        <v>72</v>
      </c>
      <c r="F459" s="0" t="n">
        <v>2</v>
      </c>
    </row>
    <row r="460" customFormat="false" ht="15" hidden="false" customHeight="false" outlineLevel="0" collapsed="false">
      <c r="A460" s="0" t="s">
        <v>462</v>
      </c>
      <c r="B460" s="0" t="s">
        <v>491</v>
      </c>
      <c r="C460" s="0" t="n">
        <v>36</v>
      </c>
      <c r="D460" s="0" t="n">
        <v>1</v>
      </c>
      <c r="E460" s="0" t="n">
        <v>39</v>
      </c>
      <c r="F460" s="0" t="n">
        <v>1</v>
      </c>
    </row>
    <row r="461" customFormat="false" ht="15" hidden="false" customHeight="false" outlineLevel="0" collapsed="false">
      <c r="A461" s="0" t="s">
        <v>462</v>
      </c>
      <c r="B461" s="0" t="s">
        <v>492</v>
      </c>
      <c r="C461" s="0" t="n">
        <v>18</v>
      </c>
      <c r="D461" s="0" t="n">
        <v>1</v>
      </c>
      <c r="E461" s="0" t="n">
        <v>57</v>
      </c>
      <c r="F461" s="0" t="n">
        <v>1</v>
      </c>
    </row>
    <row r="462" customFormat="false" ht="15" hidden="false" customHeight="false" outlineLevel="0" collapsed="false">
      <c r="A462" s="0" t="s">
        <v>462</v>
      </c>
      <c r="B462" s="0" t="s">
        <v>493</v>
      </c>
      <c r="C462" s="0" t="n">
        <v>66</v>
      </c>
      <c r="D462" s="0" t="n">
        <v>1</v>
      </c>
      <c r="E462" s="0" t="n">
        <v>9</v>
      </c>
      <c r="F462" s="0" t="n">
        <v>2</v>
      </c>
    </row>
    <row r="463" customFormat="false" ht="15" hidden="false" customHeight="false" outlineLevel="0" collapsed="false">
      <c r="A463" s="0" t="s">
        <v>462</v>
      </c>
      <c r="B463" s="0" t="s">
        <v>494</v>
      </c>
      <c r="C463" s="0" t="n">
        <v>72</v>
      </c>
      <c r="D463" s="0" t="n">
        <v>1</v>
      </c>
      <c r="E463" s="0" t="n">
        <v>3</v>
      </c>
      <c r="F463" s="0" t="n">
        <v>2</v>
      </c>
    </row>
    <row r="464" customFormat="false" ht="15" hidden="false" customHeight="false" outlineLevel="0" collapsed="false">
      <c r="A464" s="0" t="s">
        <v>462</v>
      </c>
      <c r="B464" s="0" t="s">
        <v>495</v>
      </c>
      <c r="C464" s="0" t="n">
        <v>132</v>
      </c>
      <c r="D464" s="0" t="n">
        <v>2</v>
      </c>
      <c r="E464" s="0" t="n">
        <v>18</v>
      </c>
      <c r="F464" s="0" t="n">
        <v>3</v>
      </c>
    </row>
    <row r="465" customFormat="false" ht="15" hidden="false" customHeight="false" outlineLevel="0" collapsed="false">
      <c r="A465" s="0" t="s">
        <v>462</v>
      </c>
      <c r="B465" s="0" t="s">
        <v>496</v>
      </c>
      <c r="C465" s="0" t="n">
        <v>72</v>
      </c>
      <c r="D465" s="0" t="n">
        <v>1</v>
      </c>
      <c r="E465" s="0" t="n">
        <v>3</v>
      </c>
      <c r="F465" s="0" t="n">
        <v>2</v>
      </c>
    </row>
    <row r="466" customFormat="false" ht="15" hidden="false" customHeight="false" outlineLevel="0" collapsed="false">
      <c r="A466" s="0" t="s">
        <v>462</v>
      </c>
      <c r="B466" s="0" t="s">
        <v>497</v>
      </c>
      <c r="C466" s="0" t="n">
        <v>60</v>
      </c>
      <c r="D466" s="0" t="n">
        <v>1</v>
      </c>
      <c r="E466" s="0" t="n">
        <v>15</v>
      </c>
      <c r="F466" s="0" t="n">
        <v>1</v>
      </c>
    </row>
    <row r="467" customFormat="false" ht="15" hidden="false" customHeight="false" outlineLevel="0" collapsed="false">
      <c r="A467" s="0" t="s">
        <v>462</v>
      </c>
      <c r="B467" s="0" t="s">
        <v>498</v>
      </c>
      <c r="C467" s="0" t="n">
        <v>18</v>
      </c>
      <c r="D467" s="0" t="n">
        <v>1</v>
      </c>
      <c r="E467" s="0" t="n">
        <v>57</v>
      </c>
      <c r="F467" s="0" t="n">
        <v>1</v>
      </c>
    </row>
    <row r="468" customFormat="false" ht="15" hidden="false" customHeight="false" outlineLevel="0" collapsed="false">
      <c r="A468" s="0" t="s">
        <v>462</v>
      </c>
      <c r="B468" s="0" t="s">
        <v>499</v>
      </c>
      <c r="C468" s="0" t="n">
        <v>78</v>
      </c>
      <c r="D468" s="0" t="n">
        <v>2</v>
      </c>
      <c r="E468" s="0" t="n">
        <v>72</v>
      </c>
      <c r="F468" s="0" t="n">
        <v>2</v>
      </c>
    </row>
    <row r="469" customFormat="false" ht="15" hidden="false" customHeight="false" outlineLevel="0" collapsed="false">
      <c r="A469" s="0" t="s">
        <v>462</v>
      </c>
      <c r="B469" s="0" t="s">
        <v>500</v>
      </c>
      <c r="C469" s="0" t="n">
        <v>66</v>
      </c>
      <c r="D469" s="0" t="n">
        <v>1</v>
      </c>
      <c r="E469" s="0" t="n">
        <v>9</v>
      </c>
      <c r="F469" s="0" t="n">
        <v>2</v>
      </c>
    </row>
    <row r="470" customFormat="false" ht="15" hidden="false" customHeight="false" outlineLevel="0" collapsed="false">
      <c r="A470" s="0" t="s">
        <v>462</v>
      </c>
      <c r="B470" s="0" t="s">
        <v>501</v>
      </c>
      <c r="C470" s="0" t="n">
        <v>78</v>
      </c>
      <c r="D470" s="0" t="n">
        <v>2</v>
      </c>
      <c r="E470" s="0" t="n">
        <v>72</v>
      </c>
      <c r="F470" s="0" t="n">
        <v>2</v>
      </c>
    </row>
    <row r="471" customFormat="false" ht="15" hidden="false" customHeight="false" outlineLevel="0" collapsed="false">
      <c r="A471" s="0" t="s">
        <v>462</v>
      </c>
      <c r="B471" s="0" t="s">
        <v>502</v>
      </c>
      <c r="C471" s="0" t="n">
        <v>42</v>
      </c>
      <c r="D471" s="0" t="n">
        <v>1</v>
      </c>
      <c r="E471" s="0" t="n">
        <v>33</v>
      </c>
      <c r="F471" s="0" t="n">
        <v>1</v>
      </c>
    </row>
    <row r="472" customFormat="false" ht="15" hidden="false" customHeight="false" outlineLevel="0" collapsed="false">
      <c r="A472" s="0" t="s">
        <v>462</v>
      </c>
      <c r="B472" s="0" t="s">
        <v>503</v>
      </c>
      <c r="C472" s="0" t="n">
        <v>42</v>
      </c>
      <c r="D472" s="0" t="n">
        <v>1</v>
      </c>
      <c r="E472" s="0" t="n">
        <v>33</v>
      </c>
      <c r="F472" s="0" t="n">
        <v>1</v>
      </c>
    </row>
    <row r="473" customFormat="false" ht="15" hidden="false" customHeight="false" outlineLevel="0" collapsed="false">
      <c r="A473" s="0" t="s">
        <v>462</v>
      </c>
      <c r="B473" s="0" t="s">
        <v>504</v>
      </c>
      <c r="C473" s="0" t="n">
        <v>84</v>
      </c>
      <c r="D473" s="0" t="n">
        <v>2</v>
      </c>
      <c r="E473" s="0" t="n">
        <v>66</v>
      </c>
      <c r="F473" s="0" t="n">
        <v>2</v>
      </c>
    </row>
    <row r="474" customFormat="false" ht="15" hidden="false" customHeight="false" outlineLevel="0" collapsed="false">
      <c r="A474" s="0" t="s">
        <v>462</v>
      </c>
      <c r="B474" s="0" t="s">
        <v>505</v>
      </c>
      <c r="C474" s="0" t="n">
        <v>18</v>
      </c>
      <c r="D474" s="0" t="n">
        <v>1</v>
      </c>
      <c r="E474" s="0" t="n">
        <v>57</v>
      </c>
      <c r="F474" s="0" t="n">
        <v>1</v>
      </c>
    </row>
    <row r="475" customFormat="false" ht="15" hidden="false" customHeight="false" outlineLevel="0" collapsed="false">
      <c r="A475" s="0" t="s">
        <v>462</v>
      </c>
      <c r="B475" s="0" t="s">
        <v>506</v>
      </c>
      <c r="C475" s="0" t="n">
        <v>36</v>
      </c>
      <c r="D475" s="0" t="n">
        <v>1</v>
      </c>
      <c r="E475" s="0" t="n">
        <v>39</v>
      </c>
      <c r="F475" s="0" t="n">
        <v>1</v>
      </c>
    </row>
    <row r="476" customFormat="false" ht="15" hidden="false" customHeight="false" outlineLevel="0" collapsed="false">
      <c r="A476" s="0" t="s">
        <v>462</v>
      </c>
      <c r="B476" s="0" t="s">
        <v>507</v>
      </c>
      <c r="C476" s="0" t="n">
        <v>54</v>
      </c>
      <c r="D476" s="0" t="n">
        <v>1</v>
      </c>
      <c r="E476" s="0" t="n">
        <v>21</v>
      </c>
      <c r="F476" s="0" t="n">
        <v>1</v>
      </c>
    </row>
    <row r="477" customFormat="false" ht="15" hidden="false" customHeight="false" outlineLevel="0" collapsed="false">
      <c r="A477" s="0" t="s">
        <v>462</v>
      </c>
      <c r="B477" s="0" t="s">
        <v>508</v>
      </c>
      <c r="C477" s="0" t="n">
        <v>60</v>
      </c>
      <c r="D477" s="0" t="n">
        <v>1</v>
      </c>
      <c r="E477" s="0" t="n">
        <v>15</v>
      </c>
      <c r="F477" s="0" t="n">
        <v>1</v>
      </c>
    </row>
    <row r="478" customFormat="false" ht="15" hidden="false" customHeight="false" outlineLevel="0" collapsed="false">
      <c r="A478" s="0" t="s">
        <v>462</v>
      </c>
      <c r="B478" s="0" t="s">
        <v>509</v>
      </c>
      <c r="C478" s="0" t="n">
        <v>30</v>
      </c>
      <c r="D478" s="0" t="n">
        <v>1</v>
      </c>
      <c r="E478" s="0" t="n">
        <v>45</v>
      </c>
      <c r="F478" s="0" t="n">
        <v>1</v>
      </c>
    </row>
    <row r="479" customFormat="false" ht="15" hidden="false" customHeight="false" outlineLevel="0" collapsed="false">
      <c r="A479" s="0" t="s">
        <v>462</v>
      </c>
      <c r="B479" s="0" t="s">
        <v>510</v>
      </c>
      <c r="C479" s="0" t="n">
        <v>48</v>
      </c>
      <c r="D479" s="0" t="n">
        <v>1</v>
      </c>
      <c r="E479" s="0" t="n">
        <v>27</v>
      </c>
      <c r="F479" s="0" t="n">
        <v>1</v>
      </c>
    </row>
    <row r="480" customFormat="false" ht="15" hidden="false" customHeight="false" outlineLevel="0" collapsed="false">
      <c r="A480" s="0" t="s">
        <v>462</v>
      </c>
      <c r="B480" s="0" t="s">
        <v>511</v>
      </c>
      <c r="C480" s="0" t="n">
        <v>48</v>
      </c>
      <c r="D480" s="0" t="n">
        <v>1</v>
      </c>
      <c r="E480" s="0" t="n">
        <v>27</v>
      </c>
      <c r="F480" s="0" t="n">
        <v>1</v>
      </c>
    </row>
    <row r="481" customFormat="false" ht="15" hidden="false" customHeight="false" outlineLevel="0" collapsed="false">
      <c r="A481" s="0" t="s">
        <v>462</v>
      </c>
      <c r="B481" s="0" t="s">
        <v>512</v>
      </c>
      <c r="C481" s="0" t="n">
        <v>102</v>
      </c>
      <c r="D481" s="0" t="n">
        <v>2</v>
      </c>
      <c r="E481" s="0" t="n">
        <v>48</v>
      </c>
      <c r="F481" s="0" t="n">
        <v>2</v>
      </c>
    </row>
    <row r="482" customFormat="false" ht="15" hidden="false" customHeight="false" outlineLevel="0" collapsed="false">
      <c r="A482" s="0" t="s">
        <v>462</v>
      </c>
      <c r="B482" s="0" t="s">
        <v>513</v>
      </c>
      <c r="C482" s="0" t="n">
        <v>54</v>
      </c>
      <c r="D482" s="0" t="n">
        <v>1</v>
      </c>
      <c r="E482" s="0" t="n">
        <v>21</v>
      </c>
      <c r="F482" s="0" t="n">
        <v>1</v>
      </c>
    </row>
    <row r="483" customFormat="false" ht="15" hidden="false" customHeight="false" outlineLevel="0" collapsed="false">
      <c r="A483" s="0" t="s">
        <v>462</v>
      </c>
      <c r="B483" s="0" t="s">
        <v>514</v>
      </c>
      <c r="C483" s="0" t="n">
        <v>129</v>
      </c>
      <c r="D483" s="0" t="n">
        <v>2</v>
      </c>
      <c r="E483" s="0" t="n">
        <v>21</v>
      </c>
      <c r="F483" s="0" t="n">
        <v>3</v>
      </c>
    </row>
    <row r="484" customFormat="false" ht="15" hidden="false" customHeight="false" outlineLevel="0" collapsed="false">
      <c r="A484" s="0" t="s">
        <v>462</v>
      </c>
      <c r="B484" s="0" t="s">
        <v>515</v>
      </c>
      <c r="C484" s="0" t="n">
        <v>168</v>
      </c>
      <c r="D484" s="0" t="n">
        <v>3</v>
      </c>
      <c r="E484" s="0" t="n">
        <v>57</v>
      </c>
      <c r="F484" s="0" t="n">
        <v>3</v>
      </c>
    </row>
    <row r="485" customFormat="false" ht="15" hidden="false" customHeight="false" outlineLevel="0" collapsed="false">
      <c r="A485" s="0" t="s">
        <v>462</v>
      </c>
      <c r="B485" s="0" t="s">
        <v>516</v>
      </c>
      <c r="C485" s="0" t="n">
        <v>66</v>
      </c>
      <c r="D485" s="0" t="n">
        <v>1</v>
      </c>
      <c r="E485" s="0" t="n">
        <v>9</v>
      </c>
      <c r="F485" s="0" t="n">
        <v>2</v>
      </c>
    </row>
    <row r="486" customFormat="false" ht="15" hidden="false" customHeight="false" outlineLevel="0" collapsed="false">
      <c r="A486" s="0" t="s">
        <v>462</v>
      </c>
      <c r="B486" s="0" t="s">
        <v>517</v>
      </c>
      <c r="C486" s="0" t="n">
        <v>48</v>
      </c>
      <c r="D486" s="0" t="n">
        <v>1</v>
      </c>
      <c r="E486" s="0" t="n">
        <v>27</v>
      </c>
      <c r="F486" s="0" t="n">
        <v>1</v>
      </c>
    </row>
    <row r="487" customFormat="false" ht="15" hidden="false" customHeight="false" outlineLevel="0" collapsed="false">
      <c r="A487" s="0" t="s">
        <v>462</v>
      </c>
      <c r="B487" s="0" t="s">
        <v>518</v>
      </c>
      <c r="C487" s="0" t="n">
        <v>60</v>
      </c>
      <c r="D487" s="0" t="n">
        <v>1</v>
      </c>
      <c r="E487" s="0" t="n">
        <v>15</v>
      </c>
      <c r="F487" s="0" t="n">
        <v>1</v>
      </c>
    </row>
    <row r="488" customFormat="false" ht="15" hidden="false" customHeight="false" outlineLevel="0" collapsed="false">
      <c r="A488" s="0" t="s">
        <v>462</v>
      </c>
      <c r="B488" s="0" t="s">
        <v>519</v>
      </c>
      <c r="C488" s="0" t="n">
        <v>102</v>
      </c>
      <c r="D488" s="0" t="n">
        <v>2</v>
      </c>
      <c r="E488" s="0" t="n">
        <v>48</v>
      </c>
      <c r="F488" s="0" t="n">
        <v>2</v>
      </c>
    </row>
    <row r="489" customFormat="false" ht="15" hidden="false" customHeight="false" outlineLevel="0" collapsed="false">
      <c r="A489" s="0" t="s">
        <v>462</v>
      </c>
      <c r="B489" s="0" t="s">
        <v>520</v>
      </c>
      <c r="C489" s="0" t="n">
        <v>72</v>
      </c>
      <c r="D489" s="0" t="n">
        <v>1</v>
      </c>
      <c r="E489" s="0" t="n">
        <v>3</v>
      </c>
      <c r="F489" s="0" t="n">
        <v>2</v>
      </c>
    </row>
    <row r="490" customFormat="false" ht="15" hidden="false" customHeight="false" outlineLevel="0" collapsed="false">
      <c r="A490" s="0" t="s">
        <v>462</v>
      </c>
      <c r="B490" s="0" t="s">
        <v>521</v>
      </c>
      <c r="C490" s="0" t="n">
        <v>48</v>
      </c>
      <c r="D490" s="0" t="n">
        <v>1</v>
      </c>
      <c r="E490" s="0" t="n">
        <v>27</v>
      </c>
      <c r="F490" s="0" t="n">
        <v>1</v>
      </c>
    </row>
    <row r="491" customFormat="false" ht="15" hidden="false" customHeight="false" outlineLevel="0" collapsed="false">
      <c r="A491" s="0" t="s">
        <v>462</v>
      </c>
      <c r="B491" s="0" t="s">
        <v>522</v>
      </c>
      <c r="C491" s="0" t="n">
        <v>48</v>
      </c>
      <c r="D491" s="0" t="n">
        <v>1</v>
      </c>
      <c r="E491" s="0" t="n">
        <v>27</v>
      </c>
      <c r="F491" s="0" t="n">
        <v>1</v>
      </c>
    </row>
    <row r="492" customFormat="false" ht="15" hidden="false" customHeight="false" outlineLevel="0" collapsed="false">
      <c r="A492" s="0" t="s">
        <v>462</v>
      </c>
      <c r="B492" s="0" t="s">
        <v>523</v>
      </c>
      <c r="C492" s="0" t="n">
        <v>54</v>
      </c>
      <c r="D492" s="0" t="n">
        <v>1</v>
      </c>
      <c r="E492" s="0" t="n">
        <v>21</v>
      </c>
      <c r="F492" s="0" t="n">
        <v>1</v>
      </c>
    </row>
    <row r="493" customFormat="false" ht="15" hidden="false" customHeight="false" outlineLevel="0" collapsed="false">
      <c r="A493" s="0" t="s">
        <v>462</v>
      </c>
      <c r="B493" s="0" t="s">
        <v>524</v>
      </c>
      <c r="C493" s="0" t="n">
        <v>48</v>
      </c>
      <c r="D493" s="0" t="n">
        <v>1</v>
      </c>
      <c r="E493" s="0" t="n">
        <v>27</v>
      </c>
      <c r="F493" s="0" t="n">
        <v>1</v>
      </c>
    </row>
    <row r="494" customFormat="false" ht="15" hidden="false" customHeight="false" outlineLevel="0" collapsed="false">
      <c r="A494" s="0" t="s">
        <v>462</v>
      </c>
      <c r="B494" s="0" t="s">
        <v>525</v>
      </c>
      <c r="C494" s="0" t="n">
        <v>108</v>
      </c>
      <c r="D494" s="0" t="n">
        <v>2</v>
      </c>
      <c r="E494" s="0" t="n">
        <v>42</v>
      </c>
      <c r="F494" s="0" t="n">
        <v>2</v>
      </c>
    </row>
    <row r="495" customFormat="false" ht="15" hidden="false" customHeight="false" outlineLevel="0" collapsed="false">
      <c r="A495" s="0" t="s">
        <v>462</v>
      </c>
      <c r="B495" s="0" t="s">
        <v>526</v>
      </c>
      <c r="C495" s="0" t="n">
        <v>51</v>
      </c>
      <c r="D495" s="0" t="n">
        <v>1</v>
      </c>
      <c r="E495" s="0" t="n">
        <v>24</v>
      </c>
      <c r="F495" s="0" t="n">
        <v>1</v>
      </c>
    </row>
    <row r="496" customFormat="false" ht="15" hidden="false" customHeight="false" outlineLevel="0" collapsed="false">
      <c r="A496" s="0" t="s">
        <v>462</v>
      </c>
      <c r="B496" s="0" t="s">
        <v>527</v>
      </c>
      <c r="C496" s="0" t="n">
        <v>90</v>
      </c>
      <c r="D496" s="0" t="n">
        <v>2</v>
      </c>
      <c r="E496" s="0" t="n">
        <v>60</v>
      </c>
      <c r="F496" s="0" t="n">
        <v>2</v>
      </c>
    </row>
    <row r="497" customFormat="false" ht="15" hidden="false" customHeight="false" outlineLevel="0" collapsed="false">
      <c r="A497" s="0" t="s">
        <v>462</v>
      </c>
      <c r="B497" s="0" t="s">
        <v>528</v>
      </c>
      <c r="C497" s="0" t="n">
        <v>24</v>
      </c>
      <c r="D497" s="0" t="n">
        <v>1</v>
      </c>
      <c r="E497" s="0" t="n">
        <v>51</v>
      </c>
      <c r="F497" s="0" t="n">
        <v>1</v>
      </c>
    </row>
    <row r="498" customFormat="false" ht="15" hidden="false" customHeight="false" outlineLevel="0" collapsed="false">
      <c r="A498" s="0" t="s">
        <v>462</v>
      </c>
      <c r="B498" s="0" t="s">
        <v>529</v>
      </c>
      <c r="C498" s="0" t="n">
        <v>90</v>
      </c>
      <c r="D498" s="0" t="n">
        <v>2</v>
      </c>
      <c r="E498" s="0" t="n">
        <v>60</v>
      </c>
      <c r="F498" s="0" t="n">
        <v>2</v>
      </c>
    </row>
    <row r="499" customFormat="false" ht="15" hidden="false" customHeight="false" outlineLevel="0" collapsed="false">
      <c r="A499" s="0" t="s">
        <v>462</v>
      </c>
      <c r="B499" s="0" t="s">
        <v>530</v>
      </c>
      <c r="C499" s="0" t="n">
        <v>138</v>
      </c>
      <c r="D499" s="0" t="n">
        <v>2</v>
      </c>
      <c r="E499" s="0" t="n">
        <v>12</v>
      </c>
      <c r="F499" s="0" t="n">
        <v>3</v>
      </c>
    </row>
    <row r="500" customFormat="false" ht="15" hidden="false" customHeight="false" outlineLevel="0" collapsed="false">
      <c r="A500" s="0" t="s">
        <v>462</v>
      </c>
      <c r="B500" s="0" t="s">
        <v>531</v>
      </c>
      <c r="C500" s="0" t="n">
        <v>90</v>
      </c>
      <c r="D500" s="0" t="n">
        <v>2</v>
      </c>
      <c r="E500" s="0" t="n">
        <v>60</v>
      </c>
      <c r="F500" s="0" t="n">
        <v>2</v>
      </c>
    </row>
    <row r="501" customFormat="false" ht="15" hidden="false" customHeight="false" outlineLevel="0" collapsed="false">
      <c r="A501" s="0" t="s">
        <v>462</v>
      </c>
      <c r="B501" s="0" t="s">
        <v>532</v>
      </c>
      <c r="C501" s="0" t="n">
        <v>102</v>
      </c>
      <c r="D501" s="0" t="n">
        <v>2</v>
      </c>
      <c r="E501" s="0" t="n">
        <v>48</v>
      </c>
      <c r="F501" s="0" t="n">
        <v>2</v>
      </c>
    </row>
    <row r="502" customFormat="false" ht="15" hidden="false" customHeight="false" outlineLevel="0" collapsed="false">
      <c r="A502" s="0" t="s">
        <v>462</v>
      </c>
      <c r="B502" s="0" t="s">
        <v>533</v>
      </c>
      <c r="C502" s="0" t="n">
        <v>78</v>
      </c>
      <c r="D502" s="0" t="n">
        <v>2</v>
      </c>
      <c r="E502" s="0" t="n">
        <v>72</v>
      </c>
      <c r="F502" s="0" t="n">
        <v>2</v>
      </c>
    </row>
    <row r="503" customFormat="false" ht="15" hidden="false" customHeight="false" outlineLevel="0" collapsed="false">
      <c r="A503" s="0" t="s">
        <v>462</v>
      </c>
      <c r="B503" s="0" t="s">
        <v>534</v>
      </c>
      <c r="C503" s="0" t="n">
        <v>132</v>
      </c>
      <c r="D503" s="0" t="n">
        <v>2</v>
      </c>
      <c r="E503" s="0" t="n">
        <v>18</v>
      </c>
      <c r="F503" s="0" t="n">
        <v>3</v>
      </c>
    </row>
    <row r="504" customFormat="false" ht="15" hidden="false" customHeight="false" outlineLevel="0" collapsed="false">
      <c r="A504" s="0" t="s">
        <v>462</v>
      </c>
      <c r="B504" s="0" t="s">
        <v>535</v>
      </c>
      <c r="C504" s="0" t="n">
        <v>84</v>
      </c>
      <c r="D504" s="0" t="n">
        <v>2</v>
      </c>
      <c r="E504" s="0" t="n">
        <v>66</v>
      </c>
      <c r="F504" s="0" t="n">
        <v>2</v>
      </c>
    </row>
    <row r="505" customFormat="false" ht="15" hidden="false" customHeight="false" outlineLevel="0" collapsed="false">
      <c r="A505" s="0" t="s">
        <v>462</v>
      </c>
      <c r="B505" s="0" t="s">
        <v>536</v>
      </c>
      <c r="C505" s="0" t="n">
        <v>48</v>
      </c>
      <c r="D505" s="0" t="n">
        <v>1</v>
      </c>
      <c r="E505" s="0" t="n">
        <v>27</v>
      </c>
      <c r="F505" s="0" t="n">
        <v>1</v>
      </c>
    </row>
    <row r="506" customFormat="false" ht="15" hidden="false" customHeight="false" outlineLevel="0" collapsed="false">
      <c r="A506" s="0" t="s">
        <v>462</v>
      </c>
      <c r="B506" s="0" t="s">
        <v>537</v>
      </c>
      <c r="C506" s="0" t="n">
        <v>66</v>
      </c>
      <c r="D506" s="0" t="n">
        <v>1</v>
      </c>
      <c r="E506" s="0" t="n">
        <v>9</v>
      </c>
      <c r="F506" s="0" t="n">
        <v>2</v>
      </c>
    </row>
    <row r="507" customFormat="false" ht="15" hidden="false" customHeight="false" outlineLevel="0" collapsed="false">
      <c r="A507" s="0" t="s">
        <v>462</v>
      </c>
      <c r="B507" s="0" t="s">
        <v>538</v>
      </c>
      <c r="C507" s="0" t="n">
        <v>54</v>
      </c>
      <c r="D507" s="0" t="n">
        <v>1</v>
      </c>
      <c r="E507" s="0" t="n">
        <v>21</v>
      </c>
      <c r="F507" s="0" t="n">
        <v>1</v>
      </c>
    </row>
    <row r="508" customFormat="false" ht="15" hidden="false" customHeight="false" outlineLevel="0" collapsed="false">
      <c r="A508" s="0" t="s">
        <v>462</v>
      </c>
      <c r="B508" s="0" t="s">
        <v>539</v>
      </c>
      <c r="C508" s="0" t="n">
        <v>60</v>
      </c>
      <c r="D508" s="0" t="n">
        <v>1</v>
      </c>
      <c r="E508" s="0" t="n">
        <v>15</v>
      </c>
      <c r="F508" s="0" t="n">
        <v>1</v>
      </c>
    </row>
    <row r="509" customFormat="false" ht="15" hidden="false" customHeight="false" outlineLevel="0" collapsed="false">
      <c r="A509" s="0" t="s">
        <v>462</v>
      </c>
      <c r="B509" s="0" t="s">
        <v>540</v>
      </c>
      <c r="C509" s="0" t="n">
        <v>66</v>
      </c>
      <c r="D509" s="0" t="n">
        <v>1</v>
      </c>
      <c r="E509" s="0" t="n">
        <v>9</v>
      </c>
      <c r="F509" s="0" t="n">
        <v>2</v>
      </c>
    </row>
    <row r="510" customFormat="false" ht="15" hidden="false" customHeight="false" outlineLevel="0" collapsed="false">
      <c r="A510" s="0" t="s">
        <v>462</v>
      </c>
      <c r="B510" s="0" t="s">
        <v>541</v>
      </c>
      <c r="C510" s="0" t="n">
        <v>54</v>
      </c>
      <c r="D510" s="0" t="n">
        <v>1</v>
      </c>
      <c r="E510" s="0" t="n">
        <v>21</v>
      </c>
      <c r="F510" s="0" t="n">
        <v>1</v>
      </c>
    </row>
    <row r="511" customFormat="false" ht="15" hidden="false" customHeight="false" outlineLevel="0" collapsed="false">
      <c r="A511" s="0" t="s">
        <v>462</v>
      </c>
      <c r="B511" s="0" t="s">
        <v>542</v>
      </c>
      <c r="C511" s="0" t="n">
        <v>78</v>
      </c>
      <c r="D511" s="0" t="n">
        <v>2</v>
      </c>
      <c r="E511" s="0" t="n">
        <v>72</v>
      </c>
      <c r="F511" s="0" t="n">
        <v>2</v>
      </c>
    </row>
    <row r="512" customFormat="false" ht="15" hidden="false" customHeight="false" outlineLevel="0" collapsed="false">
      <c r="A512" s="0" t="s">
        <v>462</v>
      </c>
      <c r="B512" s="0" t="s">
        <v>543</v>
      </c>
      <c r="C512" s="0" t="n">
        <v>96</v>
      </c>
      <c r="D512" s="0" t="n">
        <v>2</v>
      </c>
      <c r="E512" s="0" t="n">
        <v>54</v>
      </c>
      <c r="F512" s="0" t="n">
        <v>2</v>
      </c>
    </row>
    <row r="513" customFormat="false" ht="15" hidden="false" customHeight="false" outlineLevel="0" collapsed="false">
      <c r="A513" s="0" t="s">
        <v>462</v>
      </c>
      <c r="B513" s="0" t="s">
        <v>544</v>
      </c>
      <c r="C513" s="0" t="n">
        <v>48</v>
      </c>
      <c r="D513" s="0" t="n">
        <v>1</v>
      </c>
      <c r="E513" s="0" t="n">
        <v>27</v>
      </c>
      <c r="F513" s="0" t="n">
        <v>1</v>
      </c>
    </row>
    <row r="514" customFormat="false" ht="15" hidden="false" customHeight="false" outlineLevel="0" collapsed="false">
      <c r="A514" s="0" t="s">
        <v>462</v>
      </c>
      <c r="B514" s="0" t="s">
        <v>545</v>
      </c>
      <c r="C514" s="0" t="n">
        <v>114</v>
      </c>
      <c r="D514" s="0" t="n">
        <v>2</v>
      </c>
      <c r="E514" s="0" t="n">
        <v>36</v>
      </c>
      <c r="F514" s="0" t="n">
        <v>2</v>
      </c>
    </row>
    <row r="515" customFormat="false" ht="15" hidden="false" customHeight="false" outlineLevel="0" collapsed="false">
      <c r="A515" s="0" t="s">
        <v>462</v>
      </c>
      <c r="B515" s="0" t="s">
        <v>546</v>
      </c>
      <c r="C515" s="0" t="n">
        <v>78</v>
      </c>
      <c r="D515" s="0" t="n">
        <v>2</v>
      </c>
      <c r="E515" s="0" t="n">
        <v>72</v>
      </c>
      <c r="F515" s="0" t="n">
        <v>2</v>
      </c>
    </row>
    <row r="516" customFormat="false" ht="15" hidden="false" customHeight="false" outlineLevel="0" collapsed="false">
      <c r="A516" s="0" t="s">
        <v>462</v>
      </c>
      <c r="B516" s="0" t="s">
        <v>547</v>
      </c>
      <c r="C516" s="0" t="n">
        <v>168</v>
      </c>
      <c r="D516" s="0" t="n">
        <v>3</v>
      </c>
      <c r="E516" s="0" t="n">
        <v>57</v>
      </c>
      <c r="F516" s="0" t="n">
        <v>3</v>
      </c>
    </row>
    <row r="517" customFormat="false" ht="15" hidden="false" customHeight="false" outlineLevel="0" collapsed="false">
      <c r="A517" s="0" t="s">
        <v>462</v>
      </c>
      <c r="B517" s="0" t="s">
        <v>548</v>
      </c>
      <c r="C517" s="0" t="n">
        <v>54</v>
      </c>
      <c r="D517" s="0" t="n">
        <v>1</v>
      </c>
      <c r="E517" s="0" t="n">
        <v>21</v>
      </c>
      <c r="F517" s="0" t="n">
        <v>1</v>
      </c>
    </row>
    <row r="518" customFormat="false" ht="15" hidden="false" customHeight="false" outlineLevel="0" collapsed="false">
      <c r="A518" s="0" t="s">
        <v>462</v>
      </c>
      <c r="B518" s="0" t="s">
        <v>549</v>
      </c>
      <c r="C518" s="0" t="n">
        <v>96</v>
      </c>
      <c r="D518" s="0" t="n">
        <v>2</v>
      </c>
      <c r="E518" s="0" t="n">
        <v>54</v>
      </c>
      <c r="F518" s="0" t="n">
        <v>2</v>
      </c>
    </row>
    <row r="519" customFormat="false" ht="15" hidden="false" customHeight="false" outlineLevel="0" collapsed="false">
      <c r="A519" s="0" t="s">
        <v>462</v>
      </c>
      <c r="B519" s="0" t="s">
        <v>550</v>
      </c>
      <c r="C519" s="0" t="n">
        <v>36</v>
      </c>
      <c r="D519" s="0" t="n">
        <v>1</v>
      </c>
      <c r="E519" s="0" t="n">
        <v>39</v>
      </c>
      <c r="F519" s="0" t="n">
        <v>1</v>
      </c>
    </row>
    <row r="520" customFormat="false" ht="15" hidden="false" customHeight="false" outlineLevel="0" collapsed="false">
      <c r="A520" s="0" t="s">
        <v>462</v>
      </c>
      <c r="B520" s="0" t="s">
        <v>551</v>
      </c>
      <c r="C520" s="0" t="n">
        <v>66</v>
      </c>
      <c r="D520" s="0" t="n">
        <v>1</v>
      </c>
      <c r="E520" s="0" t="n">
        <v>9</v>
      </c>
      <c r="F520" s="0" t="n">
        <v>2</v>
      </c>
    </row>
    <row r="521" customFormat="false" ht="15" hidden="false" customHeight="false" outlineLevel="0" collapsed="false">
      <c r="A521" s="0" t="s">
        <v>462</v>
      </c>
      <c r="B521" s="0" t="s">
        <v>552</v>
      </c>
      <c r="C521" s="0" t="n">
        <v>84</v>
      </c>
      <c r="D521" s="0" t="n">
        <v>2</v>
      </c>
      <c r="E521" s="0" t="n">
        <v>66</v>
      </c>
      <c r="F521" s="0" t="n">
        <v>2</v>
      </c>
    </row>
    <row r="522" customFormat="false" ht="15" hidden="false" customHeight="false" outlineLevel="0" collapsed="false">
      <c r="A522" s="0" t="s">
        <v>462</v>
      </c>
      <c r="B522" s="0" t="s">
        <v>553</v>
      </c>
      <c r="C522" s="0" t="n">
        <v>108</v>
      </c>
      <c r="D522" s="0" t="n">
        <v>2</v>
      </c>
      <c r="E522" s="0" t="n">
        <v>42</v>
      </c>
      <c r="F522" s="0" t="n">
        <v>2</v>
      </c>
    </row>
    <row r="523" customFormat="false" ht="15" hidden="false" customHeight="false" outlineLevel="0" collapsed="false">
      <c r="A523" s="0" t="s">
        <v>462</v>
      </c>
      <c r="B523" s="0" t="s">
        <v>554</v>
      </c>
      <c r="C523" s="0" t="n">
        <v>90</v>
      </c>
      <c r="D523" s="0" t="n">
        <v>2</v>
      </c>
      <c r="E523" s="0" t="n">
        <v>60</v>
      </c>
      <c r="F523" s="0" t="n">
        <v>2</v>
      </c>
    </row>
    <row r="524" customFormat="false" ht="15" hidden="false" customHeight="false" outlineLevel="0" collapsed="false">
      <c r="A524" s="0" t="s">
        <v>462</v>
      </c>
      <c r="B524" s="0" t="s">
        <v>555</v>
      </c>
      <c r="C524" s="0" t="n">
        <v>66</v>
      </c>
      <c r="D524" s="0" t="n">
        <v>1</v>
      </c>
      <c r="E524" s="0" t="n">
        <v>9</v>
      </c>
      <c r="F524" s="0" t="n">
        <v>2</v>
      </c>
    </row>
    <row r="525" customFormat="false" ht="15" hidden="false" customHeight="false" outlineLevel="0" collapsed="false">
      <c r="A525" s="0" t="s">
        <v>462</v>
      </c>
      <c r="B525" s="0" t="s">
        <v>556</v>
      </c>
      <c r="C525" s="0" t="n">
        <v>36</v>
      </c>
      <c r="D525" s="0" t="n">
        <v>1</v>
      </c>
      <c r="E525" s="0" t="n">
        <v>39</v>
      </c>
      <c r="F525" s="0" t="n">
        <v>1</v>
      </c>
    </row>
    <row r="526" customFormat="false" ht="15" hidden="false" customHeight="false" outlineLevel="0" collapsed="false">
      <c r="A526" s="0" t="s">
        <v>462</v>
      </c>
      <c r="B526" s="0" t="s">
        <v>557</v>
      </c>
      <c r="C526" s="0" t="n">
        <v>90</v>
      </c>
      <c r="D526" s="0" t="n">
        <v>2</v>
      </c>
      <c r="E526" s="0" t="n">
        <v>60</v>
      </c>
      <c r="F526" s="0" t="n">
        <v>2</v>
      </c>
    </row>
    <row r="527" customFormat="false" ht="15" hidden="false" customHeight="false" outlineLevel="0" collapsed="false">
      <c r="A527" s="0" t="s">
        <v>462</v>
      </c>
      <c r="B527" s="0" t="s">
        <v>558</v>
      </c>
      <c r="C527" s="0" t="n">
        <v>18</v>
      </c>
      <c r="D527" s="0" t="n">
        <v>1</v>
      </c>
      <c r="E527" s="0" t="n">
        <v>57</v>
      </c>
      <c r="F527" s="0" t="n">
        <v>1</v>
      </c>
    </row>
    <row r="528" customFormat="false" ht="15" hidden="false" customHeight="false" outlineLevel="0" collapsed="false">
      <c r="A528" s="0" t="s">
        <v>462</v>
      </c>
      <c r="B528" s="0" t="s">
        <v>559</v>
      </c>
      <c r="C528" s="0" t="n">
        <v>78</v>
      </c>
      <c r="D528" s="0" t="n">
        <v>2</v>
      </c>
      <c r="E528" s="0" t="n">
        <v>72</v>
      </c>
      <c r="F528" s="0" t="n">
        <v>2</v>
      </c>
    </row>
    <row r="529" customFormat="false" ht="15" hidden="false" customHeight="false" outlineLevel="0" collapsed="false">
      <c r="A529" s="0" t="s">
        <v>462</v>
      </c>
      <c r="B529" s="0" t="s">
        <v>560</v>
      </c>
      <c r="C529" s="0" t="n">
        <v>54</v>
      </c>
      <c r="D529" s="0" t="n">
        <v>1</v>
      </c>
      <c r="E529" s="0" t="n">
        <v>21</v>
      </c>
      <c r="F529" s="0" t="n">
        <v>1</v>
      </c>
    </row>
    <row r="530" customFormat="false" ht="15" hidden="false" customHeight="false" outlineLevel="0" collapsed="false">
      <c r="A530" s="0" t="s">
        <v>462</v>
      </c>
      <c r="B530" s="0" t="s">
        <v>561</v>
      </c>
      <c r="C530" s="0" t="n">
        <v>90</v>
      </c>
      <c r="D530" s="0" t="n">
        <v>2</v>
      </c>
      <c r="E530" s="0" t="n">
        <v>60</v>
      </c>
      <c r="F530" s="0" t="n">
        <v>2</v>
      </c>
    </row>
    <row r="531" customFormat="false" ht="15" hidden="false" customHeight="false" outlineLevel="0" collapsed="false">
      <c r="A531" s="0" t="s">
        <v>462</v>
      </c>
      <c r="B531" s="0" t="s">
        <v>562</v>
      </c>
      <c r="C531" s="0" t="n">
        <v>168</v>
      </c>
      <c r="D531" s="0" t="n">
        <v>3</v>
      </c>
      <c r="E531" s="0" t="n">
        <v>57</v>
      </c>
      <c r="F531" s="0" t="n">
        <v>3</v>
      </c>
    </row>
    <row r="532" customFormat="false" ht="15" hidden="false" customHeight="false" outlineLevel="0" collapsed="false">
      <c r="A532" s="0" t="s">
        <v>462</v>
      </c>
      <c r="B532" s="0" t="s">
        <v>563</v>
      </c>
      <c r="C532" s="0" t="n">
        <v>84</v>
      </c>
      <c r="D532" s="0" t="n">
        <v>2</v>
      </c>
      <c r="E532" s="0" t="n">
        <v>66</v>
      </c>
      <c r="F532" s="0" t="n">
        <v>2</v>
      </c>
    </row>
    <row r="533" customFormat="false" ht="15" hidden="false" customHeight="false" outlineLevel="0" collapsed="false">
      <c r="A533" s="0" t="s">
        <v>462</v>
      </c>
      <c r="B533" s="0" t="s">
        <v>564</v>
      </c>
      <c r="C533" s="0" t="n">
        <v>114</v>
      </c>
      <c r="D533" s="0" t="n">
        <v>2</v>
      </c>
      <c r="E533" s="0" t="n">
        <v>36</v>
      </c>
      <c r="F533" s="0" t="n">
        <v>2</v>
      </c>
    </row>
    <row r="534" customFormat="false" ht="15" hidden="false" customHeight="false" outlineLevel="0" collapsed="false">
      <c r="A534" s="0" t="s">
        <v>462</v>
      </c>
      <c r="B534" s="0" t="s">
        <v>565</v>
      </c>
      <c r="C534" s="0" t="n">
        <v>30</v>
      </c>
      <c r="D534" s="0" t="n">
        <v>1</v>
      </c>
      <c r="E534" s="0" t="n">
        <v>45</v>
      </c>
      <c r="F534" s="0" t="n">
        <v>1</v>
      </c>
    </row>
    <row r="535" customFormat="false" ht="15" hidden="false" customHeight="false" outlineLevel="0" collapsed="false">
      <c r="A535" s="0" t="s">
        <v>462</v>
      </c>
      <c r="B535" s="0" t="s">
        <v>566</v>
      </c>
      <c r="C535" s="0" t="n">
        <v>114</v>
      </c>
      <c r="D535" s="0" t="n">
        <v>2</v>
      </c>
      <c r="E535" s="0" t="n">
        <v>36</v>
      </c>
      <c r="F535" s="0" t="n">
        <v>2</v>
      </c>
    </row>
    <row r="536" customFormat="false" ht="15" hidden="false" customHeight="false" outlineLevel="0" collapsed="false">
      <c r="A536" s="0" t="s">
        <v>462</v>
      </c>
      <c r="B536" s="0" t="s">
        <v>567</v>
      </c>
      <c r="C536" s="0" t="n">
        <v>126</v>
      </c>
      <c r="D536" s="0" t="n">
        <v>2</v>
      </c>
      <c r="E536" s="0" t="n">
        <v>24</v>
      </c>
      <c r="F536" s="0" t="n">
        <v>3</v>
      </c>
    </row>
    <row r="537" customFormat="false" ht="15" hidden="false" customHeight="false" outlineLevel="0" collapsed="false">
      <c r="A537" s="0" t="s">
        <v>462</v>
      </c>
      <c r="B537" s="0" t="s">
        <v>568</v>
      </c>
      <c r="C537" s="0" t="n">
        <v>48</v>
      </c>
      <c r="D537" s="0" t="n">
        <v>1</v>
      </c>
      <c r="E537" s="0" t="n">
        <v>27</v>
      </c>
      <c r="F537" s="0" t="n">
        <v>1</v>
      </c>
    </row>
    <row r="538" customFormat="false" ht="15" hidden="false" customHeight="false" outlineLevel="0" collapsed="false">
      <c r="A538" s="0" t="s">
        <v>462</v>
      </c>
      <c r="B538" s="0" t="s">
        <v>569</v>
      </c>
      <c r="C538" s="0" t="n">
        <v>60</v>
      </c>
      <c r="D538" s="0" t="n">
        <v>1</v>
      </c>
      <c r="E538" s="0" t="n">
        <v>15</v>
      </c>
      <c r="F538" s="0" t="n">
        <v>1</v>
      </c>
    </row>
    <row r="539" customFormat="false" ht="15" hidden="false" customHeight="false" outlineLevel="0" collapsed="false">
      <c r="A539" s="0" t="s">
        <v>462</v>
      </c>
      <c r="B539" s="0" t="s">
        <v>570</v>
      </c>
      <c r="C539" s="0" t="n">
        <v>48</v>
      </c>
      <c r="D539" s="0" t="n">
        <v>1</v>
      </c>
      <c r="E539" s="0" t="n">
        <v>27</v>
      </c>
      <c r="F539" s="0" t="n">
        <v>1</v>
      </c>
    </row>
    <row r="540" customFormat="false" ht="15" hidden="false" customHeight="false" outlineLevel="0" collapsed="false">
      <c r="A540" s="0" t="s">
        <v>462</v>
      </c>
      <c r="B540" s="0" t="s">
        <v>571</v>
      </c>
      <c r="C540" s="0" t="n">
        <v>30</v>
      </c>
      <c r="D540" s="0" t="n">
        <v>1</v>
      </c>
      <c r="E540" s="0" t="n">
        <v>45</v>
      </c>
      <c r="F540" s="0" t="n">
        <v>1</v>
      </c>
    </row>
    <row r="541" customFormat="false" ht="15" hidden="false" customHeight="false" outlineLevel="0" collapsed="false">
      <c r="A541" s="0" t="s">
        <v>462</v>
      </c>
      <c r="B541" s="0" t="s">
        <v>572</v>
      </c>
      <c r="C541" s="0" t="n">
        <v>90</v>
      </c>
      <c r="D541" s="0" t="n">
        <v>2</v>
      </c>
      <c r="E541" s="0" t="n">
        <v>60</v>
      </c>
      <c r="F541" s="0" t="n">
        <v>2</v>
      </c>
    </row>
    <row r="542" customFormat="false" ht="15" hidden="false" customHeight="false" outlineLevel="0" collapsed="false">
      <c r="A542" s="0" t="s">
        <v>462</v>
      </c>
      <c r="B542" s="0" t="s">
        <v>573</v>
      </c>
      <c r="C542" s="0" t="n">
        <v>114</v>
      </c>
      <c r="D542" s="0" t="n">
        <v>2</v>
      </c>
      <c r="E542" s="0" t="n">
        <v>36</v>
      </c>
      <c r="F542" s="0" t="n">
        <v>2</v>
      </c>
    </row>
    <row r="543" customFormat="false" ht="15" hidden="false" customHeight="false" outlineLevel="0" collapsed="false">
      <c r="A543" s="0" t="s">
        <v>462</v>
      </c>
      <c r="B543" s="0" t="s">
        <v>574</v>
      </c>
      <c r="C543" s="0" t="n">
        <v>90</v>
      </c>
      <c r="D543" s="0" t="n">
        <v>2</v>
      </c>
      <c r="E543" s="0" t="n">
        <v>60</v>
      </c>
      <c r="F543" s="0" t="n">
        <v>2</v>
      </c>
    </row>
    <row r="544" customFormat="false" ht="15" hidden="false" customHeight="false" outlineLevel="0" collapsed="false">
      <c r="A544" s="0" t="s">
        <v>462</v>
      </c>
      <c r="B544" s="0" t="s">
        <v>575</v>
      </c>
      <c r="C544" s="0" t="n">
        <v>60</v>
      </c>
      <c r="D544" s="0" t="n">
        <v>1</v>
      </c>
      <c r="E544" s="0" t="n">
        <v>15</v>
      </c>
      <c r="F544" s="0" t="n">
        <v>1</v>
      </c>
    </row>
    <row r="545" customFormat="false" ht="15" hidden="false" customHeight="false" outlineLevel="0" collapsed="false">
      <c r="A545" s="0" t="s">
        <v>462</v>
      </c>
      <c r="B545" s="0" t="s">
        <v>576</v>
      </c>
      <c r="C545" s="0" t="n">
        <v>96</v>
      </c>
      <c r="D545" s="0" t="n">
        <v>2</v>
      </c>
      <c r="E545" s="0" t="n">
        <v>54</v>
      </c>
      <c r="F545" s="0" t="n">
        <v>2</v>
      </c>
    </row>
    <row r="546" customFormat="false" ht="15" hidden="false" customHeight="false" outlineLevel="0" collapsed="false">
      <c r="A546" s="0" t="s">
        <v>462</v>
      </c>
      <c r="B546" s="0" t="s">
        <v>577</v>
      </c>
      <c r="C546" s="0" t="n">
        <v>18</v>
      </c>
      <c r="D546" s="0" t="n">
        <v>1</v>
      </c>
      <c r="E546" s="0" t="n">
        <v>57</v>
      </c>
      <c r="F546" s="0" t="n">
        <v>1</v>
      </c>
    </row>
    <row r="547" customFormat="false" ht="15" hidden="false" customHeight="false" outlineLevel="0" collapsed="false">
      <c r="A547" s="0" t="s">
        <v>462</v>
      </c>
      <c r="B547" s="0" t="s">
        <v>578</v>
      </c>
      <c r="C547" s="0" t="n">
        <v>108</v>
      </c>
      <c r="D547" s="0" t="n">
        <v>2</v>
      </c>
      <c r="E547" s="0" t="n">
        <v>42</v>
      </c>
      <c r="F547" s="0" t="n">
        <v>2</v>
      </c>
    </row>
    <row r="548" customFormat="false" ht="15" hidden="false" customHeight="false" outlineLevel="0" collapsed="false">
      <c r="A548" s="0" t="s">
        <v>462</v>
      </c>
      <c r="B548" s="0" t="s">
        <v>579</v>
      </c>
      <c r="C548" s="0" t="n">
        <v>72</v>
      </c>
      <c r="D548" s="0" t="n">
        <v>1</v>
      </c>
      <c r="E548" s="0" t="n">
        <v>3</v>
      </c>
      <c r="F548" s="0" t="n">
        <v>2</v>
      </c>
    </row>
    <row r="549" customFormat="false" ht="15" hidden="false" customHeight="false" outlineLevel="0" collapsed="false">
      <c r="A549" s="0" t="s">
        <v>462</v>
      </c>
      <c r="B549" s="0" t="s">
        <v>580</v>
      </c>
      <c r="C549" s="0" t="n">
        <v>66</v>
      </c>
      <c r="D549" s="0" t="n">
        <v>1</v>
      </c>
      <c r="E549" s="0" t="n">
        <v>9</v>
      </c>
      <c r="F549" s="0" t="n">
        <v>2</v>
      </c>
    </row>
    <row r="550" customFormat="false" ht="15" hidden="false" customHeight="false" outlineLevel="0" collapsed="false">
      <c r="A550" s="0" t="s">
        <v>462</v>
      </c>
      <c r="B550" s="0" t="s">
        <v>581</v>
      </c>
      <c r="C550" s="0" t="n">
        <v>12</v>
      </c>
      <c r="D550" s="0" t="n">
        <v>1</v>
      </c>
      <c r="E550" s="0" t="n">
        <v>63</v>
      </c>
      <c r="F550" s="0" t="n">
        <v>1</v>
      </c>
    </row>
    <row r="551" customFormat="false" ht="15" hidden="false" customHeight="false" outlineLevel="0" collapsed="false">
      <c r="A551" s="0" t="s">
        <v>462</v>
      </c>
      <c r="B551" s="0" t="s">
        <v>582</v>
      </c>
      <c r="C551" s="0" t="n">
        <v>60</v>
      </c>
      <c r="D551" s="0" t="n">
        <v>1</v>
      </c>
      <c r="E551" s="0" t="n">
        <v>15</v>
      </c>
      <c r="F551" s="0" t="n">
        <v>1</v>
      </c>
    </row>
    <row r="552" customFormat="false" ht="15" hidden="false" customHeight="false" outlineLevel="0" collapsed="false">
      <c r="A552" s="0" t="s">
        <v>462</v>
      </c>
      <c r="B552" s="0" t="s">
        <v>583</v>
      </c>
      <c r="C552" s="0" t="n">
        <v>114</v>
      </c>
      <c r="D552" s="0" t="n">
        <v>2</v>
      </c>
      <c r="E552" s="0" t="n">
        <v>36</v>
      </c>
      <c r="F552" s="0" t="n">
        <v>2</v>
      </c>
    </row>
    <row r="553" customFormat="false" ht="15" hidden="false" customHeight="false" outlineLevel="0" collapsed="false">
      <c r="A553" s="0" t="s">
        <v>462</v>
      </c>
      <c r="B553" s="0" t="s">
        <v>584</v>
      </c>
      <c r="C553" s="0" t="n">
        <v>78</v>
      </c>
      <c r="D553" s="0" t="n">
        <v>2</v>
      </c>
      <c r="E553" s="0" t="n">
        <v>72</v>
      </c>
      <c r="F553" s="0" t="n">
        <v>2</v>
      </c>
    </row>
    <row r="554" customFormat="false" ht="15" hidden="false" customHeight="false" outlineLevel="0" collapsed="false">
      <c r="A554" s="0" t="s">
        <v>462</v>
      </c>
      <c r="B554" s="0" t="s">
        <v>585</v>
      </c>
      <c r="C554" s="0" t="n">
        <v>108</v>
      </c>
      <c r="D554" s="0" t="n">
        <v>2</v>
      </c>
      <c r="E554" s="0" t="n">
        <v>42</v>
      </c>
      <c r="F554" s="0" t="n">
        <v>2</v>
      </c>
    </row>
    <row r="555" customFormat="false" ht="15" hidden="false" customHeight="false" outlineLevel="0" collapsed="false">
      <c r="A555" s="0" t="s">
        <v>462</v>
      </c>
      <c r="B555" s="0" t="s">
        <v>586</v>
      </c>
      <c r="C555" s="0" t="n">
        <v>54</v>
      </c>
      <c r="D555" s="0" t="n">
        <v>1</v>
      </c>
      <c r="E555" s="0" t="n">
        <v>21</v>
      </c>
      <c r="F555" s="0" t="n">
        <v>1</v>
      </c>
    </row>
    <row r="556" customFormat="false" ht="15" hidden="false" customHeight="false" outlineLevel="0" collapsed="false">
      <c r="A556" s="0" t="s">
        <v>462</v>
      </c>
      <c r="B556" s="0" t="s">
        <v>587</v>
      </c>
      <c r="C556" s="0" t="n">
        <v>18</v>
      </c>
      <c r="D556" s="0" t="n">
        <v>1</v>
      </c>
      <c r="E556" s="0" t="n">
        <v>57</v>
      </c>
      <c r="F556" s="0" t="n">
        <v>1</v>
      </c>
    </row>
    <row r="557" customFormat="false" ht="15" hidden="false" customHeight="false" outlineLevel="0" collapsed="false">
      <c r="A557" s="0" t="s">
        <v>462</v>
      </c>
      <c r="B557" s="0" t="s">
        <v>588</v>
      </c>
      <c r="C557" s="0" t="n">
        <v>24</v>
      </c>
      <c r="D557" s="0" t="n">
        <v>1</v>
      </c>
      <c r="E557" s="0" t="n">
        <v>51</v>
      </c>
      <c r="F557" s="0" t="n">
        <v>1</v>
      </c>
    </row>
    <row r="558" customFormat="false" ht="15" hidden="false" customHeight="false" outlineLevel="0" collapsed="false">
      <c r="A558" s="0" t="s">
        <v>462</v>
      </c>
      <c r="B558" s="0" t="s">
        <v>589</v>
      </c>
      <c r="C558" s="0" t="n">
        <v>72</v>
      </c>
      <c r="D558" s="0" t="n">
        <v>1</v>
      </c>
      <c r="E558" s="0" t="n">
        <v>3</v>
      </c>
      <c r="F558" s="0" t="n">
        <v>2</v>
      </c>
    </row>
    <row r="559" customFormat="false" ht="15" hidden="false" customHeight="false" outlineLevel="0" collapsed="false">
      <c r="A559" s="0" t="s">
        <v>462</v>
      </c>
      <c r="B559" s="0" t="s">
        <v>590</v>
      </c>
      <c r="C559" s="0" t="n">
        <v>36</v>
      </c>
      <c r="D559" s="0" t="n">
        <v>1</v>
      </c>
      <c r="E559" s="0" t="n">
        <v>39</v>
      </c>
      <c r="F559" s="0" t="n">
        <v>1</v>
      </c>
    </row>
    <row r="560" customFormat="false" ht="15" hidden="false" customHeight="false" outlineLevel="0" collapsed="false">
      <c r="A560" s="0" t="s">
        <v>462</v>
      </c>
      <c r="B560" s="0" t="s">
        <v>591</v>
      </c>
      <c r="C560" s="0" t="n">
        <v>90</v>
      </c>
      <c r="D560" s="0" t="n">
        <v>2</v>
      </c>
      <c r="E560" s="0" t="n">
        <v>60</v>
      </c>
      <c r="F560" s="0" t="n">
        <v>2</v>
      </c>
    </row>
    <row r="561" customFormat="false" ht="15" hidden="false" customHeight="false" outlineLevel="0" collapsed="false">
      <c r="A561" s="0" t="s">
        <v>462</v>
      </c>
      <c r="B561" s="0" t="s">
        <v>592</v>
      </c>
      <c r="C561" s="0" t="n">
        <v>18</v>
      </c>
      <c r="D561" s="0" t="n">
        <v>1</v>
      </c>
      <c r="E561" s="0" t="n">
        <v>57</v>
      </c>
      <c r="F561" s="0" t="n">
        <v>1</v>
      </c>
    </row>
    <row r="562" customFormat="false" ht="15" hidden="false" customHeight="false" outlineLevel="0" collapsed="false">
      <c r="A562" s="0" t="s">
        <v>462</v>
      </c>
      <c r="B562" s="0" t="s">
        <v>593</v>
      </c>
      <c r="C562" s="0" t="n">
        <v>72</v>
      </c>
      <c r="D562" s="0" t="n">
        <v>1</v>
      </c>
      <c r="E562" s="0" t="n">
        <v>3</v>
      </c>
      <c r="F562" s="0" t="n">
        <v>2</v>
      </c>
    </row>
    <row r="563" customFormat="false" ht="15" hidden="false" customHeight="false" outlineLevel="0" collapsed="false">
      <c r="A563" s="0" t="s">
        <v>462</v>
      </c>
      <c r="B563" s="0" t="s">
        <v>594</v>
      </c>
      <c r="C563" s="0" t="n">
        <v>84</v>
      </c>
      <c r="D563" s="0" t="n">
        <v>2</v>
      </c>
      <c r="E563" s="0" t="n">
        <v>66</v>
      </c>
      <c r="F563" s="0" t="n">
        <v>2</v>
      </c>
    </row>
    <row r="564" customFormat="false" ht="15" hidden="false" customHeight="false" outlineLevel="0" collapsed="false">
      <c r="A564" s="0" t="s">
        <v>462</v>
      </c>
      <c r="B564" s="0" t="s">
        <v>595</v>
      </c>
      <c r="C564" s="0" t="n">
        <v>102</v>
      </c>
      <c r="D564" s="0" t="n">
        <v>2</v>
      </c>
      <c r="E564" s="0" t="n">
        <v>48</v>
      </c>
      <c r="F564" s="0" t="n">
        <v>2</v>
      </c>
    </row>
    <row r="565" customFormat="false" ht="15" hidden="false" customHeight="false" outlineLevel="0" collapsed="false">
      <c r="A565" s="0" t="s">
        <v>462</v>
      </c>
      <c r="B565" s="0" t="s">
        <v>596</v>
      </c>
      <c r="C565" s="0" t="n">
        <v>24</v>
      </c>
      <c r="D565" s="0" t="n">
        <v>1</v>
      </c>
      <c r="E565" s="0" t="n">
        <v>51</v>
      </c>
      <c r="F565" s="0" t="n">
        <v>1</v>
      </c>
    </row>
    <row r="566" customFormat="false" ht="15" hidden="false" customHeight="false" outlineLevel="0" collapsed="false">
      <c r="A566" s="0" t="s">
        <v>462</v>
      </c>
      <c r="B566" s="0" t="s">
        <v>597</v>
      </c>
      <c r="C566" s="0" t="n">
        <v>24</v>
      </c>
      <c r="D566" s="0" t="n">
        <v>1</v>
      </c>
      <c r="E566" s="0" t="n">
        <v>51</v>
      </c>
      <c r="F566" s="0" t="n">
        <v>1</v>
      </c>
    </row>
    <row r="567" customFormat="false" ht="15" hidden="false" customHeight="false" outlineLevel="0" collapsed="false">
      <c r="A567" s="0" t="s">
        <v>462</v>
      </c>
      <c r="B567" s="0" t="s">
        <v>598</v>
      </c>
      <c r="C567" s="0" t="n">
        <v>24</v>
      </c>
      <c r="D567" s="0" t="n">
        <v>1</v>
      </c>
      <c r="E567" s="0" t="n">
        <v>51</v>
      </c>
      <c r="F567" s="0" t="n">
        <v>1</v>
      </c>
    </row>
    <row r="568" customFormat="false" ht="15" hidden="false" customHeight="false" outlineLevel="0" collapsed="false">
      <c r="A568" s="0" t="s">
        <v>462</v>
      </c>
      <c r="B568" s="0" t="s">
        <v>599</v>
      </c>
      <c r="C568" s="0" t="n">
        <v>54</v>
      </c>
      <c r="D568" s="0" t="n">
        <v>1</v>
      </c>
      <c r="E568" s="0" t="n">
        <v>21</v>
      </c>
      <c r="F568" s="0" t="n">
        <v>1</v>
      </c>
    </row>
    <row r="569" customFormat="false" ht="15" hidden="false" customHeight="false" outlineLevel="0" collapsed="false">
      <c r="A569" s="0" t="s">
        <v>462</v>
      </c>
      <c r="B569" s="0" t="s">
        <v>600</v>
      </c>
      <c r="C569" s="0" t="n">
        <v>48</v>
      </c>
      <c r="D569" s="0" t="n">
        <v>1</v>
      </c>
      <c r="E569" s="0" t="n">
        <v>27</v>
      </c>
      <c r="F569" s="0" t="n">
        <v>1</v>
      </c>
    </row>
    <row r="570" customFormat="false" ht="15" hidden="false" customHeight="false" outlineLevel="0" collapsed="false">
      <c r="A570" s="0" t="s">
        <v>462</v>
      </c>
      <c r="B570" s="0" t="s">
        <v>601</v>
      </c>
      <c r="C570" s="0" t="n">
        <v>42</v>
      </c>
      <c r="D570" s="0" t="n">
        <v>1</v>
      </c>
      <c r="E570" s="0" t="n">
        <v>33</v>
      </c>
      <c r="F570" s="0" t="n">
        <v>1</v>
      </c>
    </row>
    <row r="571" customFormat="false" ht="15" hidden="false" customHeight="false" outlineLevel="0" collapsed="false">
      <c r="A571" s="0" t="s">
        <v>462</v>
      </c>
      <c r="B571" s="0" t="s">
        <v>602</v>
      </c>
      <c r="C571" s="0" t="n">
        <v>114</v>
      </c>
      <c r="D571" s="0" t="n">
        <v>2</v>
      </c>
      <c r="E571" s="0" t="n">
        <v>36</v>
      </c>
      <c r="F571" s="0" t="n">
        <v>2</v>
      </c>
    </row>
    <row r="572" customFormat="false" ht="15" hidden="false" customHeight="false" outlineLevel="0" collapsed="false">
      <c r="A572" s="0" t="s">
        <v>462</v>
      </c>
      <c r="B572" s="0" t="s">
        <v>603</v>
      </c>
      <c r="C572" s="0" t="n">
        <v>54</v>
      </c>
      <c r="D572" s="0" t="n">
        <v>1</v>
      </c>
      <c r="E572" s="0" t="n">
        <v>21</v>
      </c>
      <c r="F572" s="0" t="n">
        <v>1</v>
      </c>
    </row>
    <row r="573" customFormat="false" ht="15" hidden="false" customHeight="false" outlineLevel="0" collapsed="false">
      <c r="A573" s="0" t="s">
        <v>462</v>
      </c>
      <c r="B573" s="0" t="s">
        <v>604</v>
      </c>
      <c r="C573" s="0" t="n">
        <v>150</v>
      </c>
      <c r="D573" s="0" t="n">
        <v>2</v>
      </c>
      <c r="E573" s="0" t="n">
        <v>0</v>
      </c>
      <c r="F573" s="0" t="n">
        <v>3</v>
      </c>
    </row>
    <row r="574" customFormat="false" ht="15" hidden="false" customHeight="false" outlineLevel="0" collapsed="false">
      <c r="A574" s="0" t="s">
        <v>462</v>
      </c>
      <c r="B574" s="0" t="s">
        <v>605</v>
      </c>
      <c r="C574" s="0" t="n">
        <v>30</v>
      </c>
      <c r="D574" s="0" t="n">
        <v>1</v>
      </c>
      <c r="E574" s="0" t="n">
        <v>45</v>
      </c>
      <c r="F574" s="0" t="n">
        <v>1</v>
      </c>
    </row>
    <row r="575" customFormat="false" ht="15" hidden="false" customHeight="false" outlineLevel="0" collapsed="false">
      <c r="A575" s="0" t="s">
        <v>462</v>
      </c>
      <c r="B575" s="0" t="s">
        <v>606</v>
      </c>
      <c r="C575" s="0" t="n">
        <v>24</v>
      </c>
      <c r="D575" s="0" t="n">
        <v>1</v>
      </c>
      <c r="E575" s="0" t="n">
        <v>51</v>
      </c>
      <c r="F575" s="0" t="n">
        <v>1</v>
      </c>
    </row>
    <row r="576" customFormat="false" ht="15" hidden="false" customHeight="false" outlineLevel="0" collapsed="false">
      <c r="A576" s="0" t="s">
        <v>462</v>
      </c>
      <c r="B576" s="0" t="s">
        <v>607</v>
      </c>
      <c r="C576" s="0" t="n">
        <v>30</v>
      </c>
      <c r="D576" s="0" t="n">
        <v>1</v>
      </c>
      <c r="E576" s="0" t="n">
        <v>45</v>
      </c>
      <c r="F576" s="0" t="n">
        <v>1</v>
      </c>
    </row>
    <row r="577" customFormat="false" ht="15" hidden="false" customHeight="false" outlineLevel="0" collapsed="false">
      <c r="A577" s="0" t="s">
        <v>462</v>
      </c>
      <c r="B577" s="0" t="s">
        <v>608</v>
      </c>
      <c r="C577" s="0" t="n">
        <v>24</v>
      </c>
      <c r="D577" s="0" t="n">
        <v>1</v>
      </c>
      <c r="E577" s="0" t="n">
        <v>51</v>
      </c>
      <c r="F577" s="0" t="n">
        <v>1</v>
      </c>
    </row>
    <row r="578" customFormat="false" ht="15" hidden="false" customHeight="false" outlineLevel="0" collapsed="false">
      <c r="A578" s="0" t="s">
        <v>462</v>
      </c>
      <c r="B578" s="0" t="s">
        <v>609</v>
      </c>
      <c r="C578" s="0" t="n">
        <v>78</v>
      </c>
      <c r="D578" s="0" t="n">
        <v>2</v>
      </c>
      <c r="E578" s="0" t="n">
        <v>72</v>
      </c>
      <c r="F578" s="0" t="n">
        <v>2</v>
      </c>
    </row>
    <row r="579" customFormat="false" ht="15" hidden="false" customHeight="false" outlineLevel="0" collapsed="false">
      <c r="A579" s="0" t="s">
        <v>462</v>
      </c>
      <c r="B579" s="0" t="s">
        <v>610</v>
      </c>
      <c r="C579" s="0" t="n">
        <v>30</v>
      </c>
      <c r="D579" s="0" t="n">
        <v>1</v>
      </c>
      <c r="E579" s="0" t="n">
        <v>45</v>
      </c>
      <c r="F579" s="0" t="n">
        <v>1</v>
      </c>
    </row>
    <row r="580" customFormat="false" ht="15" hidden="false" customHeight="false" outlineLevel="0" collapsed="false">
      <c r="A580" s="0" t="s">
        <v>462</v>
      </c>
      <c r="B580" s="0" t="s">
        <v>611</v>
      </c>
      <c r="C580" s="0" t="n">
        <v>51</v>
      </c>
      <c r="D580" s="0" t="n">
        <v>1</v>
      </c>
      <c r="E580" s="0" t="n">
        <v>24</v>
      </c>
      <c r="F580" s="0" t="n">
        <v>1</v>
      </c>
    </row>
    <row r="581" customFormat="false" ht="15" hidden="false" customHeight="false" outlineLevel="0" collapsed="false">
      <c r="A581" s="0" t="s">
        <v>462</v>
      </c>
      <c r="B581" s="0" t="s">
        <v>612</v>
      </c>
      <c r="C581" s="0" t="n">
        <v>90</v>
      </c>
      <c r="D581" s="0" t="n">
        <v>2</v>
      </c>
      <c r="E581" s="0" t="n">
        <v>60</v>
      </c>
      <c r="F581" s="0" t="n">
        <v>2</v>
      </c>
    </row>
    <row r="582" customFormat="false" ht="15" hidden="false" customHeight="false" outlineLevel="0" collapsed="false">
      <c r="A582" s="0" t="s">
        <v>462</v>
      </c>
      <c r="B582" s="0" t="s">
        <v>613</v>
      </c>
      <c r="C582" s="0" t="n">
        <v>78</v>
      </c>
      <c r="D582" s="0" t="n">
        <v>2</v>
      </c>
      <c r="E582" s="0" t="n">
        <v>72</v>
      </c>
      <c r="F582" s="0" t="n">
        <v>2</v>
      </c>
    </row>
    <row r="583" customFormat="false" ht="15" hidden="false" customHeight="false" outlineLevel="0" collapsed="false">
      <c r="A583" s="0" t="s">
        <v>462</v>
      </c>
      <c r="B583" s="0" t="s">
        <v>614</v>
      </c>
      <c r="C583" s="0" t="n">
        <v>48</v>
      </c>
      <c r="D583" s="0" t="n">
        <v>1</v>
      </c>
      <c r="E583" s="0" t="n">
        <v>27</v>
      </c>
      <c r="F583" s="0" t="n">
        <v>1</v>
      </c>
    </row>
    <row r="584" customFormat="false" ht="15" hidden="false" customHeight="false" outlineLevel="0" collapsed="false">
      <c r="A584" s="0" t="s">
        <v>462</v>
      </c>
      <c r="B584" s="0" t="s">
        <v>615</v>
      </c>
      <c r="C584" s="0" t="n">
        <v>48</v>
      </c>
      <c r="D584" s="0" t="n">
        <v>1</v>
      </c>
      <c r="E584" s="0" t="n">
        <v>27</v>
      </c>
      <c r="F584" s="0" t="n">
        <v>1</v>
      </c>
    </row>
    <row r="585" customFormat="false" ht="15" hidden="false" customHeight="false" outlineLevel="0" collapsed="false">
      <c r="A585" s="0" t="s">
        <v>462</v>
      </c>
      <c r="B585" s="0" t="s">
        <v>616</v>
      </c>
      <c r="C585" s="0" t="n">
        <v>66</v>
      </c>
      <c r="D585" s="0" t="n">
        <v>1</v>
      </c>
      <c r="E585" s="0" t="n">
        <v>9</v>
      </c>
      <c r="F585" s="0" t="n">
        <v>2</v>
      </c>
    </row>
    <row r="586" customFormat="false" ht="15" hidden="false" customHeight="false" outlineLevel="0" collapsed="false">
      <c r="A586" s="0" t="s">
        <v>462</v>
      </c>
      <c r="B586" s="0" t="s">
        <v>617</v>
      </c>
      <c r="C586" s="0" t="n">
        <v>36</v>
      </c>
      <c r="D586" s="0" t="n">
        <v>1</v>
      </c>
      <c r="E586" s="0" t="n">
        <v>39</v>
      </c>
      <c r="F586" s="0" t="n">
        <v>1</v>
      </c>
    </row>
    <row r="587" customFormat="false" ht="15" hidden="false" customHeight="false" outlineLevel="0" collapsed="false">
      <c r="A587" s="0" t="s">
        <v>462</v>
      </c>
      <c r="B587" s="0" t="s">
        <v>618</v>
      </c>
      <c r="C587" s="0" t="n">
        <v>54</v>
      </c>
      <c r="D587" s="0" t="n">
        <v>1</v>
      </c>
      <c r="E587" s="0" t="n">
        <v>21</v>
      </c>
      <c r="F587" s="0" t="n">
        <v>1</v>
      </c>
    </row>
    <row r="588" customFormat="false" ht="15" hidden="false" customHeight="false" outlineLevel="0" collapsed="false">
      <c r="A588" s="0" t="s">
        <v>462</v>
      </c>
      <c r="B588" s="0" t="s">
        <v>619</v>
      </c>
      <c r="C588" s="0" t="n">
        <v>126</v>
      </c>
      <c r="D588" s="0" t="n">
        <v>2</v>
      </c>
      <c r="E588" s="0" t="n">
        <v>24</v>
      </c>
      <c r="F588" s="0" t="n">
        <v>3</v>
      </c>
    </row>
    <row r="589" customFormat="false" ht="15" hidden="false" customHeight="false" outlineLevel="0" collapsed="false">
      <c r="A589" s="0" t="s">
        <v>462</v>
      </c>
      <c r="B589" s="0" t="s">
        <v>620</v>
      </c>
      <c r="C589" s="0" t="n">
        <v>18</v>
      </c>
      <c r="D589" s="0" t="n">
        <v>1</v>
      </c>
      <c r="E589" s="0" t="n">
        <v>57</v>
      </c>
      <c r="F589" s="0" t="n">
        <v>1</v>
      </c>
    </row>
    <row r="590" customFormat="false" ht="15" hidden="false" customHeight="false" outlineLevel="0" collapsed="false">
      <c r="A590" s="0" t="s">
        <v>462</v>
      </c>
      <c r="B590" s="0" t="s">
        <v>621</v>
      </c>
      <c r="C590" s="0" t="n">
        <v>42</v>
      </c>
      <c r="D590" s="0" t="n">
        <v>1</v>
      </c>
      <c r="E590" s="0" t="n">
        <v>33</v>
      </c>
      <c r="F590" s="0" t="n">
        <v>1</v>
      </c>
    </row>
    <row r="591" customFormat="false" ht="15" hidden="false" customHeight="false" outlineLevel="0" collapsed="false">
      <c r="A591" s="0" t="s">
        <v>462</v>
      </c>
      <c r="B591" s="0" t="s">
        <v>622</v>
      </c>
      <c r="C591" s="0" t="n">
        <v>30</v>
      </c>
      <c r="D591" s="0" t="n">
        <v>1</v>
      </c>
      <c r="E591" s="0" t="n">
        <v>45</v>
      </c>
      <c r="F591" s="0" t="n">
        <v>1</v>
      </c>
    </row>
    <row r="592" customFormat="false" ht="15" hidden="false" customHeight="false" outlineLevel="0" collapsed="false">
      <c r="A592" s="0" t="s">
        <v>462</v>
      </c>
      <c r="B592" s="0" t="s">
        <v>623</v>
      </c>
      <c r="C592" s="0" t="n">
        <v>48</v>
      </c>
      <c r="D592" s="0" t="n">
        <v>1</v>
      </c>
      <c r="E592" s="0" t="n">
        <v>27</v>
      </c>
      <c r="F592" s="0" t="n">
        <v>1</v>
      </c>
    </row>
    <row r="593" customFormat="false" ht="15" hidden="false" customHeight="false" outlineLevel="0" collapsed="false">
      <c r="A593" s="0" t="s">
        <v>462</v>
      </c>
      <c r="B593" s="0" t="s">
        <v>624</v>
      </c>
      <c r="C593" s="0" t="n">
        <v>72</v>
      </c>
      <c r="D593" s="0" t="n">
        <v>1</v>
      </c>
      <c r="E593" s="0" t="n">
        <v>3</v>
      </c>
      <c r="F593" s="0" t="n">
        <v>2</v>
      </c>
    </row>
    <row r="594" customFormat="false" ht="15" hidden="false" customHeight="false" outlineLevel="0" collapsed="false">
      <c r="A594" s="0" t="s">
        <v>462</v>
      </c>
      <c r="B594" s="0" t="s">
        <v>686</v>
      </c>
      <c r="C594" s="0" t="n">
        <v>6</v>
      </c>
      <c r="D594" s="0" t="n">
        <v>1</v>
      </c>
      <c r="E594" s="0" t="n">
        <v>69</v>
      </c>
      <c r="F594" s="0" t="n">
        <v>1</v>
      </c>
    </row>
    <row r="595" customFormat="false" ht="15" hidden="false" customHeight="false" outlineLevel="0" collapsed="false">
      <c r="A595" s="0" t="s">
        <v>462</v>
      </c>
      <c r="B595" s="0" t="s">
        <v>625</v>
      </c>
      <c r="C595" s="0" t="n">
        <v>18</v>
      </c>
      <c r="D595" s="0" t="n">
        <v>1</v>
      </c>
      <c r="E595" s="0" t="n">
        <v>57</v>
      </c>
      <c r="F595" s="0" t="n">
        <v>1</v>
      </c>
    </row>
    <row r="596" customFormat="false" ht="15" hidden="false" customHeight="false" outlineLevel="0" collapsed="false">
      <c r="A596" s="0" t="s">
        <v>462</v>
      </c>
      <c r="B596" s="0" t="s">
        <v>626</v>
      </c>
      <c r="C596" s="0" t="n">
        <v>12</v>
      </c>
      <c r="D596" s="0" t="n">
        <v>1</v>
      </c>
      <c r="E596" s="0" t="n">
        <v>63</v>
      </c>
      <c r="F596" s="0" t="n">
        <v>1</v>
      </c>
    </row>
    <row r="597" customFormat="false" ht="15" hidden="false" customHeight="false" outlineLevel="0" collapsed="false">
      <c r="A597" s="0" t="s">
        <v>462</v>
      </c>
      <c r="B597" s="0" t="s">
        <v>627</v>
      </c>
      <c r="C597" s="0" t="n">
        <v>54</v>
      </c>
      <c r="D597" s="0" t="n">
        <v>1</v>
      </c>
      <c r="E597" s="0" t="n">
        <v>21</v>
      </c>
      <c r="F597" s="0" t="n">
        <v>1</v>
      </c>
    </row>
    <row r="598" customFormat="false" ht="15" hidden="false" customHeight="false" outlineLevel="0" collapsed="false">
      <c r="A598" s="0" t="s">
        <v>462</v>
      </c>
      <c r="B598" s="0" t="s">
        <v>628</v>
      </c>
      <c r="C598" s="0" t="n">
        <v>48</v>
      </c>
      <c r="D598" s="0" t="n">
        <v>1</v>
      </c>
      <c r="E598" s="0" t="n">
        <v>27</v>
      </c>
      <c r="F598" s="0" t="n">
        <v>1</v>
      </c>
    </row>
    <row r="599" customFormat="false" ht="15" hidden="false" customHeight="false" outlineLevel="0" collapsed="false">
      <c r="A599" s="0" t="s">
        <v>462</v>
      </c>
      <c r="B599" s="0" t="s">
        <v>629</v>
      </c>
      <c r="C599" s="0" t="n">
        <v>24</v>
      </c>
      <c r="D599" s="0" t="n">
        <v>1</v>
      </c>
      <c r="E599" s="0" t="n">
        <v>51</v>
      </c>
      <c r="F599" s="0" t="n">
        <v>1</v>
      </c>
    </row>
    <row r="600" customFormat="false" ht="15" hidden="false" customHeight="false" outlineLevel="0" collapsed="false">
      <c r="A600" s="0" t="s">
        <v>462</v>
      </c>
      <c r="B600" s="0" t="s">
        <v>630</v>
      </c>
      <c r="C600" s="0" t="n">
        <v>36</v>
      </c>
      <c r="D600" s="0" t="n">
        <v>1</v>
      </c>
      <c r="E600" s="0" t="n">
        <v>39</v>
      </c>
      <c r="F600" s="0" t="n">
        <v>1</v>
      </c>
    </row>
    <row r="601" customFormat="false" ht="15" hidden="false" customHeight="false" outlineLevel="0" collapsed="false">
      <c r="A601" s="0" t="s">
        <v>462</v>
      </c>
      <c r="B601" s="0" t="s">
        <v>631</v>
      </c>
      <c r="C601" s="0" t="n">
        <v>18</v>
      </c>
      <c r="D601" s="0" t="n">
        <v>1</v>
      </c>
      <c r="E601" s="0" t="n">
        <v>57</v>
      </c>
      <c r="F601" s="0" t="n">
        <v>1</v>
      </c>
    </row>
    <row r="602" customFormat="false" ht="15" hidden="false" customHeight="false" outlineLevel="0" collapsed="false">
      <c r="A602" s="0" t="s">
        <v>462</v>
      </c>
      <c r="B602" s="0" t="s">
        <v>632</v>
      </c>
      <c r="C602" s="0" t="n">
        <v>54</v>
      </c>
      <c r="D602" s="0" t="n">
        <v>1</v>
      </c>
      <c r="E602" s="0" t="n">
        <v>21</v>
      </c>
      <c r="F602" s="0" t="n">
        <v>1</v>
      </c>
    </row>
    <row r="603" customFormat="false" ht="15" hidden="false" customHeight="false" outlineLevel="0" collapsed="false">
      <c r="A603" s="0" t="s">
        <v>462</v>
      </c>
      <c r="B603" s="0" t="s">
        <v>633</v>
      </c>
      <c r="C603" s="0" t="n">
        <v>60</v>
      </c>
      <c r="D603" s="0" t="n">
        <v>1</v>
      </c>
      <c r="E603" s="0" t="n">
        <v>15</v>
      </c>
      <c r="F603" s="0" t="n">
        <v>1</v>
      </c>
    </row>
    <row r="604" customFormat="false" ht="15" hidden="false" customHeight="false" outlineLevel="0" collapsed="false">
      <c r="A604" s="0" t="s">
        <v>462</v>
      </c>
      <c r="B604" s="0" t="s">
        <v>634</v>
      </c>
      <c r="C604" s="0" t="n">
        <v>48</v>
      </c>
      <c r="D604" s="0" t="n">
        <v>1</v>
      </c>
      <c r="E604" s="0" t="n">
        <v>27</v>
      </c>
      <c r="F604" s="0" t="n">
        <v>1</v>
      </c>
    </row>
    <row r="605" customFormat="false" ht="15" hidden="false" customHeight="false" outlineLevel="0" collapsed="false">
      <c r="A605" s="0" t="s">
        <v>462</v>
      </c>
      <c r="B605" s="0" t="s">
        <v>635</v>
      </c>
      <c r="C605" s="0" t="n">
        <v>30</v>
      </c>
      <c r="D605" s="0" t="n">
        <v>1</v>
      </c>
      <c r="E605" s="0" t="n">
        <v>45</v>
      </c>
      <c r="F605" s="0" t="n">
        <v>1</v>
      </c>
    </row>
    <row r="606" customFormat="false" ht="15" hidden="false" customHeight="false" outlineLevel="0" collapsed="false">
      <c r="A606" s="0" t="s">
        <v>462</v>
      </c>
      <c r="B606" s="0" t="s">
        <v>636</v>
      </c>
      <c r="C606" s="0" t="n">
        <v>36</v>
      </c>
      <c r="D606" s="0" t="n">
        <v>1</v>
      </c>
      <c r="E606" s="0" t="n">
        <v>39</v>
      </c>
      <c r="F606" s="0" t="n">
        <v>1</v>
      </c>
    </row>
    <row r="607" customFormat="false" ht="15" hidden="false" customHeight="false" outlineLevel="0" collapsed="false">
      <c r="A607" s="0" t="s">
        <v>462</v>
      </c>
      <c r="B607" s="0" t="s">
        <v>637</v>
      </c>
      <c r="C607" s="0" t="n">
        <v>30</v>
      </c>
      <c r="D607" s="0" t="n">
        <v>1</v>
      </c>
      <c r="E607" s="0" t="n">
        <v>45</v>
      </c>
      <c r="F607" s="0" t="n">
        <v>1</v>
      </c>
    </row>
    <row r="608" customFormat="false" ht="15" hidden="false" customHeight="false" outlineLevel="0" collapsed="false">
      <c r="A608" s="0" t="s">
        <v>462</v>
      </c>
      <c r="B608" s="0" t="s">
        <v>638</v>
      </c>
      <c r="C608" s="0" t="n">
        <v>60</v>
      </c>
      <c r="D608" s="0" t="n">
        <v>1</v>
      </c>
      <c r="E608" s="0" t="n">
        <v>15</v>
      </c>
      <c r="F608" s="0" t="n">
        <v>1</v>
      </c>
    </row>
    <row r="609" customFormat="false" ht="15" hidden="false" customHeight="false" outlineLevel="0" collapsed="false">
      <c r="A609" s="0" t="s">
        <v>462</v>
      </c>
      <c r="B609" s="0" t="s">
        <v>639</v>
      </c>
      <c r="C609" s="0" t="n">
        <v>60</v>
      </c>
      <c r="D609" s="0" t="n">
        <v>1</v>
      </c>
      <c r="E609" s="0" t="n">
        <v>15</v>
      </c>
      <c r="F609" s="0" t="n">
        <v>1</v>
      </c>
    </row>
    <row r="610" customFormat="false" ht="15" hidden="false" customHeight="false" outlineLevel="0" collapsed="false">
      <c r="A610" s="0" t="s">
        <v>462</v>
      </c>
      <c r="B610" s="0" t="s">
        <v>640</v>
      </c>
      <c r="C610" s="0" t="n">
        <v>42</v>
      </c>
      <c r="D610" s="0" t="n">
        <v>1</v>
      </c>
      <c r="E610" s="0" t="n">
        <v>33</v>
      </c>
      <c r="F610" s="0" t="n">
        <v>1</v>
      </c>
    </row>
    <row r="611" customFormat="false" ht="15" hidden="false" customHeight="false" outlineLevel="0" collapsed="false">
      <c r="A611" s="0" t="s">
        <v>462</v>
      </c>
      <c r="B611" s="0" t="s">
        <v>641</v>
      </c>
      <c r="C611" s="0" t="n">
        <v>36</v>
      </c>
      <c r="D611" s="0" t="n">
        <v>1</v>
      </c>
      <c r="E611" s="0" t="n">
        <v>39</v>
      </c>
      <c r="F611" s="0" t="n">
        <v>1</v>
      </c>
    </row>
    <row r="612" customFormat="false" ht="15" hidden="false" customHeight="false" outlineLevel="0" collapsed="false">
      <c r="A612" s="0" t="s">
        <v>462</v>
      </c>
      <c r="B612" s="0" t="s">
        <v>642</v>
      </c>
      <c r="C612" s="0" t="n">
        <v>30</v>
      </c>
      <c r="D612" s="0" t="n">
        <v>1</v>
      </c>
      <c r="E612" s="0" t="n">
        <v>45</v>
      </c>
      <c r="F612" s="0" t="n">
        <v>1</v>
      </c>
    </row>
    <row r="613" customFormat="false" ht="15" hidden="false" customHeight="false" outlineLevel="0" collapsed="false">
      <c r="A613" s="0" t="s">
        <v>462</v>
      </c>
      <c r="B613" s="0" t="s">
        <v>643</v>
      </c>
      <c r="C613" s="0" t="n">
        <v>114</v>
      </c>
      <c r="D613" s="0" t="n">
        <v>2</v>
      </c>
      <c r="E613" s="0" t="n">
        <v>36</v>
      </c>
      <c r="F613" s="0" t="n">
        <v>2</v>
      </c>
    </row>
    <row r="614" customFormat="false" ht="15" hidden="false" customHeight="false" outlineLevel="0" collapsed="false">
      <c r="A614" s="0" t="s">
        <v>462</v>
      </c>
      <c r="B614" s="0" t="s">
        <v>644</v>
      </c>
      <c r="C614" s="0" t="n">
        <v>36</v>
      </c>
      <c r="D614" s="0" t="n">
        <v>1</v>
      </c>
      <c r="E614" s="0" t="n">
        <v>39</v>
      </c>
      <c r="F614" s="0" t="n">
        <v>1</v>
      </c>
    </row>
    <row r="615" customFormat="false" ht="15" hidden="false" customHeight="false" outlineLevel="0" collapsed="false">
      <c r="A615" s="0" t="s">
        <v>462</v>
      </c>
      <c r="B615" s="0" t="s">
        <v>645</v>
      </c>
      <c r="C615" s="0" t="n">
        <v>108</v>
      </c>
      <c r="D615" s="0" t="n">
        <v>2</v>
      </c>
      <c r="E615" s="0" t="n">
        <v>42</v>
      </c>
      <c r="F615" s="0" t="n">
        <v>2</v>
      </c>
    </row>
    <row r="616" customFormat="false" ht="15" hidden="false" customHeight="false" outlineLevel="0" collapsed="false">
      <c r="A616" s="0" t="s">
        <v>462</v>
      </c>
      <c r="B616" s="0" t="s">
        <v>646</v>
      </c>
      <c r="C616" s="0" t="n">
        <v>78</v>
      </c>
      <c r="D616" s="0" t="n">
        <v>2</v>
      </c>
      <c r="E616" s="0" t="n">
        <v>72</v>
      </c>
      <c r="F616" s="0" t="n">
        <v>2</v>
      </c>
    </row>
    <row r="617" customFormat="false" ht="15" hidden="false" customHeight="false" outlineLevel="0" collapsed="false">
      <c r="A617" s="0" t="s">
        <v>462</v>
      </c>
      <c r="B617" s="0" t="s">
        <v>647</v>
      </c>
      <c r="C617" s="0" t="n">
        <v>36</v>
      </c>
      <c r="D617" s="0" t="n">
        <v>1</v>
      </c>
      <c r="E617" s="0" t="n">
        <v>39</v>
      </c>
      <c r="F617" s="0" t="n">
        <v>1</v>
      </c>
    </row>
    <row r="618" customFormat="false" ht="15" hidden="false" customHeight="false" outlineLevel="0" collapsed="false">
      <c r="A618" s="0" t="s">
        <v>462</v>
      </c>
      <c r="B618" s="0" t="s">
        <v>648</v>
      </c>
      <c r="C618" s="0" t="n">
        <v>12</v>
      </c>
      <c r="D618" s="0" t="n">
        <v>1</v>
      </c>
      <c r="E618" s="0" t="n">
        <v>63</v>
      </c>
      <c r="F618" s="0" t="n">
        <v>1</v>
      </c>
    </row>
    <row r="619" customFormat="false" ht="15" hidden="false" customHeight="false" outlineLevel="0" collapsed="false">
      <c r="A619" s="0" t="s">
        <v>462</v>
      </c>
      <c r="B619" s="0" t="s">
        <v>649</v>
      </c>
      <c r="C619" s="0" t="n">
        <v>36</v>
      </c>
      <c r="D619" s="0" t="n">
        <v>1</v>
      </c>
      <c r="E619" s="0" t="n">
        <v>39</v>
      </c>
      <c r="F619" s="0" t="n">
        <v>1</v>
      </c>
    </row>
    <row r="620" customFormat="false" ht="15" hidden="false" customHeight="false" outlineLevel="0" collapsed="false">
      <c r="A620" s="0" t="s">
        <v>462</v>
      </c>
      <c r="B620" s="0" t="s">
        <v>650</v>
      </c>
      <c r="C620" s="0" t="n">
        <v>6</v>
      </c>
      <c r="D620" s="0" t="n">
        <v>1</v>
      </c>
      <c r="E620" s="0" t="n">
        <v>69</v>
      </c>
      <c r="F620" s="0" t="n">
        <v>1</v>
      </c>
    </row>
    <row r="621" customFormat="false" ht="15" hidden="false" customHeight="false" outlineLevel="0" collapsed="false">
      <c r="A621" s="0" t="s">
        <v>462</v>
      </c>
      <c r="B621" s="0" t="s">
        <v>651</v>
      </c>
      <c r="C621" s="0" t="n">
        <v>90</v>
      </c>
      <c r="D621" s="0" t="n">
        <v>2</v>
      </c>
      <c r="E621" s="0" t="n">
        <v>60</v>
      </c>
      <c r="F621" s="0" t="n">
        <v>2</v>
      </c>
    </row>
    <row r="622" customFormat="false" ht="15" hidden="false" customHeight="false" outlineLevel="0" collapsed="false">
      <c r="A622" s="0" t="s">
        <v>462</v>
      </c>
      <c r="B622" s="0" t="s">
        <v>652</v>
      </c>
      <c r="C622" s="0" t="n">
        <v>90</v>
      </c>
      <c r="D622" s="0" t="n">
        <v>2</v>
      </c>
      <c r="E622" s="0" t="n">
        <v>60</v>
      </c>
      <c r="F622" s="0" t="n">
        <v>2</v>
      </c>
    </row>
    <row r="623" customFormat="false" ht="15" hidden="false" customHeight="false" outlineLevel="0" collapsed="false">
      <c r="A623" s="0" t="s">
        <v>462</v>
      </c>
      <c r="B623" s="0" t="s">
        <v>653</v>
      </c>
      <c r="C623" s="0" t="n">
        <v>12</v>
      </c>
      <c r="D623" s="0" t="n">
        <v>1</v>
      </c>
      <c r="E623" s="0" t="n">
        <v>63</v>
      </c>
      <c r="F623" s="0" t="n">
        <v>1</v>
      </c>
    </row>
    <row r="624" customFormat="false" ht="15" hidden="false" customHeight="false" outlineLevel="0" collapsed="false">
      <c r="A624" s="0" t="s">
        <v>462</v>
      </c>
      <c r="B624" s="0" t="s">
        <v>654</v>
      </c>
      <c r="C624" s="0" t="n">
        <v>78</v>
      </c>
      <c r="D624" s="0" t="n">
        <v>2</v>
      </c>
      <c r="E624" s="0" t="n">
        <v>72</v>
      </c>
      <c r="F624" s="0" t="n">
        <v>2</v>
      </c>
    </row>
    <row r="625" customFormat="false" ht="15" hidden="false" customHeight="false" outlineLevel="0" collapsed="false">
      <c r="A625" s="0" t="s">
        <v>462</v>
      </c>
      <c r="B625" s="0" t="s">
        <v>655</v>
      </c>
      <c r="C625" s="0" t="n">
        <v>42</v>
      </c>
      <c r="D625" s="0" t="n">
        <v>1</v>
      </c>
      <c r="E625" s="0" t="n">
        <v>33</v>
      </c>
      <c r="F625" s="0" t="n">
        <v>1</v>
      </c>
    </row>
    <row r="626" customFormat="false" ht="15" hidden="false" customHeight="false" outlineLevel="0" collapsed="false">
      <c r="A626" s="0" t="s">
        <v>462</v>
      </c>
      <c r="B626" s="0" t="s">
        <v>656</v>
      </c>
      <c r="C626" s="0" t="n">
        <v>132</v>
      </c>
      <c r="D626" s="0" t="n">
        <v>2</v>
      </c>
      <c r="E626" s="0" t="n">
        <v>18</v>
      </c>
      <c r="F626" s="0" t="n">
        <v>3</v>
      </c>
    </row>
    <row r="627" customFormat="false" ht="15" hidden="false" customHeight="false" outlineLevel="0" collapsed="false">
      <c r="A627" s="0" t="s">
        <v>462</v>
      </c>
      <c r="B627" s="0" t="s">
        <v>657</v>
      </c>
      <c r="C627" s="0" t="n">
        <v>72</v>
      </c>
      <c r="D627" s="0" t="n">
        <v>1</v>
      </c>
      <c r="E627" s="0" t="n">
        <v>3</v>
      </c>
      <c r="F627" s="0" t="n">
        <v>2</v>
      </c>
    </row>
    <row r="628" customFormat="false" ht="15" hidden="false" customHeight="false" outlineLevel="0" collapsed="false">
      <c r="A628" s="0" t="s">
        <v>462</v>
      </c>
      <c r="B628" s="0" t="s">
        <v>658</v>
      </c>
      <c r="C628" s="0" t="n">
        <v>54</v>
      </c>
      <c r="D628" s="0" t="n">
        <v>1</v>
      </c>
      <c r="E628" s="0" t="n">
        <v>21</v>
      </c>
      <c r="F628" s="0" t="n">
        <v>1</v>
      </c>
    </row>
    <row r="629" customFormat="false" ht="15" hidden="false" customHeight="false" outlineLevel="0" collapsed="false">
      <c r="A629" s="0" t="s">
        <v>462</v>
      </c>
      <c r="B629" s="0" t="s">
        <v>659</v>
      </c>
      <c r="C629" s="0" t="n">
        <v>48</v>
      </c>
      <c r="D629" s="0" t="n">
        <v>1</v>
      </c>
      <c r="E629" s="0" t="n">
        <v>27</v>
      </c>
      <c r="F629" s="0" t="n">
        <v>1</v>
      </c>
    </row>
    <row r="630" customFormat="false" ht="15" hidden="false" customHeight="false" outlineLevel="0" collapsed="false">
      <c r="A630" s="0" t="s">
        <v>462</v>
      </c>
      <c r="B630" s="0" t="s">
        <v>660</v>
      </c>
      <c r="C630" s="0" t="n">
        <v>66</v>
      </c>
      <c r="D630" s="0" t="n">
        <v>1</v>
      </c>
      <c r="E630" s="0" t="n">
        <v>9</v>
      </c>
      <c r="F630" s="0" t="n">
        <v>2</v>
      </c>
    </row>
    <row r="631" customFormat="false" ht="15" hidden="false" customHeight="false" outlineLevel="0" collapsed="false">
      <c r="A631" s="0" t="s">
        <v>462</v>
      </c>
      <c r="B631" s="0" t="s">
        <v>661</v>
      </c>
      <c r="C631" s="0" t="n">
        <v>66</v>
      </c>
      <c r="D631" s="0" t="n">
        <v>1</v>
      </c>
      <c r="E631" s="0" t="n">
        <v>9</v>
      </c>
      <c r="F631" s="0" t="n">
        <v>2</v>
      </c>
    </row>
    <row r="632" customFormat="false" ht="15" hidden="false" customHeight="false" outlineLevel="0" collapsed="false">
      <c r="A632" s="0" t="s">
        <v>462</v>
      </c>
      <c r="B632" s="0" t="s">
        <v>662</v>
      </c>
      <c r="C632" s="0" t="n">
        <v>102</v>
      </c>
      <c r="D632" s="0" t="n">
        <v>2</v>
      </c>
      <c r="E632" s="0" t="n">
        <v>48</v>
      </c>
      <c r="F632" s="0" t="n">
        <v>2</v>
      </c>
    </row>
    <row r="633" customFormat="false" ht="15" hidden="false" customHeight="false" outlineLevel="0" collapsed="false">
      <c r="A633" s="0" t="s">
        <v>462</v>
      </c>
      <c r="B633" s="0" t="s">
        <v>663</v>
      </c>
      <c r="C633" s="0" t="n">
        <v>54</v>
      </c>
      <c r="D633" s="0" t="n">
        <v>1</v>
      </c>
      <c r="E633" s="0" t="n">
        <v>21</v>
      </c>
      <c r="F633" s="0" t="n">
        <v>1</v>
      </c>
    </row>
    <row r="634" customFormat="false" ht="15" hidden="false" customHeight="false" outlineLevel="0" collapsed="false">
      <c r="A634" s="0" t="s">
        <v>462</v>
      </c>
      <c r="B634" s="0" t="s">
        <v>664</v>
      </c>
      <c r="C634" s="0" t="n">
        <v>6</v>
      </c>
      <c r="D634" s="0" t="n">
        <v>1</v>
      </c>
      <c r="E634" s="0" t="n">
        <v>69</v>
      </c>
      <c r="F634" s="0" t="n">
        <v>1</v>
      </c>
    </row>
    <row r="635" customFormat="false" ht="15" hidden="false" customHeight="false" outlineLevel="0" collapsed="false">
      <c r="A635" s="0" t="s">
        <v>462</v>
      </c>
      <c r="B635" s="0" t="s">
        <v>665</v>
      </c>
      <c r="C635" s="0" t="n">
        <v>18</v>
      </c>
      <c r="D635" s="0" t="n">
        <v>1</v>
      </c>
      <c r="E635" s="0" t="n">
        <v>57</v>
      </c>
      <c r="F635" s="0" t="n">
        <v>1</v>
      </c>
    </row>
    <row r="636" customFormat="false" ht="15" hidden="false" customHeight="false" outlineLevel="0" collapsed="false">
      <c r="A636" s="0" t="s">
        <v>462</v>
      </c>
      <c r="B636" s="0" t="s">
        <v>666</v>
      </c>
      <c r="C636" s="0" t="n">
        <v>42</v>
      </c>
      <c r="D636" s="0" t="n">
        <v>1</v>
      </c>
      <c r="E636" s="0" t="n">
        <v>33</v>
      </c>
      <c r="F636" s="0" t="n">
        <v>1</v>
      </c>
    </row>
    <row r="637" customFormat="false" ht="15" hidden="false" customHeight="false" outlineLevel="0" collapsed="false">
      <c r="A637" s="0" t="s">
        <v>462</v>
      </c>
      <c r="B637" s="0" t="s">
        <v>667</v>
      </c>
      <c r="C637" s="0" t="n">
        <v>78</v>
      </c>
      <c r="D637" s="0" t="n">
        <v>2</v>
      </c>
      <c r="E637" s="0" t="n">
        <v>72</v>
      </c>
      <c r="F637" s="0" t="n">
        <v>2</v>
      </c>
    </row>
    <row r="638" customFormat="false" ht="15" hidden="false" customHeight="false" outlineLevel="0" collapsed="false">
      <c r="A638" s="0" t="s">
        <v>462</v>
      </c>
      <c r="B638" s="0" t="s">
        <v>668</v>
      </c>
      <c r="C638" s="0" t="n">
        <v>60</v>
      </c>
      <c r="D638" s="0" t="n">
        <v>1</v>
      </c>
      <c r="E638" s="0" t="n">
        <v>15</v>
      </c>
      <c r="F638" s="0" t="n">
        <v>1</v>
      </c>
    </row>
    <row r="639" customFormat="false" ht="15" hidden="false" customHeight="false" outlineLevel="0" collapsed="false">
      <c r="A639" s="0" t="s">
        <v>462</v>
      </c>
      <c r="B639" s="0" t="s">
        <v>669</v>
      </c>
      <c r="C639" s="0" t="n">
        <v>54</v>
      </c>
      <c r="D639" s="0" t="n">
        <v>1</v>
      </c>
      <c r="E639" s="0" t="n">
        <v>21</v>
      </c>
      <c r="F639" s="0" t="n">
        <v>1</v>
      </c>
    </row>
    <row r="640" customFormat="false" ht="15" hidden="false" customHeight="false" outlineLevel="0" collapsed="false">
      <c r="A640" s="0" t="s">
        <v>462</v>
      </c>
      <c r="B640" s="0" t="s">
        <v>670</v>
      </c>
      <c r="C640" s="0" t="n">
        <v>48</v>
      </c>
      <c r="D640" s="0" t="n">
        <v>1</v>
      </c>
      <c r="E640" s="0" t="n">
        <v>27</v>
      </c>
      <c r="F640" s="0" t="n">
        <v>1</v>
      </c>
    </row>
    <row r="641" customFormat="false" ht="15" hidden="false" customHeight="false" outlineLevel="0" collapsed="false">
      <c r="A641" s="0" t="s">
        <v>462</v>
      </c>
      <c r="B641" s="0" t="s">
        <v>671</v>
      </c>
      <c r="C641" s="0" t="n">
        <v>42</v>
      </c>
      <c r="D641" s="0" t="n">
        <v>1</v>
      </c>
      <c r="E641" s="0" t="n">
        <v>33</v>
      </c>
      <c r="F641" s="0" t="n">
        <v>1</v>
      </c>
    </row>
    <row r="642" customFormat="false" ht="15" hidden="false" customHeight="false" outlineLevel="0" collapsed="false">
      <c r="A642" s="0" t="s">
        <v>462</v>
      </c>
      <c r="B642" s="0" t="s">
        <v>672</v>
      </c>
      <c r="C642" s="0" t="n">
        <v>54</v>
      </c>
      <c r="D642" s="0" t="n">
        <v>1</v>
      </c>
      <c r="E642" s="0" t="n">
        <v>21</v>
      </c>
      <c r="F642" s="0" t="n">
        <v>1</v>
      </c>
    </row>
    <row r="643" customFormat="false" ht="15" hidden="false" customHeight="false" outlineLevel="0" collapsed="false">
      <c r="A643" s="0" t="s">
        <v>462</v>
      </c>
      <c r="B643" s="0" t="s">
        <v>673</v>
      </c>
      <c r="C643" s="0" t="n">
        <v>6</v>
      </c>
      <c r="D643" s="0" t="n">
        <v>1</v>
      </c>
      <c r="E643" s="0" t="n">
        <v>69</v>
      </c>
      <c r="F643" s="0" t="n">
        <v>1</v>
      </c>
    </row>
    <row r="644" customFormat="false" ht="15" hidden="false" customHeight="false" outlineLevel="0" collapsed="false">
      <c r="A644" s="0" t="s">
        <v>462</v>
      </c>
      <c r="B644" s="0" t="s">
        <v>674</v>
      </c>
      <c r="C644" s="0" t="n">
        <v>30</v>
      </c>
      <c r="D644" s="0" t="n">
        <v>1</v>
      </c>
      <c r="E644" s="0" t="n">
        <v>45</v>
      </c>
      <c r="F644" s="0" t="n">
        <v>1</v>
      </c>
    </row>
    <row r="645" customFormat="false" ht="15" hidden="false" customHeight="false" outlineLevel="0" collapsed="false">
      <c r="A645" s="0" t="s">
        <v>462</v>
      </c>
      <c r="B645" s="0" t="s">
        <v>675</v>
      </c>
      <c r="C645" s="0" t="n">
        <v>48</v>
      </c>
      <c r="D645" s="0" t="n">
        <v>1</v>
      </c>
      <c r="E645" s="0" t="n">
        <v>27</v>
      </c>
      <c r="F645" s="0" t="n">
        <v>1</v>
      </c>
    </row>
    <row r="646" customFormat="false" ht="15" hidden="false" customHeight="false" outlineLevel="0" collapsed="false">
      <c r="A646" s="0" t="s">
        <v>462</v>
      </c>
      <c r="B646" s="0" t="s">
        <v>676</v>
      </c>
      <c r="C646" s="0" t="n">
        <v>18</v>
      </c>
      <c r="D646" s="0" t="n">
        <v>1</v>
      </c>
      <c r="E646" s="0" t="n">
        <v>57</v>
      </c>
      <c r="F646" s="0" t="n">
        <v>1</v>
      </c>
    </row>
    <row r="647" customFormat="false" ht="15" hidden="false" customHeight="false" outlineLevel="0" collapsed="false">
      <c r="A647" s="0" t="s">
        <v>462</v>
      </c>
      <c r="B647" s="0" t="s">
        <v>677</v>
      </c>
      <c r="C647" s="0" t="n">
        <v>114</v>
      </c>
      <c r="D647" s="0" t="n">
        <v>2</v>
      </c>
      <c r="E647" s="0" t="n">
        <v>36</v>
      </c>
      <c r="F647" s="0" t="n">
        <v>2</v>
      </c>
    </row>
    <row r="648" customFormat="false" ht="15" hidden="false" customHeight="false" outlineLevel="0" collapsed="false">
      <c r="A648" s="0" t="s">
        <v>462</v>
      </c>
      <c r="B648" s="0" t="s">
        <v>678</v>
      </c>
      <c r="C648" s="0" t="n">
        <v>6</v>
      </c>
      <c r="D648" s="0" t="n">
        <v>1</v>
      </c>
      <c r="E648" s="0" t="n">
        <v>69</v>
      </c>
      <c r="F64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6" min="2" style="0" width="15"/>
    <col collapsed="false" customWidth="true" hidden="false" outlineLevel="0" max="10" min="7" style="0" width="14"/>
  </cols>
  <sheetData>
    <row r="1" customFormat="false" ht="15" hidden="false" customHeight="false" outlineLevel="0" collapsed="false">
      <c r="A1" s="4" t="s">
        <v>687</v>
      </c>
    </row>
    <row r="3" customFormat="false" ht="15" hidden="false" customHeight="false" outlineLevel="0" collapsed="false">
      <c r="A3" s="4" t="s">
        <v>688</v>
      </c>
    </row>
    <row r="4" customFormat="false" ht="15" hidden="false" customHeight="false" outlineLevel="0" collapsed="false">
      <c r="A4" s="0" t="s">
        <v>18</v>
      </c>
      <c r="B4" s="4" t="s">
        <v>33</v>
      </c>
      <c r="C4" s="4" t="s">
        <v>249</v>
      </c>
      <c r="D4" s="4" t="s">
        <v>462</v>
      </c>
      <c r="E4" s="4" t="s">
        <v>689</v>
      </c>
    </row>
    <row r="5" customFormat="false" ht="15" hidden="false" customHeight="false" outlineLevel="0" collapsed="false">
      <c r="A5" s="0" t="s">
        <v>690</v>
      </c>
      <c r="B5" s="0" t="n">
        <v>275</v>
      </c>
      <c r="C5" s="0" t="n">
        <v>325</v>
      </c>
      <c r="D5" s="0" t="n">
        <v>322</v>
      </c>
      <c r="E5" s="0" t="n">
        <f aca="false">SUM(B5:D5)</f>
        <v>922</v>
      </c>
    </row>
    <row r="6" customFormat="false" ht="15" hidden="false" customHeight="false" outlineLevel="0" collapsed="false">
      <c r="A6" s="0" t="s">
        <v>691</v>
      </c>
      <c r="B6" s="0" t="n">
        <v>11</v>
      </c>
      <c r="C6" s="0" t="n">
        <v>10</v>
      </c>
      <c r="D6" s="0" t="n">
        <v>13</v>
      </c>
      <c r="E6" s="0" t="n">
        <f aca="false">SUM(B6:D6)</f>
        <v>34</v>
      </c>
    </row>
    <row r="7" customFormat="false" ht="15" hidden="false" customHeight="false" outlineLevel="0" collapsed="false">
      <c r="A7" s="0" t="s">
        <v>692</v>
      </c>
      <c r="B7" s="0" t="n">
        <f aca="false">B5-B6</f>
        <v>264</v>
      </c>
      <c r="C7" s="0" t="n">
        <f aca="false">C5-C6</f>
        <v>315</v>
      </c>
      <c r="D7" s="0" t="n">
        <f aca="false">D5-D6</f>
        <v>309</v>
      </c>
      <c r="E7" s="0" t="n">
        <f aca="false">SUM(B7:D7)</f>
        <v>888</v>
      </c>
    </row>
    <row r="8" customFormat="false" ht="15" hidden="false" customHeight="false" outlineLevel="0" collapsed="false">
      <c r="A8" s="0" t="s">
        <v>693</v>
      </c>
      <c r="B8" s="0" t="n">
        <f aca="false">B7*0.75</f>
        <v>198</v>
      </c>
      <c r="C8" s="0" t="n">
        <f aca="false">C7*0.75</f>
        <v>236.25</v>
      </c>
      <c r="D8" s="0" t="n">
        <f aca="false">D7*0.75</f>
        <v>231.75</v>
      </c>
      <c r="E8" s="0" t="n">
        <f aca="false">SUM(B8:D8)</f>
        <v>666</v>
      </c>
    </row>
    <row r="10" customFormat="false" ht="15" hidden="false" customHeight="false" outlineLevel="0" collapsed="false">
      <c r="A10" s="4" t="s">
        <v>694</v>
      </c>
    </row>
    <row r="11" customFormat="false" ht="15" hidden="false" customHeight="false" outlineLevel="0" collapsed="false">
      <c r="A11" s="0" t="s">
        <v>695</v>
      </c>
      <c r="B11" s="0" t="n">
        <f aca="false">COUNTIF('Sources strict'!A:A,"2022-2023")</f>
        <v>215</v>
      </c>
      <c r="C11" s="0" t="n">
        <f aca="false">COUNTIF('Sources strict'!A:A,"2023-2024")</f>
        <v>212</v>
      </c>
      <c r="D11" s="0" t="n">
        <f aca="false">COUNTIF('Sources strict'!A:A,"2024-2025")</f>
        <v>216</v>
      </c>
      <c r="E11" s="0" t="n">
        <f aca="false">SUM(B11:D11)</f>
        <v>643</v>
      </c>
    </row>
    <row r="12" customFormat="false" ht="15" hidden="false" customHeight="false" outlineLevel="0" collapsed="false">
      <c r="A12" s="0" t="s">
        <v>696</v>
      </c>
      <c r="B12" s="0" t="n">
        <f aca="false">SUMIF('Sources strict'!A:A,"2022-2023",'Sources strict'!C:C)</f>
        <v>11053.8</v>
      </c>
      <c r="C12" s="0" t="n">
        <f aca="false">SUMIF('Sources strict'!A:A,"2023-2024",'Sources strict'!C:C)</f>
        <v>13509</v>
      </c>
      <c r="D12" s="0" t="n">
        <f aca="false">SUMIF('Sources strict'!A:A,"2024-2025",'Sources strict'!C:C)</f>
        <v>12726</v>
      </c>
      <c r="E12" s="0" t="n">
        <f aca="false">SUM(B12:D12)</f>
        <v>37288.8</v>
      </c>
    </row>
    <row r="13" customFormat="false" ht="15" hidden="false" customHeight="false" outlineLevel="0" collapsed="false">
      <c r="A13" s="0" t="s">
        <v>697</v>
      </c>
      <c r="B13" s="0" t="n">
        <f aca="false">B12/100</f>
        <v>110.538</v>
      </c>
      <c r="C13" s="0" t="n">
        <f aca="false">C12/100</f>
        <v>135.09</v>
      </c>
      <c r="D13" s="0" t="n">
        <f aca="false">D12/100</f>
        <v>127.26</v>
      </c>
      <c r="E13" s="0" t="n">
        <f aca="false">SUM(B13:D13)</f>
        <v>372.888</v>
      </c>
    </row>
    <row r="14" customFormat="false" ht="15" hidden="false" customHeight="false" outlineLevel="0" collapsed="false">
      <c r="A14" s="0" t="s">
        <v>698</v>
      </c>
      <c r="B14" s="0" t="n">
        <f aca="false">SUMIF('Sources strict'!A:A,"2022-2023",'Sources strict'!D:D)</f>
        <v>260</v>
      </c>
      <c r="C14" s="0" t="n">
        <f aca="false">SUMIF('Sources strict'!A:A,"2023-2024",'Sources strict'!D:D)</f>
        <v>286</v>
      </c>
      <c r="D14" s="0" t="n">
        <f aca="false">SUMIF('Sources strict'!A:A,"2024-2025",'Sources strict'!D:D)</f>
        <v>282</v>
      </c>
      <c r="E14" s="0" t="n">
        <f aca="false">SUM(B14:D14)</f>
        <v>828</v>
      </c>
    </row>
    <row r="15" customFormat="false" ht="15" hidden="false" customHeight="false" outlineLevel="0" collapsed="false">
      <c r="A15" s="0" t="s">
        <v>699</v>
      </c>
      <c r="B15" s="0" t="n">
        <f aca="false">B14*0.75</f>
        <v>195</v>
      </c>
      <c r="C15" s="0" t="n">
        <f aca="false">C14*0.75</f>
        <v>214.5</v>
      </c>
      <c r="D15" s="0" t="n">
        <f aca="false">D14*0.75</f>
        <v>211.5</v>
      </c>
      <c r="E15" s="0" t="n">
        <f aca="false">SUM(B15:D15)</f>
        <v>621</v>
      </c>
    </row>
    <row r="16" customFormat="false" ht="15" hidden="false" customHeight="false" outlineLevel="0" collapsed="false">
      <c r="A16" s="0" t="s">
        <v>700</v>
      </c>
      <c r="B16" s="0" t="n">
        <f aca="false">SUMIF('Sources strict'!A:A,"2022-2023",'Sources strict'!E:E)/100</f>
        <v>84.462</v>
      </c>
      <c r="C16" s="0" t="n">
        <f aca="false">SUMIF('Sources strict'!A:A,"2023-2024",'Sources strict'!E:E)/100</f>
        <v>79.41</v>
      </c>
      <c r="D16" s="0" t="n">
        <f aca="false">SUMIF('Sources strict'!A:A,"2024-2025",'Sources strict'!E:E)/100</f>
        <v>84.24</v>
      </c>
      <c r="E16" s="0" t="n">
        <f aca="false">SUM(B16:D16)</f>
        <v>248.112</v>
      </c>
    </row>
    <row r="17" customFormat="false" ht="15" hidden="false" customHeight="false" outlineLevel="0" collapsed="false">
      <c r="A17" s="0" t="s">
        <v>701</v>
      </c>
      <c r="B17" s="0" t="n">
        <f aca="false">B15-B13</f>
        <v>84.462</v>
      </c>
      <c r="C17" s="0" t="n">
        <f aca="false">C15-C13</f>
        <v>79.41</v>
      </c>
      <c r="D17" s="0" t="n">
        <f aca="false">D15-D13</f>
        <v>84.24</v>
      </c>
      <c r="E17" s="0" t="n">
        <f aca="false">SUM(B17:D17)</f>
        <v>248.112</v>
      </c>
    </row>
    <row r="18" customFormat="false" ht="15" hidden="false" customHeight="false" outlineLevel="0" collapsed="false">
      <c r="A18" s="0" t="s">
        <v>702</v>
      </c>
      <c r="B18" s="0" t="n">
        <f aca="false">B8-B13</f>
        <v>87.462</v>
      </c>
      <c r="C18" s="0" t="n">
        <f aca="false">C8-C13</f>
        <v>101.16</v>
      </c>
      <c r="D18" s="0" t="n">
        <f aca="false">D8-D13</f>
        <v>104.49</v>
      </c>
      <c r="E18" s="0" t="n">
        <f aca="false">SUM(B18:D18)</f>
        <v>293.112</v>
      </c>
    </row>
    <row r="19" customFormat="false" ht="15" hidden="false" customHeight="false" outlineLevel="0" collapsed="false">
      <c r="A19" s="0" t="s">
        <v>703</v>
      </c>
      <c r="B19" s="0" t="n">
        <f aca="false">B8-B15</f>
        <v>3</v>
      </c>
      <c r="C19" s="0" t="n">
        <f aca="false">C8-C15</f>
        <v>21.75</v>
      </c>
      <c r="D19" s="0" t="n">
        <f aca="false">D8-D15</f>
        <v>20.25</v>
      </c>
      <c r="E19" s="0" t="n">
        <f aca="false">SUM(B19:D19)</f>
        <v>45</v>
      </c>
    </row>
    <row r="20" customFormat="false" ht="15" hidden="false" customHeight="false" outlineLevel="0" collapsed="false">
      <c r="A20" s="0" t="s">
        <v>704</v>
      </c>
      <c r="B20" s="0" t="n">
        <f aca="false">B16/B18</f>
        <v>0.965699389449132</v>
      </c>
      <c r="C20" s="0" t="n">
        <f aca="false">C16/C18</f>
        <v>0.784994068801898</v>
      </c>
      <c r="D20" s="0" t="n">
        <f aca="false">D16/D18</f>
        <v>0.806201550387597</v>
      </c>
      <c r="E20" s="0" t="n">
        <f aca="false">E16/E18</f>
        <v>0.84647506755097</v>
      </c>
    </row>
    <row r="21" customFormat="false" ht="15" hidden="false" customHeight="false" outlineLevel="0" collapsed="false">
      <c r="A21" s="0" t="s">
        <v>705</v>
      </c>
      <c r="B21" s="0" t="n">
        <f aca="false">ROUNDUP(B13/0.75,0)</f>
        <v>148</v>
      </c>
      <c r="C21" s="0" t="n">
        <f aca="false">ROUNDUP(C13/0.75,0)</f>
        <v>181</v>
      </c>
      <c r="D21" s="0" t="n">
        <f aca="false">ROUNDUP(D13/0.75,0)</f>
        <v>170</v>
      </c>
      <c r="E21" s="0" t="n">
        <f aca="false">SUM(B21:D21)</f>
        <v>499</v>
      </c>
    </row>
    <row r="23" customFormat="false" ht="15" hidden="false" customHeight="false" outlineLevel="0" collapsed="false">
      <c r="A23" s="4" t="s">
        <v>706</v>
      </c>
    </row>
    <row r="24" customFormat="false" ht="15" hidden="false" customHeight="false" outlineLevel="0" collapsed="false">
      <c r="A24" s="0" t="s">
        <v>695</v>
      </c>
      <c r="B24" s="0" t="n">
        <f aca="false">COUNTIF('Sources elargi'!A:A,"2022-2023")</f>
        <v>217</v>
      </c>
      <c r="C24" s="0" t="n">
        <f aca="false">COUNTIF('Sources elargi'!A:A,"2023-2024")</f>
        <v>212</v>
      </c>
      <c r="D24" s="0" t="n">
        <f aca="false">COUNTIF('Sources elargi'!A:A,"2024-2025")</f>
        <v>218</v>
      </c>
      <c r="E24" s="0" t="n">
        <f aca="false">SUM(B24:D24)</f>
        <v>647</v>
      </c>
    </row>
    <row r="25" customFormat="false" ht="15" hidden="false" customHeight="false" outlineLevel="0" collapsed="false">
      <c r="A25" s="0" t="s">
        <v>696</v>
      </c>
      <c r="B25" s="0" t="n">
        <f aca="false">SUMIF('Sources elargi'!A:A,"2022-2023",'Sources elargi'!C:C)</f>
        <v>11629.8</v>
      </c>
      <c r="C25" s="0" t="n">
        <f aca="false">SUMIF('Sources elargi'!A:A,"2023-2024",'Sources elargi'!C:C)</f>
        <v>14259</v>
      </c>
      <c r="D25" s="0" t="n">
        <f aca="false">SUMIF('Sources elargi'!A:A,"2024-2025",'Sources elargi'!C:C)</f>
        <v>13509</v>
      </c>
      <c r="E25" s="0" t="n">
        <f aca="false">SUM(B25:D25)</f>
        <v>39397.8</v>
      </c>
    </row>
    <row r="26" customFormat="false" ht="15" hidden="false" customHeight="false" outlineLevel="0" collapsed="false">
      <c r="A26" s="0" t="s">
        <v>697</v>
      </c>
      <c r="B26" s="0" t="n">
        <f aca="false">B25/100</f>
        <v>116.298</v>
      </c>
      <c r="C26" s="0" t="n">
        <f aca="false">C25/100</f>
        <v>142.59</v>
      </c>
      <c r="D26" s="0" t="n">
        <f aca="false">D25/100</f>
        <v>135.09</v>
      </c>
      <c r="E26" s="0" t="n">
        <f aca="false">SUM(B26:D26)</f>
        <v>393.978</v>
      </c>
    </row>
    <row r="27" customFormat="false" ht="15" hidden="false" customHeight="false" outlineLevel="0" collapsed="false">
      <c r="A27" s="0" t="s">
        <v>707</v>
      </c>
      <c r="B27" s="0" t="n">
        <f aca="false">SUMIF('Sources elargi'!A:A,"2022-2023",'Sources elargi'!D:D)</f>
        <v>266</v>
      </c>
      <c r="C27" s="0" t="n">
        <f aca="false">SUMIF('Sources elargi'!A:A,"2023-2024",'Sources elargi'!D:D)</f>
        <v>300</v>
      </c>
      <c r="D27" s="0" t="n">
        <f aca="false">SUMIF('Sources elargi'!A:A,"2024-2025",'Sources elargi'!D:D)</f>
        <v>291</v>
      </c>
      <c r="E27" s="0" t="n">
        <f aca="false">SUM(B27:D27)</f>
        <v>857</v>
      </c>
    </row>
    <row r="28" customFormat="false" ht="15" hidden="false" customHeight="false" outlineLevel="0" collapsed="false">
      <c r="A28" s="0" t="s">
        <v>708</v>
      </c>
      <c r="B28" s="0" t="n">
        <f aca="false">B27*0.75</f>
        <v>199.5</v>
      </c>
      <c r="C28" s="0" t="n">
        <f aca="false">C27*0.75</f>
        <v>225</v>
      </c>
      <c r="D28" s="0" t="n">
        <f aca="false">D27*0.75</f>
        <v>218.25</v>
      </c>
      <c r="E28" s="0" t="n">
        <f aca="false">SUM(B28:D28)</f>
        <v>642.75</v>
      </c>
    </row>
    <row r="29" customFormat="false" ht="15" hidden="false" customHeight="false" outlineLevel="0" collapsed="false">
      <c r="A29" s="0" t="s">
        <v>709</v>
      </c>
      <c r="B29" s="0" t="n">
        <f aca="false">SUMIF('Sources elargi'!A:A,"2022-2023",'Sources elargi'!E:E)/100</f>
        <v>83.202</v>
      </c>
      <c r="C29" s="0" t="n">
        <f aca="false">SUMIF('Sources elargi'!A:A,"2023-2024",'Sources elargi'!E:E)/100</f>
        <v>82.41</v>
      </c>
      <c r="D29" s="0" t="n">
        <f aca="false">SUMIF('Sources elargi'!A:A,"2024-2025",'Sources elargi'!E:E)/100</f>
        <v>83.16</v>
      </c>
      <c r="E29" s="0" t="n">
        <f aca="false">SUM(B29:D29)</f>
        <v>248.772</v>
      </c>
    </row>
    <row r="30" customFormat="false" ht="15" hidden="false" customHeight="false" outlineLevel="0" collapsed="false">
      <c r="A30" s="0" t="s">
        <v>702</v>
      </c>
      <c r="B30" s="0" t="n">
        <f aca="false">B8-B26</f>
        <v>81.702</v>
      </c>
      <c r="C30" s="0" t="n">
        <f aca="false">C8-C26</f>
        <v>93.66</v>
      </c>
      <c r="D30" s="0" t="n">
        <f aca="false">D8-D26</f>
        <v>96.66</v>
      </c>
      <c r="E30" s="0" t="n">
        <f aca="false">SUM(B30:D30)</f>
        <v>272.022</v>
      </c>
    </row>
    <row r="31" customFormat="false" ht="15" hidden="false" customHeight="false" outlineLevel="0" collapsed="false">
      <c r="A31" s="0" t="s">
        <v>710</v>
      </c>
      <c r="B31" s="0" t="n">
        <f aca="false">B8-B28</f>
        <v>-1.5</v>
      </c>
      <c r="C31" s="0" t="n">
        <f aca="false">C8-C28</f>
        <v>11.25</v>
      </c>
      <c r="D31" s="0" t="n">
        <f aca="false">D8-D28</f>
        <v>13.5</v>
      </c>
      <c r="E31" s="0" t="n">
        <f aca="false">SUM(B31:D31)</f>
        <v>23.25</v>
      </c>
    </row>
    <row r="32" customFormat="false" ht="15" hidden="false" customHeight="false" outlineLevel="0" collapsed="false">
      <c r="A32" s="0" t="s">
        <v>704</v>
      </c>
      <c r="B32" s="0" t="n">
        <f aca="false">B29/B30</f>
        <v>1.01835940368657</v>
      </c>
      <c r="C32" s="0" t="n">
        <f aca="false">C29/C30</f>
        <v>0.87988468930173</v>
      </c>
      <c r="D32" s="0" t="n">
        <f aca="false">D29/D30</f>
        <v>0.860335195530726</v>
      </c>
      <c r="E32" s="0" t="n">
        <f aca="false">E29/E30</f>
        <v>0.914528971921389</v>
      </c>
    </row>
    <row r="33" customFormat="false" ht="15" hidden="false" customHeight="false" outlineLevel="0" collapsed="false">
      <c r="A33" s="0" t="s">
        <v>711</v>
      </c>
      <c r="B33" s="0" t="n">
        <f aca="false">SUMIF('Sources elargi'!A:A,"2022-2023",'Sources elargi'!F:F)</f>
        <v>303</v>
      </c>
      <c r="C33" s="0" t="n">
        <f aca="false">SUMIF('Sources elargi'!A:A,"2023-2024",'Sources elargi'!F:F)</f>
        <v>334</v>
      </c>
      <c r="D33" s="0" t="n">
        <f aca="false">SUMIF('Sources elargi'!A:A,"2024-2025",'Sources elargi'!F:F)</f>
        <v>324</v>
      </c>
      <c r="E33" s="0" t="n">
        <f aca="false">SUM(B33:D33)</f>
        <v>961</v>
      </c>
    </row>
    <row r="34" customFormat="false" ht="15" hidden="false" customHeight="false" outlineLevel="0" collapsed="false">
      <c r="A34" s="0" t="s">
        <v>712</v>
      </c>
      <c r="B34" s="0" t="n">
        <f aca="false">B33*0.75</f>
        <v>227.25</v>
      </c>
      <c r="C34" s="0" t="n">
        <f aca="false">C33*0.75</f>
        <v>250.5</v>
      </c>
      <c r="D34" s="0" t="n">
        <f aca="false">D33*0.75</f>
        <v>243</v>
      </c>
      <c r="E34" s="0" t="n">
        <f aca="false">SUM(B34:D34)</f>
        <v>720.75</v>
      </c>
    </row>
    <row r="36" customFormat="false" ht="15" hidden="false" customHeight="false" outlineLevel="0" collapsed="false">
      <c r="A36" s="0" t="s">
        <v>713</v>
      </c>
      <c r="B36" s="0" t="n">
        <f aca="false">ROUNDUP(B26/0.75,0)</f>
        <v>156</v>
      </c>
    </row>
    <row r="38" customFormat="false" ht="15" hidden="false" customHeight="false" outlineLevel="0" collapsed="false">
      <c r="A38" s="4" t="s">
        <v>714</v>
      </c>
    </row>
    <row r="39" customFormat="false" ht="15" hidden="false" customHeight="false" outlineLevel="0" collapsed="false">
      <c r="A39" s="0" t="s">
        <v>715</v>
      </c>
      <c r="B39" s="0" t="n">
        <f aca="false">SUMIF('Sources articles'!A:A,"2022-2023",'Sources articles'!F:F)</f>
        <v>11053.8</v>
      </c>
      <c r="C39" s="0" t="n">
        <f aca="false">SUMIF('Sources articles'!A:A,"2023-2024",'Sources articles'!F:F)</f>
        <v>13509</v>
      </c>
      <c r="D39" s="0" t="n">
        <f aca="false">SUMIF('Sources articles'!A:A,"2024-2025",'Sources articles'!F:F)</f>
        <v>12726</v>
      </c>
      <c r="E39" s="0" t="n">
        <f aca="false">SUM(B39:D39)</f>
        <v>37288.8</v>
      </c>
    </row>
    <row r="40" customFormat="false" ht="15" hidden="false" customHeight="false" outlineLevel="0" collapsed="false">
      <c r="A40" s="0" t="s">
        <v>716</v>
      </c>
      <c r="B40" s="0" t="n">
        <f aca="false">B39-B12</f>
        <v>0</v>
      </c>
      <c r="C40" s="0" t="n">
        <f aca="false">C39-C12</f>
        <v>0</v>
      </c>
      <c r="D40" s="0" t="n">
        <f aca="false">D39-D12</f>
        <v>0</v>
      </c>
      <c r="E40" s="0" t="n">
        <f aca="false">E39-E12</f>
        <v>0</v>
      </c>
    </row>
    <row r="41" customFormat="false" ht="15" hidden="false" customHeight="false" outlineLevel="0" collapsed="false">
      <c r="A41" s="0" t="s">
        <v>717</v>
      </c>
      <c r="B41" s="0" t="n">
        <f aca="false">SUMIF('Sources articles'!A:A,"2022-2023",'Sources articles'!G:G)</f>
        <v>585</v>
      </c>
      <c r="C41" s="0" t="n">
        <f aca="false">SUMIF('Sources articles'!A:A,"2023-2024",'Sources articles'!G:G)</f>
        <v>638</v>
      </c>
      <c r="D41" s="0" t="n">
        <f aca="false">SUMIF('Sources articles'!A:A,"2024-2025",'Sources articles'!G:G)</f>
        <v>657</v>
      </c>
      <c r="E41" s="0" t="n">
        <f aca="false">SUM(B41:D41)</f>
        <v>1880</v>
      </c>
    </row>
    <row r="42" customFormat="false" ht="15" hidden="false" customHeight="false" outlineLevel="0" collapsed="false">
      <c r="A42" s="0" t="s">
        <v>718</v>
      </c>
      <c r="B42" s="0" t="n">
        <f aca="false">B14</f>
        <v>260</v>
      </c>
      <c r="C42" s="0" t="n">
        <f aca="false">C14</f>
        <v>286</v>
      </c>
      <c r="D42" s="0" t="n">
        <f aca="false">D14</f>
        <v>282</v>
      </c>
      <c r="E42" s="0" t="n">
        <f aca="false">SUM(B42:D42)</f>
        <v>828</v>
      </c>
    </row>
    <row r="43" customFormat="false" ht="15" hidden="false" customHeight="false" outlineLevel="0" collapsed="false">
      <c r="A43" s="0" t="s">
        <v>719</v>
      </c>
      <c r="B43" s="0" t="n">
        <f aca="false">B41-B42</f>
        <v>325</v>
      </c>
      <c r="C43" s="0" t="n">
        <f aca="false">C41-C42</f>
        <v>352</v>
      </c>
      <c r="D43" s="0" t="n">
        <f aca="false">D41-D42</f>
        <v>375</v>
      </c>
      <c r="E43" s="0" t="n">
        <f aca="false">SUM(B43:D43)</f>
        <v>1052</v>
      </c>
    </row>
    <row r="44" customFormat="false" ht="15" hidden="false" customHeight="false" outlineLevel="0" collapsed="false">
      <c r="A44" s="0" t="s">
        <v>720</v>
      </c>
      <c r="B44" s="0" t="n">
        <f aca="false">SUMIF('Sources strict'!A:A,"2022-2023",'Sources strict'!G:G)</f>
        <v>293</v>
      </c>
      <c r="C44" s="0" t="n">
        <f aca="false">SUMIF('Sources strict'!A:A,"2023-2024",'Sources strict'!G:G)</f>
        <v>324</v>
      </c>
      <c r="D44" s="0" t="n">
        <f aca="false">SUMIF('Sources strict'!A:A,"2024-2025",'Sources strict'!G:G)</f>
        <v>306</v>
      </c>
      <c r="E44" s="0" t="n">
        <f aca="false">SUM(B44:D44)</f>
        <v>923</v>
      </c>
    </row>
    <row r="45" customFormat="false" ht="15" hidden="false" customHeight="false" outlineLevel="0" collapsed="false">
      <c r="A45" s="0" t="s">
        <v>721</v>
      </c>
      <c r="B45" s="0" t="n">
        <f aca="false">B44*0.75</f>
        <v>219.75</v>
      </c>
      <c r="C45" s="0" t="n">
        <f aca="false">C44*0.75</f>
        <v>243</v>
      </c>
      <c r="D45" s="0" t="n">
        <f aca="false">D44*0.75</f>
        <v>229.5</v>
      </c>
      <c r="E45" s="0" t="n">
        <f aca="false">SUM(B45:D45)</f>
        <v>692.25</v>
      </c>
    </row>
    <row r="46" customFormat="false" ht="15" hidden="false" customHeight="false" outlineLevel="0" collapsed="false">
      <c r="A46" s="0" t="s">
        <v>722</v>
      </c>
      <c r="B46" s="0" t="n">
        <f aca="false">B45-B8</f>
        <v>21.75</v>
      </c>
      <c r="C46" s="0" t="n">
        <f aca="false">C45-C8</f>
        <v>6.75</v>
      </c>
      <c r="D46" s="0" t="n">
        <f aca="false">D45-D8</f>
        <v>-2.25</v>
      </c>
      <c r="E46" s="0" t="n">
        <f aca="false">SUM(B46:D46)</f>
        <v>26.25</v>
      </c>
    </row>
    <row r="48" customFormat="false" ht="15" hidden="false" customHeight="false" outlineLevel="0" collapsed="false">
      <c r="A48" s="4" t="s">
        <v>723</v>
      </c>
    </row>
    <row r="49" customFormat="false" ht="15" hidden="false" customHeight="false" outlineLevel="0" collapsed="false">
      <c r="A49" s="0" t="s">
        <v>724</v>
      </c>
      <c r="B49" s="0" t="n">
        <f aca="false">B14</f>
        <v>260</v>
      </c>
      <c r="C49" s="0" t="n">
        <f aca="false">C14</f>
        <v>286</v>
      </c>
      <c r="D49" s="0" t="n">
        <f aca="false">D14</f>
        <v>282</v>
      </c>
      <c r="E49" s="0" t="n">
        <f aca="false">SUM(B49:D49)</f>
        <v>828</v>
      </c>
    </row>
    <row r="50" customFormat="false" ht="15" hidden="false" customHeight="false" outlineLevel="0" collapsed="false">
      <c r="A50" s="0" t="s">
        <v>725</v>
      </c>
      <c r="B50" s="0" t="n">
        <f aca="false">B16</f>
        <v>84.462</v>
      </c>
      <c r="C50" s="0" t="n">
        <f aca="false">C16</f>
        <v>79.41</v>
      </c>
      <c r="D50" s="0" t="n">
        <f aca="false">D16</f>
        <v>84.24</v>
      </c>
      <c r="E50" s="0" t="n">
        <f aca="false">SUM(B50:D50)</f>
        <v>248.112</v>
      </c>
    </row>
    <row r="51" customFormat="false" ht="15" hidden="false" customHeight="false" outlineLevel="0" collapsed="false">
      <c r="A51" s="0" t="s">
        <v>726</v>
      </c>
      <c r="B51" s="0" t="n">
        <f aca="false">B19</f>
        <v>3</v>
      </c>
      <c r="C51" s="0" t="n">
        <f aca="false">C19</f>
        <v>21.75</v>
      </c>
      <c r="D51" s="0" t="n">
        <f aca="false">D19</f>
        <v>20.25</v>
      </c>
      <c r="E51" s="0" t="n">
        <f aca="false">SUM(B51:D51)</f>
        <v>45</v>
      </c>
    </row>
    <row r="52" customFormat="false" ht="15" hidden="false" customHeight="false" outlineLevel="0" collapsed="false">
      <c r="A52" s="0" t="s">
        <v>727</v>
      </c>
      <c r="B52" s="0" t="n">
        <f aca="false">SUMIF('Sources strict'!A:A,"2022-2023",'Sources strict'!I:I)</f>
        <v>199</v>
      </c>
      <c r="C52" s="0" t="n">
        <f aca="false">SUMIF('Sources strict'!A:A,"2023-2024",'Sources strict'!I:I)</f>
        <v>235</v>
      </c>
      <c r="D52" s="0" t="n">
        <f aca="false">SUMIF('Sources strict'!A:A,"2024-2025",'Sources strict'!I:I)</f>
        <v>216</v>
      </c>
      <c r="E52" s="0" t="n">
        <f aca="false">SUM(B52:D52)</f>
        <v>650</v>
      </c>
    </row>
    <row r="53" customFormat="false" ht="15" hidden="false" customHeight="false" outlineLevel="0" collapsed="false">
      <c r="A53" s="0" t="s">
        <v>728</v>
      </c>
      <c r="B53" s="0" t="n">
        <f aca="false">B52*0.75-B13</f>
        <v>38.712</v>
      </c>
      <c r="C53" s="0" t="n">
        <f aca="false">C52*0.75-C13</f>
        <v>41.16</v>
      </c>
      <c r="D53" s="0" t="n">
        <f aca="false">D52*0.75-D13</f>
        <v>34.74</v>
      </c>
      <c r="E53" s="0" t="n">
        <f aca="false">SUM(B53:D53)</f>
        <v>114.612</v>
      </c>
    </row>
    <row r="54" customFormat="false" ht="15" hidden="false" customHeight="false" outlineLevel="0" collapsed="false">
      <c r="A54" s="0" t="s">
        <v>729</v>
      </c>
      <c r="B54" s="0" t="n">
        <f aca="false">B8-B52*0.75</f>
        <v>48.75</v>
      </c>
      <c r="C54" s="0" t="n">
        <f aca="false">C8-C52*0.75</f>
        <v>60</v>
      </c>
      <c r="D54" s="0" t="n">
        <f aca="false">D8-D52*0.75</f>
        <v>69.75</v>
      </c>
      <c r="E54" s="0" t="n">
        <f aca="false">SUM(B54:D54)</f>
        <v>178.5</v>
      </c>
    </row>
    <row r="55" customFormat="false" ht="15" hidden="false" customHeight="false" outlineLevel="0" collapsed="false">
      <c r="A55" s="0" t="s">
        <v>730</v>
      </c>
      <c r="B55" s="0" t="n">
        <f aca="false">SUMIF('Sources strict'!A:A,"2022-2023",'Sources strict'!K:K)</f>
        <v>185</v>
      </c>
      <c r="C55" s="0" t="n">
        <f aca="false">SUMIF('Sources strict'!A:A,"2023-2024",'Sources strict'!K:K)</f>
        <v>216</v>
      </c>
      <c r="D55" s="0" t="n">
        <f aca="false">SUMIF('Sources strict'!A:A,"2024-2025",'Sources strict'!K:K)</f>
        <v>203</v>
      </c>
      <c r="E55" s="0" t="n">
        <f aca="false">SUM(B55:D55)</f>
        <v>604</v>
      </c>
    </row>
    <row r="56" customFormat="false" ht="15" hidden="false" customHeight="false" outlineLevel="0" collapsed="false">
      <c r="A56" s="0" t="s">
        <v>731</v>
      </c>
      <c r="B56" s="0" t="n">
        <f aca="false">B55*0.75-B13</f>
        <v>28.212</v>
      </c>
      <c r="C56" s="0" t="n">
        <f aca="false">C55*0.75-C13</f>
        <v>26.91</v>
      </c>
      <c r="D56" s="0" t="n">
        <f aca="false">D55*0.75-D13</f>
        <v>24.99</v>
      </c>
      <c r="E56" s="0" t="n">
        <f aca="false">SUM(B56:D56)</f>
        <v>80.112</v>
      </c>
    </row>
    <row r="57" customFormat="false" ht="15" hidden="false" customHeight="false" outlineLevel="0" collapsed="false">
      <c r="A57" s="0" t="s">
        <v>732</v>
      </c>
      <c r="B57" s="0" t="n">
        <f aca="false">B8-B55*0.75</f>
        <v>59.25</v>
      </c>
      <c r="C57" s="0" t="n">
        <f aca="false">C8-C55*0.75</f>
        <v>74.25</v>
      </c>
      <c r="D57" s="0" t="n">
        <f aca="false">D8-D55*0.75</f>
        <v>79.5</v>
      </c>
      <c r="E57" s="0" t="n">
        <f aca="false">SUM(B57:D57)</f>
        <v>213</v>
      </c>
    </row>
    <row r="58" customFormat="false" ht="15" hidden="false" customHeight="false" outlineLevel="0" collapsed="false">
      <c r="A58" s="0" t="s">
        <v>733</v>
      </c>
      <c r="B58" s="0" t="n">
        <f aca="false">SUMIF('Sources strict'!A:A,"2022-2023",'Sources strict'!M:M)</f>
        <v>170</v>
      </c>
      <c r="C58" s="0" t="n">
        <f aca="false">SUMIF('Sources strict'!A:A,"2023-2024",'Sources strict'!M:M)</f>
        <v>203</v>
      </c>
      <c r="D58" s="0" t="n">
        <f aca="false">SUMIF('Sources strict'!A:A,"2024-2025",'Sources strict'!M:M)</f>
        <v>193</v>
      </c>
      <c r="E58" s="0" t="n">
        <f aca="false">SUM(B58:D58)</f>
        <v>566</v>
      </c>
    </row>
    <row r="59" customFormat="false" ht="15" hidden="false" customHeight="false" outlineLevel="0" collapsed="false">
      <c r="A59" s="0" t="s">
        <v>734</v>
      </c>
      <c r="B59" s="0" t="n">
        <f aca="false">B58*0.75-B13</f>
        <v>16.962</v>
      </c>
      <c r="C59" s="0" t="n">
        <f aca="false">C58*0.75-C13</f>
        <v>17.16</v>
      </c>
      <c r="D59" s="0" t="n">
        <f aca="false">D58*0.75-D13</f>
        <v>17.49</v>
      </c>
      <c r="E59" s="0" t="n">
        <f aca="false">SUM(B59:D59)</f>
        <v>51.612</v>
      </c>
    </row>
    <row r="60" customFormat="false" ht="15" hidden="false" customHeight="false" outlineLevel="0" collapsed="false">
      <c r="A60" s="0" t="s">
        <v>735</v>
      </c>
      <c r="B60" s="0" t="n">
        <f aca="false">B8-B58*0.75</f>
        <v>70.5</v>
      </c>
      <c r="C60" s="0" t="n">
        <f aca="false">C8-C58*0.75</f>
        <v>84</v>
      </c>
      <c r="D60" s="0" t="n">
        <f aca="false">D8-D58*0.75</f>
        <v>87</v>
      </c>
      <c r="E60" s="0" t="n">
        <f aca="false">SUM(B60:D60)</f>
        <v>241.5</v>
      </c>
    </row>
    <row r="61" customFormat="false" ht="15" hidden="false" customHeight="false" outlineLevel="0" collapsed="false">
      <c r="A61" s="0" t="s">
        <v>736</v>
      </c>
      <c r="B61" s="0" t="n">
        <f aca="false">SUMIF('Sources strict'!A:A,"2022-2023",'Sources strict'!O:O)</f>
        <v>164</v>
      </c>
      <c r="C61" s="0" t="n">
        <f aca="false">SUMIF('Sources strict'!A:A,"2023-2024",'Sources strict'!O:O)</f>
        <v>192</v>
      </c>
      <c r="D61" s="0" t="n">
        <f aca="false">SUMIF('Sources strict'!A:A,"2024-2025",'Sources strict'!O:O)</f>
        <v>186</v>
      </c>
      <c r="E61" s="0" t="n">
        <f aca="false">SUM(B61:D61)</f>
        <v>542</v>
      </c>
    </row>
    <row r="62" customFormat="false" ht="15" hidden="false" customHeight="false" outlineLevel="0" collapsed="false">
      <c r="A62" s="0" t="s">
        <v>737</v>
      </c>
      <c r="B62" s="0" t="n">
        <f aca="false">B61*0.75-B13</f>
        <v>12.462</v>
      </c>
      <c r="C62" s="0" t="n">
        <f aca="false">C61*0.75-C13</f>
        <v>8.91</v>
      </c>
      <c r="D62" s="0" t="n">
        <f aca="false">D61*0.75-D13</f>
        <v>12.24</v>
      </c>
      <c r="E62" s="0" t="n">
        <f aca="false">SUM(B62:D62)</f>
        <v>33.612</v>
      </c>
    </row>
    <row r="63" customFormat="false" ht="15" hidden="false" customHeight="false" outlineLevel="0" collapsed="false">
      <c r="A63" s="0" t="s">
        <v>738</v>
      </c>
      <c r="B63" s="0" t="n">
        <f aca="false">B8-B61*0.75</f>
        <v>75</v>
      </c>
      <c r="C63" s="0" t="n">
        <f aca="false">C8-C61*0.75</f>
        <v>92.25</v>
      </c>
      <c r="D63" s="0" t="n">
        <f aca="false">D8-D61*0.75</f>
        <v>92.25</v>
      </c>
      <c r="E63" s="0" t="n">
        <f aca="false">SUM(B63:D63)</f>
        <v>259.5</v>
      </c>
    </row>
    <row r="64" customFormat="false" ht="15" hidden="false" customHeight="false" outlineLevel="0" collapsed="false">
      <c r="A64" s="0" t="s">
        <v>739</v>
      </c>
      <c r="B64" s="0" t="n">
        <f aca="false">B21</f>
        <v>148</v>
      </c>
      <c r="C64" s="0" t="n">
        <f aca="false">C21</f>
        <v>181</v>
      </c>
      <c r="D64" s="0" t="n">
        <f aca="false">D21</f>
        <v>170</v>
      </c>
      <c r="E64" s="0" t="n">
        <f aca="false">SUM(B64:D64)</f>
        <v>499</v>
      </c>
    </row>
    <row r="65" customFormat="false" ht="15" hidden="false" customHeight="false" outlineLevel="0" collapsed="false">
      <c r="A65" s="0" t="s">
        <v>740</v>
      </c>
      <c r="B65" s="0" t="n">
        <f aca="false">B64*0.75-B13</f>
        <v>0.462000000000003</v>
      </c>
      <c r="C65" s="0" t="n">
        <f aca="false">C64*0.75-C13</f>
        <v>0.659999999999997</v>
      </c>
      <c r="D65" s="0" t="n">
        <f aca="false">D64*0.75-D13</f>
        <v>0.239999999999995</v>
      </c>
      <c r="E65" s="0" t="n">
        <f aca="false">SUM(B65:D65)</f>
        <v>1.36199999999999</v>
      </c>
    </row>
    <row r="66" customFormat="false" ht="15" hidden="false" customHeight="false" outlineLevel="0" collapsed="false">
      <c r="A66" s="0" t="s">
        <v>741</v>
      </c>
      <c r="B66" s="0" t="n">
        <f aca="false">B8-B64*0.75</f>
        <v>87</v>
      </c>
      <c r="C66" s="0" t="n">
        <f aca="false">C8-C64*0.75</f>
        <v>100.5</v>
      </c>
      <c r="D66" s="0" t="n">
        <f aca="false">D8-D64*0.75</f>
        <v>104.25</v>
      </c>
      <c r="E66" s="0" t="n">
        <f aca="false">SUM(B66:D66)</f>
        <v>291.75</v>
      </c>
    </row>
    <row r="68" customFormat="false" ht="15" hidden="false" customHeight="false" outlineLevel="0" collapsed="false">
      <c r="A68" s="4" t="s">
        <v>742</v>
      </c>
    </row>
    <row r="69" customFormat="false" ht="15" hidden="false" customHeight="false" outlineLevel="0" collapsed="false">
      <c r="A69" s="0" t="s">
        <v>743</v>
      </c>
      <c r="B69" s="0" t="n">
        <v>10</v>
      </c>
      <c r="C69" s="0" t="n">
        <v>10</v>
      </c>
      <c r="D69" s="0" t="n">
        <v>13</v>
      </c>
      <c r="E69" s="0" t="n">
        <f aca="false">SUM(B69:D69)</f>
        <v>33</v>
      </c>
    </row>
    <row r="70" customFormat="false" ht="15" hidden="false" customHeight="false" outlineLevel="0" collapsed="false">
      <c r="A70" s="0" t="s">
        <v>744</v>
      </c>
      <c r="B70" s="0" t="n">
        <f aca="false">(B5-B69)*0.75</f>
        <v>198.75</v>
      </c>
      <c r="C70" s="0" t="n">
        <f aca="false">(C5-C69)*0.75</f>
        <v>236.25</v>
      </c>
      <c r="D70" s="0" t="n">
        <f aca="false">(D5-D69)*0.75</f>
        <v>231.75</v>
      </c>
      <c r="E70" s="0" t="n">
        <f aca="false">SUM(B70:D70)</f>
        <v>666.75</v>
      </c>
    </row>
    <row r="71" customFormat="false" ht="15" hidden="false" customHeight="false" outlineLevel="0" collapsed="false">
      <c r="A71" s="0" t="s">
        <v>745</v>
      </c>
      <c r="B71" s="0" t="n">
        <f aca="false">B70-B13</f>
        <v>88.212</v>
      </c>
      <c r="C71" s="0" t="n">
        <f aca="false">C70-C13</f>
        <v>101.16</v>
      </c>
      <c r="D71" s="0" t="n">
        <f aca="false">D70-D13</f>
        <v>104.49</v>
      </c>
      <c r="E71" s="0" t="n">
        <f aca="false">SUM(B71:D71)</f>
        <v>293.862</v>
      </c>
    </row>
    <row r="72" customFormat="false" ht="15" hidden="false" customHeight="false" outlineLevel="0" collapsed="false">
      <c r="A72" s="0" t="s">
        <v>746</v>
      </c>
      <c r="B72" s="0" t="n">
        <f aca="false">B70-B15</f>
        <v>3.75</v>
      </c>
      <c r="C72" s="0" t="n">
        <f aca="false">C70-C15</f>
        <v>21.75</v>
      </c>
      <c r="D72" s="0" t="n">
        <f aca="false">D70-D15</f>
        <v>20.25</v>
      </c>
      <c r="E72" s="0" t="n">
        <f aca="false">SUM(B72:D72)</f>
        <v>45.75</v>
      </c>
    </row>
    <row r="73" customFormat="false" ht="15" hidden="false" customHeight="false" outlineLevel="0" collapsed="false">
      <c r="A73" s="0" t="s">
        <v>747</v>
      </c>
      <c r="B73" s="0" t="n">
        <f aca="false">B16/B71</f>
        <v>0.957488777037138</v>
      </c>
      <c r="C73" s="0" t="n">
        <f aca="false">C16/C71</f>
        <v>0.784994068801898</v>
      </c>
      <c r="D73" s="0" t="n">
        <f aca="false">D16/D71</f>
        <v>0.806201550387597</v>
      </c>
      <c r="E73" s="0" t="n">
        <f aca="false">E16/E71</f>
        <v>0.844314678318394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20"/>
  </cols>
  <sheetData>
    <row r="1" customFormat="false" ht="28.35" hidden="false" customHeight="false" outlineLevel="0" collapsed="false">
      <c r="A1" s="5" t="s">
        <v>18</v>
      </c>
      <c r="B1" s="5" t="s">
        <v>748</v>
      </c>
      <c r="C1" s="5" t="s">
        <v>749</v>
      </c>
      <c r="D1" s="5" t="s">
        <v>750</v>
      </c>
      <c r="E1" s="5" t="s">
        <v>751</v>
      </c>
      <c r="F1" s="5" t="s">
        <v>752</v>
      </c>
    </row>
    <row r="2" customFormat="false" ht="15" hidden="false" customHeight="false" outlineLevel="0" collapsed="false">
      <c r="A2" s="0" t="s">
        <v>33</v>
      </c>
      <c r="B2" s="0" t="s">
        <v>753</v>
      </c>
      <c r="C2" s="0" t="n">
        <v>6</v>
      </c>
      <c r="D2" s="0" t="n">
        <v>621.5</v>
      </c>
      <c r="E2" s="0" t="n">
        <f aca="false">C2*D2</f>
        <v>3729</v>
      </c>
      <c r="F2" s="0" t="s">
        <v>754</v>
      </c>
    </row>
    <row r="3" customFormat="false" ht="15" hidden="false" customHeight="false" outlineLevel="0" collapsed="false">
      <c r="A3" s="0" t="s">
        <v>33</v>
      </c>
      <c r="B3" s="0" t="s">
        <v>755</v>
      </c>
      <c r="C3" s="0" t="n">
        <v>6</v>
      </c>
      <c r="D3" s="0" t="n">
        <v>503</v>
      </c>
      <c r="E3" s="0" t="n">
        <f aca="false">C3*D3</f>
        <v>3018</v>
      </c>
      <c r="F3" s="0" t="s">
        <v>754</v>
      </c>
    </row>
    <row r="4" customFormat="false" ht="15" hidden="false" customHeight="false" outlineLevel="0" collapsed="false">
      <c r="A4" s="0" t="s">
        <v>33</v>
      </c>
      <c r="B4" s="0" t="s">
        <v>756</v>
      </c>
      <c r="C4" s="0" t="n">
        <v>12</v>
      </c>
      <c r="D4" s="0" t="n">
        <v>242</v>
      </c>
      <c r="E4" s="0" t="n">
        <f aca="false">C4*D4</f>
        <v>2904</v>
      </c>
      <c r="F4" s="0" t="s">
        <v>754</v>
      </c>
    </row>
    <row r="5" customFormat="false" ht="15" hidden="false" customHeight="false" outlineLevel="0" collapsed="false">
      <c r="A5" s="0" t="s">
        <v>33</v>
      </c>
      <c r="B5" s="0" t="s">
        <v>757</v>
      </c>
      <c r="C5" s="0" t="n">
        <v>6</v>
      </c>
      <c r="D5" s="0" t="n">
        <v>233.8</v>
      </c>
      <c r="E5" s="0" t="n">
        <f aca="false">C5*D5</f>
        <v>1402.8</v>
      </c>
      <c r="F5" s="0" t="s">
        <v>754</v>
      </c>
    </row>
    <row r="6" customFormat="false" ht="15" hidden="false" customHeight="false" outlineLevel="0" collapsed="false">
      <c r="A6" s="0" t="s">
        <v>33</v>
      </c>
      <c r="B6" s="0" t="s">
        <v>758</v>
      </c>
      <c r="C6" s="0" t="n">
        <v>12</v>
      </c>
      <c r="D6" s="0" t="n">
        <v>37</v>
      </c>
      <c r="E6" s="0" t="n">
        <f aca="false">C6*D6</f>
        <v>444</v>
      </c>
      <c r="F6" s="0" t="s">
        <v>759</v>
      </c>
    </row>
    <row r="7" customFormat="false" ht="15" hidden="false" customHeight="false" outlineLevel="0" collapsed="false">
      <c r="A7" s="0" t="s">
        <v>33</v>
      </c>
      <c r="B7" s="0" t="s">
        <v>760</v>
      </c>
      <c r="C7" s="0" t="n">
        <v>6</v>
      </c>
      <c r="D7" s="0" t="n">
        <v>22</v>
      </c>
      <c r="E7" s="0" t="n">
        <f aca="false">C7*D7</f>
        <v>132</v>
      </c>
      <c r="F7" s="0" t="s">
        <v>759</v>
      </c>
    </row>
    <row r="8" customFormat="false" ht="15" hidden="false" customHeight="false" outlineLevel="0" collapsed="false">
      <c r="A8" s="0" t="s">
        <v>249</v>
      </c>
      <c r="B8" s="0" t="s">
        <v>753</v>
      </c>
      <c r="C8" s="0" t="n">
        <v>6</v>
      </c>
      <c r="D8" s="0" t="n">
        <v>794</v>
      </c>
      <c r="E8" s="0" t="n">
        <f aca="false">C8*D8</f>
        <v>4764</v>
      </c>
      <c r="F8" s="0" t="s">
        <v>754</v>
      </c>
    </row>
    <row r="9" customFormat="false" ht="15" hidden="false" customHeight="false" outlineLevel="0" collapsed="false">
      <c r="A9" s="0" t="s">
        <v>249</v>
      </c>
      <c r="B9" s="0" t="s">
        <v>755</v>
      </c>
      <c r="C9" s="0" t="n">
        <v>6</v>
      </c>
      <c r="D9" s="0" t="n">
        <v>559</v>
      </c>
      <c r="E9" s="0" t="n">
        <f aca="false">C9*D9</f>
        <v>3354</v>
      </c>
      <c r="F9" s="0" t="s">
        <v>754</v>
      </c>
    </row>
    <row r="10" customFormat="false" ht="15" hidden="false" customHeight="false" outlineLevel="0" collapsed="false">
      <c r="A10" s="0" t="s">
        <v>249</v>
      </c>
      <c r="B10" s="0" t="s">
        <v>756</v>
      </c>
      <c r="C10" s="0" t="n">
        <v>12</v>
      </c>
      <c r="D10" s="0" t="n">
        <v>305</v>
      </c>
      <c r="E10" s="0" t="n">
        <f aca="false">C10*D10</f>
        <v>3660</v>
      </c>
      <c r="F10" s="0" t="s">
        <v>754</v>
      </c>
    </row>
    <row r="11" customFormat="false" ht="15" hidden="false" customHeight="false" outlineLevel="0" collapsed="false">
      <c r="A11" s="0" t="s">
        <v>249</v>
      </c>
      <c r="B11" s="0" t="s">
        <v>757</v>
      </c>
      <c r="C11" s="0" t="n">
        <v>6</v>
      </c>
      <c r="D11" s="0" t="n">
        <v>288.5</v>
      </c>
      <c r="E11" s="0" t="n">
        <f aca="false">C11*D11</f>
        <v>1731</v>
      </c>
      <c r="F11" s="0" t="s">
        <v>754</v>
      </c>
    </row>
    <row r="12" customFormat="false" ht="15" hidden="false" customHeight="false" outlineLevel="0" collapsed="false">
      <c r="A12" s="0" t="s">
        <v>249</v>
      </c>
      <c r="B12" s="0" t="s">
        <v>760</v>
      </c>
      <c r="C12" s="0" t="n">
        <v>6</v>
      </c>
      <c r="D12" s="0" t="n">
        <v>65</v>
      </c>
      <c r="E12" s="0" t="n">
        <f aca="false">C12*D12</f>
        <v>390</v>
      </c>
      <c r="F12" s="0" t="s">
        <v>759</v>
      </c>
    </row>
    <row r="13" customFormat="false" ht="15" hidden="false" customHeight="false" outlineLevel="0" collapsed="false">
      <c r="A13" s="0" t="s">
        <v>249</v>
      </c>
      <c r="B13" s="0" t="s">
        <v>758</v>
      </c>
      <c r="C13" s="0" t="n">
        <v>12</v>
      </c>
      <c r="D13" s="0" t="n">
        <v>30</v>
      </c>
      <c r="E13" s="0" t="n">
        <f aca="false">C13*D13</f>
        <v>360</v>
      </c>
      <c r="F13" s="0" t="s">
        <v>759</v>
      </c>
    </row>
    <row r="14" customFormat="false" ht="15" hidden="false" customHeight="false" outlineLevel="0" collapsed="false">
      <c r="A14" s="0" t="s">
        <v>462</v>
      </c>
      <c r="B14" s="0" t="s">
        <v>753</v>
      </c>
      <c r="C14" s="0" t="n">
        <v>6</v>
      </c>
      <c r="D14" s="0" t="n">
        <v>704.5</v>
      </c>
      <c r="E14" s="0" t="n">
        <f aca="false">C14*D14</f>
        <v>4227</v>
      </c>
      <c r="F14" s="0" t="s">
        <v>754</v>
      </c>
    </row>
    <row r="15" customFormat="false" ht="15" hidden="false" customHeight="false" outlineLevel="0" collapsed="false">
      <c r="A15" s="0" t="s">
        <v>462</v>
      </c>
      <c r="B15" s="0" t="s">
        <v>755</v>
      </c>
      <c r="C15" s="0" t="n">
        <v>6</v>
      </c>
      <c r="D15" s="0" t="n">
        <v>545.5</v>
      </c>
      <c r="E15" s="0" t="n">
        <f aca="false">C15*D15</f>
        <v>3273</v>
      </c>
      <c r="F15" s="0" t="s">
        <v>754</v>
      </c>
    </row>
    <row r="16" customFormat="false" ht="15" hidden="false" customHeight="false" outlineLevel="0" collapsed="false">
      <c r="A16" s="0" t="s">
        <v>462</v>
      </c>
      <c r="B16" s="0" t="s">
        <v>757</v>
      </c>
      <c r="C16" s="0" t="n">
        <v>6</v>
      </c>
      <c r="D16" s="0" t="n">
        <v>345</v>
      </c>
      <c r="E16" s="0" t="n">
        <f aca="false">C16*D16</f>
        <v>2070</v>
      </c>
      <c r="F16" s="0" t="s">
        <v>754</v>
      </c>
    </row>
    <row r="17" customFormat="false" ht="15" hidden="false" customHeight="false" outlineLevel="0" collapsed="false">
      <c r="A17" s="0" t="s">
        <v>462</v>
      </c>
      <c r="B17" s="0" t="s">
        <v>756</v>
      </c>
      <c r="C17" s="0" t="n">
        <v>12</v>
      </c>
      <c r="D17" s="0" t="n">
        <v>263</v>
      </c>
      <c r="E17" s="0" t="n">
        <f aca="false">C17*D17</f>
        <v>3156</v>
      </c>
      <c r="F17" s="0" t="s">
        <v>754</v>
      </c>
    </row>
    <row r="18" customFormat="false" ht="15" hidden="false" customHeight="false" outlineLevel="0" collapsed="false">
      <c r="A18" s="0" t="s">
        <v>462</v>
      </c>
      <c r="B18" s="0" t="s">
        <v>760</v>
      </c>
      <c r="C18" s="0" t="n">
        <v>6</v>
      </c>
      <c r="D18" s="0" t="n">
        <v>76.5</v>
      </c>
      <c r="E18" s="0" t="n">
        <f aca="false">C18*D18</f>
        <v>459</v>
      </c>
      <c r="F18" s="0" t="s">
        <v>759</v>
      </c>
    </row>
    <row r="19" customFormat="false" ht="15" hidden="false" customHeight="false" outlineLevel="0" collapsed="false">
      <c r="A19" s="0" t="s">
        <v>462</v>
      </c>
      <c r="B19" s="0" t="s">
        <v>758</v>
      </c>
      <c r="C19" s="0" t="n">
        <v>12</v>
      </c>
      <c r="D19" s="0" t="n">
        <v>23</v>
      </c>
      <c r="E19" s="0" t="n">
        <f aca="false">C19*D19</f>
        <v>276</v>
      </c>
      <c r="F19" s="0" t="s">
        <v>759</v>
      </c>
    </row>
    <row r="20" customFormat="false" ht="15" hidden="false" customHeight="false" outlineLevel="0" collapsed="false">
      <c r="A20" s="0" t="s">
        <v>462</v>
      </c>
      <c r="B20" s="0" t="s">
        <v>761</v>
      </c>
      <c r="C20" s="0" t="n">
        <v>12</v>
      </c>
      <c r="D20" s="0" t="n">
        <v>4</v>
      </c>
      <c r="E20" s="0" t="n">
        <f aca="false">C20*D20</f>
        <v>48</v>
      </c>
      <c r="F20" s="0" t="s">
        <v>759</v>
      </c>
    </row>
    <row r="22" customFormat="false" ht="15" hidden="false" customHeight="false" outlineLevel="0" collapsed="false">
      <c r="A22" s="4" t="s">
        <v>762</v>
      </c>
      <c r="E22" s="6" t="n">
        <f aca="false">SUM(E2:E20)/100</f>
        <v>393.978</v>
      </c>
    </row>
    <row r="23" customFormat="false" ht="15" hidden="false" customHeight="false" outlineLevel="0" collapsed="false">
      <c r="A23" s="4" t="s">
        <v>763</v>
      </c>
      <c r="E23" s="6" t="n">
        <f aca="false">SUMIF(F2:F20,"non",E2:E20)/100</f>
        <v>21.09</v>
      </c>
    </row>
    <row r="24" customFormat="false" ht="15" hidden="false" customHeight="false" outlineLevel="0" collapsed="false">
      <c r="A24" s="4" t="s">
        <v>764</v>
      </c>
      <c r="E24" s="6" t="n">
        <f aca="false">E22-E23</f>
        <v>372.888</v>
      </c>
    </row>
    <row r="25" customFormat="false" ht="15" hidden="false" customHeight="false" outlineLevel="0" collapsed="false">
      <c r="A25" s="0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18"/>
  </cols>
  <sheetData>
    <row r="1" customFormat="false" ht="28.35" hidden="false" customHeight="false" outlineLevel="0" collapsed="false">
      <c r="A1" s="5" t="s">
        <v>18</v>
      </c>
      <c r="B1" s="5" t="s">
        <v>766</v>
      </c>
      <c r="C1" s="5" t="s">
        <v>767</v>
      </c>
      <c r="D1" s="5" t="s">
        <v>768</v>
      </c>
      <c r="E1" s="5" t="s">
        <v>769</v>
      </c>
      <c r="F1" s="5" t="s">
        <v>770</v>
      </c>
      <c r="G1" s="4" t="s">
        <v>771</v>
      </c>
      <c r="H1" s="4" t="s">
        <v>772</v>
      </c>
      <c r="I1" s="4" t="s">
        <v>773</v>
      </c>
      <c r="J1" s="4" t="s">
        <v>774</v>
      </c>
      <c r="K1" s="4" t="s">
        <v>775</v>
      </c>
      <c r="L1" s="4" t="s">
        <v>776</v>
      </c>
      <c r="M1" s="4" t="s">
        <v>777</v>
      </c>
      <c r="N1" s="4" t="s">
        <v>778</v>
      </c>
    </row>
    <row r="2" customFormat="false" ht="15" hidden="false" customHeight="false" outlineLevel="0" collapsed="false">
      <c r="A2" s="0" t="s">
        <v>33</v>
      </c>
      <c r="B2" s="0" t="n">
        <f aca="false">SUMIF('Sources strict'!A:A,"2022-2023",'Sources strict'!E:E)/100</f>
        <v>84.462</v>
      </c>
      <c r="C2" s="0" t="n">
        <v>3.85</v>
      </c>
      <c r="D2" s="0" t="n">
        <f aca="false">(C2/1.2)/0.12</f>
        <v>26.7361111111111</v>
      </c>
      <c r="E2" s="0" t="n">
        <f aca="false">B2*D2</f>
        <v>2258.18541666667</v>
      </c>
      <c r="F2" s="0" t="n">
        <f aca="false">SUMIF('Sources elargi'!A:A,"2022-2023",'Sources elargi'!E:E)/100</f>
        <v>83.202</v>
      </c>
      <c r="G2" s="0" t="n">
        <f aca="false">Calcul!B8*0.05</f>
        <v>9.9</v>
      </c>
      <c r="H2" s="0" t="n">
        <f aca="false">MAX(B2-G2,0)</f>
        <v>74.562</v>
      </c>
      <c r="I2" s="0" t="n">
        <f aca="false">H2*D2</f>
        <v>1993.49791666667</v>
      </c>
      <c r="J2" s="0" t="n">
        <f aca="false">Calcul!B8*0.15</f>
        <v>29.7</v>
      </c>
      <c r="K2" s="0" t="n">
        <f aca="false">MAX(B2-J2,0)</f>
        <v>54.762</v>
      </c>
      <c r="L2" s="0" t="n">
        <f aca="false">K2*D2</f>
        <v>1464.12291666667</v>
      </c>
      <c r="M2" s="0" t="n">
        <v>3.94</v>
      </c>
      <c r="N2" s="0" t="n">
        <f aca="false">E2*M2</f>
        <v>8897.25054166667</v>
      </c>
    </row>
    <row r="3" customFormat="false" ht="15" hidden="false" customHeight="false" outlineLevel="0" collapsed="false">
      <c r="A3" s="0" t="s">
        <v>249</v>
      </c>
      <c r="B3" s="0" t="n">
        <f aca="false">SUMIF('Sources strict'!A:A,"2023-2024",'Sources strict'!E:E)/100</f>
        <v>79.41</v>
      </c>
      <c r="C3" s="0" t="n">
        <v>4.79</v>
      </c>
      <c r="D3" s="0" t="n">
        <f aca="false">(C3/1.2)/0.12</f>
        <v>33.2638888888889</v>
      </c>
      <c r="E3" s="0" t="n">
        <f aca="false">B3*D3</f>
        <v>2641.48541666667</v>
      </c>
      <c r="F3" s="0" t="n">
        <f aca="false">SUMIF('Sources elargi'!A:A,"2023-2024",'Sources elargi'!E:E)/100</f>
        <v>82.41</v>
      </c>
      <c r="G3" s="0" t="n">
        <f aca="false">Calcul!C8*0.05</f>
        <v>11.8125</v>
      </c>
      <c r="H3" s="0" t="n">
        <f aca="false">MAX(B3-G3,0)</f>
        <v>67.5975</v>
      </c>
      <c r="I3" s="0" t="n">
        <f aca="false">H3*D3</f>
        <v>2248.55572916667</v>
      </c>
      <c r="J3" s="0" t="n">
        <f aca="false">Calcul!C8*0.15</f>
        <v>35.4375</v>
      </c>
      <c r="K3" s="0" t="n">
        <f aca="false">MAX(B3-J3,0)</f>
        <v>43.9725</v>
      </c>
      <c r="L3" s="0" t="n">
        <f aca="false">K3*D3</f>
        <v>1462.69635416667</v>
      </c>
      <c r="M3" s="0" t="n">
        <v>4.02</v>
      </c>
      <c r="N3" s="0" t="n">
        <f aca="false">E3*M3</f>
        <v>10618.771375</v>
      </c>
    </row>
    <row r="4" customFormat="false" ht="15" hidden="false" customHeight="false" outlineLevel="0" collapsed="false">
      <c r="A4" s="0" t="s">
        <v>462</v>
      </c>
      <c r="B4" s="0" t="n">
        <f aca="false">SUMIF('Sources strict'!A:A,"2024-2025",'Sources strict'!E:E)/100</f>
        <v>84.24</v>
      </c>
      <c r="C4" s="0" t="n">
        <v>4.99</v>
      </c>
      <c r="D4" s="0" t="n">
        <f aca="false">(C4/1.2)/0.12</f>
        <v>34.6527777777778</v>
      </c>
      <c r="E4" s="0" t="n">
        <f aca="false">B4*D4</f>
        <v>2919.15</v>
      </c>
      <c r="F4" s="0" t="n">
        <f aca="false">SUMIF('Sources elargi'!A:A,"2024-2025",'Sources elargi'!E:E)/100</f>
        <v>83.16</v>
      </c>
      <c r="G4" s="0" t="n">
        <f aca="false">Calcul!D8*0.05</f>
        <v>11.5875</v>
      </c>
      <c r="H4" s="0" t="n">
        <f aca="false">MAX(B4-G4,0)</f>
        <v>72.6525</v>
      </c>
      <c r="I4" s="0" t="n">
        <f aca="false">H4*D4</f>
        <v>2517.6109375</v>
      </c>
      <c r="J4" s="0" t="n">
        <f aca="false">Calcul!D8*0.15</f>
        <v>34.7625</v>
      </c>
      <c r="K4" s="0" t="n">
        <f aca="false">MAX(B4-J4,0)</f>
        <v>49.4775</v>
      </c>
      <c r="L4" s="0" t="n">
        <f aca="false">K4*D4</f>
        <v>1714.5328125</v>
      </c>
      <c r="M4" s="0" t="n">
        <v>4.1</v>
      </c>
      <c r="N4" s="0" t="n">
        <f aca="false">E4*M4</f>
        <v>11968.515</v>
      </c>
    </row>
    <row r="5" customFormat="false" ht="15" hidden="false" customHeight="false" outlineLevel="0" collapsed="false">
      <c r="A5" s="4" t="s">
        <v>779</v>
      </c>
      <c r="B5" s="6" t="n">
        <f aca="false">SUM(B2:B4)</f>
        <v>248.112</v>
      </c>
      <c r="E5" s="6" t="n">
        <f aca="false">SUM(E2:E4)</f>
        <v>7818.82083333333</v>
      </c>
      <c r="F5" s="6" t="n">
        <f aca="false">SUM(F2:F4)</f>
        <v>248.772</v>
      </c>
      <c r="G5" s="6" t="n">
        <f aca="false">SUM(G2:G4)</f>
        <v>33.3</v>
      </c>
      <c r="H5" s="6" t="n">
        <f aca="false">SUM(H2:H4)</f>
        <v>214.812</v>
      </c>
      <c r="I5" s="6" t="n">
        <f aca="false">SUM(I2:I4)</f>
        <v>6759.66458333333</v>
      </c>
      <c r="J5" s="6" t="n">
        <f aca="false">SUM(J2:J4)</f>
        <v>99.9</v>
      </c>
      <c r="K5" s="6" t="n">
        <f aca="false">SUM(K2:K4)</f>
        <v>148.212</v>
      </c>
      <c r="L5" s="6" t="n">
        <f aca="false">SUM(L2:L4)</f>
        <v>4641.35208333333</v>
      </c>
      <c r="N5" s="6" t="n">
        <f aca="false">SUM(N2:N4)</f>
        <v>31484.5369166667</v>
      </c>
    </row>
    <row r="6" customFormat="false" ht="15" hidden="false" customHeight="false" outlineLevel="0" collapsed="false">
      <c r="A6" s="0" t="s">
        <v>780</v>
      </c>
      <c r="E6" s="0" t="n">
        <f aca="false">E5/3</f>
        <v>2606.27361111111</v>
      </c>
    </row>
    <row r="8" customFormat="false" ht="15" hidden="false" customHeight="false" outlineLevel="0" collapsed="false">
      <c r="A8" s="0" t="s">
        <v>781</v>
      </c>
    </row>
    <row r="10" customFormat="false" ht="15" hidden="false" customHeight="false" outlineLevel="0" collapsed="false">
      <c r="A10" s="0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22"/>
    <col collapsed="false" customWidth="true" hidden="false" outlineLevel="0" max="6" min="6" style="0" width="28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4" t="s">
        <v>18</v>
      </c>
      <c r="B1" s="4" t="s">
        <v>19</v>
      </c>
      <c r="C1" s="4" t="s">
        <v>783</v>
      </c>
      <c r="D1" s="4" t="s">
        <v>784</v>
      </c>
      <c r="E1" s="4" t="s">
        <v>785</v>
      </c>
      <c r="F1" s="4" t="s">
        <v>786</v>
      </c>
      <c r="G1" s="4" t="s">
        <v>787</v>
      </c>
    </row>
    <row r="2" customFormat="false" ht="15" hidden="false" customHeight="false" outlineLevel="0" collapsed="false">
      <c r="A2" s="0" t="s">
        <v>33</v>
      </c>
      <c r="B2" s="0" t="s">
        <v>34</v>
      </c>
      <c r="C2" s="0" t="s">
        <v>757</v>
      </c>
      <c r="D2" s="0" t="n">
        <v>6</v>
      </c>
      <c r="E2" s="0" t="n">
        <v>3</v>
      </c>
      <c r="F2" s="0" t="n">
        <f aca="false">D2*E2</f>
        <v>18</v>
      </c>
      <c r="G2" s="0" t="n">
        <f aca="false">ROUNDUP(F2/75,0)</f>
        <v>1</v>
      </c>
    </row>
    <row r="3" customFormat="false" ht="15" hidden="false" customHeight="false" outlineLevel="0" collapsed="false">
      <c r="A3" s="0" t="s">
        <v>33</v>
      </c>
      <c r="B3" s="0" t="s">
        <v>34</v>
      </c>
      <c r="C3" s="0" t="s">
        <v>753</v>
      </c>
      <c r="D3" s="0" t="n">
        <v>6</v>
      </c>
      <c r="E3" s="0" t="n">
        <v>3</v>
      </c>
      <c r="F3" s="0" t="n">
        <f aca="false">D3*E3</f>
        <v>18</v>
      </c>
      <c r="G3" s="0" t="n">
        <f aca="false">ROUNDUP(F3/75,0)</f>
        <v>1</v>
      </c>
    </row>
    <row r="4" customFormat="false" ht="15" hidden="false" customHeight="false" outlineLevel="0" collapsed="false">
      <c r="A4" s="0" t="s">
        <v>33</v>
      </c>
      <c r="B4" s="0" t="s">
        <v>34</v>
      </c>
      <c r="C4" s="0" t="s">
        <v>755</v>
      </c>
      <c r="D4" s="0" t="n">
        <v>6</v>
      </c>
      <c r="E4" s="0" t="n">
        <v>3</v>
      </c>
      <c r="F4" s="0" t="n">
        <f aca="false">D4*E4</f>
        <v>18</v>
      </c>
      <c r="G4" s="0" t="n">
        <f aca="false">ROUNDUP(F4/75,0)</f>
        <v>1</v>
      </c>
    </row>
    <row r="5" customFormat="false" ht="15" hidden="false" customHeight="false" outlineLevel="0" collapsed="false">
      <c r="A5" s="0" t="s">
        <v>33</v>
      </c>
      <c r="B5" s="0" t="s">
        <v>35</v>
      </c>
      <c r="C5" s="0" t="s">
        <v>756</v>
      </c>
      <c r="D5" s="0" t="n">
        <v>12</v>
      </c>
      <c r="E5" s="0" t="n">
        <v>2</v>
      </c>
      <c r="F5" s="0" t="n">
        <f aca="false">D5*E5</f>
        <v>24</v>
      </c>
      <c r="G5" s="0" t="n">
        <f aca="false">ROUNDUP(F5/75,0)</f>
        <v>1</v>
      </c>
    </row>
    <row r="6" customFormat="false" ht="15" hidden="false" customHeight="false" outlineLevel="0" collapsed="false">
      <c r="A6" s="0" t="s">
        <v>33</v>
      </c>
      <c r="B6" s="0" t="s">
        <v>35</v>
      </c>
      <c r="C6" s="0" t="s">
        <v>757</v>
      </c>
      <c r="D6" s="0" t="n">
        <v>6</v>
      </c>
      <c r="E6" s="0" t="n">
        <v>1</v>
      </c>
      <c r="F6" s="0" t="n">
        <f aca="false">D6*E6</f>
        <v>6</v>
      </c>
      <c r="G6" s="0" t="n">
        <f aca="false">ROUNDUP(F6/75,0)</f>
        <v>1</v>
      </c>
    </row>
    <row r="7" customFormat="false" ht="15" hidden="false" customHeight="false" outlineLevel="0" collapsed="false">
      <c r="A7" s="0" t="s">
        <v>33</v>
      </c>
      <c r="B7" s="0" t="s">
        <v>35</v>
      </c>
      <c r="C7" s="0" t="s">
        <v>753</v>
      </c>
      <c r="D7" s="0" t="n">
        <v>6</v>
      </c>
      <c r="E7" s="0" t="n">
        <v>3</v>
      </c>
      <c r="F7" s="0" t="n">
        <f aca="false">D7*E7</f>
        <v>18</v>
      </c>
      <c r="G7" s="0" t="n">
        <f aca="false">ROUNDUP(F7/75,0)</f>
        <v>1</v>
      </c>
    </row>
    <row r="8" customFormat="false" ht="15" hidden="false" customHeight="false" outlineLevel="0" collapsed="false">
      <c r="A8" s="0" t="s">
        <v>33</v>
      </c>
      <c r="B8" s="0" t="s">
        <v>35</v>
      </c>
      <c r="C8" s="0" t="s">
        <v>755</v>
      </c>
      <c r="D8" s="0" t="n">
        <v>6</v>
      </c>
      <c r="E8" s="0" t="n">
        <v>1</v>
      </c>
      <c r="F8" s="0" t="n">
        <f aca="false">D8*E8</f>
        <v>6</v>
      </c>
      <c r="G8" s="0" t="n">
        <f aca="false">ROUNDUP(F8/75,0)</f>
        <v>1</v>
      </c>
    </row>
    <row r="9" customFormat="false" ht="15" hidden="false" customHeight="false" outlineLevel="0" collapsed="false">
      <c r="A9" s="0" t="s">
        <v>33</v>
      </c>
      <c r="B9" s="0" t="s">
        <v>36</v>
      </c>
      <c r="C9" s="0" t="s">
        <v>756</v>
      </c>
      <c r="D9" s="0" t="n">
        <v>12</v>
      </c>
      <c r="E9" s="0" t="n">
        <v>1</v>
      </c>
      <c r="F9" s="0" t="n">
        <f aca="false">D9*E9</f>
        <v>12</v>
      </c>
      <c r="G9" s="0" t="n">
        <f aca="false">ROUNDUP(F9/75,0)</f>
        <v>1</v>
      </c>
    </row>
    <row r="10" customFormat="false" ht="15" hidden="false" customHeight="false" outlineLevel="0" collapsed="false">
      <c r="A10" s="0" t="s">
        <v>33</v>
      </c>
      <c r="B10" s="0" t="s">
        <v>36</v>
      </c>
      <c r="C10" s="0" t="s">
        <v>753</v>
      </c>
      <c r="D10" s="0" t="n">
        <v>6</v>
      </c>
      <c r="E10" s="0" t="n">
        <v>5</v>
      </c>
      <c r="F10" s="0" t="n">
        <f aca="false">D10*E10</f>
        <v>30</v>
      </c>
      <c r="G10" s="0" t="n">
        <f aca="false">ROUNDUP(F10/75,0)</f>
        <v>1</v>
      </c>
    </row>
    <row r="11" customFormat="false" ht="15" hidden="false" customHeight="false" outlineLevel="0" collapsed="false">
      <c r="A11" s="0" t="s">
        <v>33</v>
      </c>
      <c r="B11" s="0" t="s">
        <v>36</v>
      </c>
      <c r="C11" s="0" t="s">
        <v>755</v>
      </c>
      <c r="D11" s="0" t="n">
        <v>6</v>
      </c>
      <c r="E11" s="0" t="n">
        <v>6</v>
      </c>
      <c r="F11" s="0" t="n">
        <f aca="false">D11*E11</f>
        <v>36</v>
      </c>
      <c r="G11" s="0" t="n">
        <f aca="false">ROUNDUP(F11/75,0)</f>
        <v>1</v>
      </c>
    </row>
    <row r="12" customFormat="false" ht="15" hidden="false" customHeight="false" outlineLevel="0" collapsed="false">
      <c r="A12" s="0" t="s">
        <v>33</v>
      </c>
      <c r="B12" s="0" t="s">
        <v>37</v>
      </c>
      <c r="C12" s="0" t="s">
        <v>757</v>
      </c>
      <c r="D12" s="0" t="n">
        <v>6</v>
      </c>
      <c r="E12" s="0" t="n">
        <v>2</v>
      </c>
      <c r="F12" s="0" t="n">
        <f aca="false">D12*E12</f>
        <v>12</v>
      </c>
      <c r="G12" s="0" t="n">
        <f aca="false">ROUNDUP(F12/75,0)</f>
        <v>1</v>
      </c>
    </row>
    <row r="13" customFormat="false" ht="15" hidden="false" customHeight="false" outlineLevel="0" collapsed="false">
      <c r="A13" s="0" t="s">
        <v>33</v>
      </c>
      <c r="B13" s="0" t="s">
        <v>37</v>
      </c>
      <c r="C13" s="0" t="s">
        <v>753</v>
      </c>
      <c r="D13" s="0" t="n">
        <v>6</v>
      </c>
      <c r="E13" s="0" t="n">
        <v>3</v>
      </c>
      <c r="F13" s="0" t="n">
        <f aca="false">D13*E13</f>
        <v>18</v>
      </c>
      <c r="G13" s="0" t="n">
        <f aca="false">ROUNDUP(F13/75,0)</f>
        <v>1</v>
      </c>
    </row>
    <row r="14" customFormat="false" ht="15" hidden="false" customHeight="false" outlineLevel="0" collapsed="false">
      <c r="A14" s="0" t="s">
        <v>33</v>
      </c>
      <c r="B14" s="0" t="s">
        <v>37</v>
      </c>
      <c r="C14" s="0" t="s">
        <v>755</v>
      </c>
      <c r="D14" s="0" t="n">
        <v>6</v>
      </c>
      <c r="E14" s="0" t="n">
        <v>2</v>
      </c>
      <c r="F14" s="0" t="n">
        <f aca="false">D14*E14</f>
        <v>12</v>
      </c>
      <c r="G14" s="0" t="n">
        <f aca="false">ROUNDUP(F14/75,0)</f>
        <v>1</v>
      </c>
    </row>
    <row r="15" customFormat="false" ht="15" hidden="false" customHeight="false" outlineLevel="0" collapsed="false">
      <c r="A15" s="0" t="s">
        <v>33</v>
      </c>
      <c r="B15" s="0" t="s">
        <v>38</v>
      </c>
      <c r="C15" s="0" t="s">
        <v>757</v>
      </c>
      <c r="D15" s="0" t="n">
        <v>6</v>
      </c>
      <c r="E15" s="0" t="n">
        <v>1</v>
      </c>
      <c r="F15" s="0" t="n">
        <f aca="false">D15*E15</f>
        <v>6</v>
      </c>
      <c r="G15" s="0" t="n">
        <f aca="false">ROUNDUP(F15/75,0)</f>
        <v>1</v>
      </c>
    </row>
    <row r="16" customFormat="false" ht="15" hidden="false" customHeight="false" outlineLevel="0" collapsed="false">
      <c r="A16" s="0" t="s">
        <v>33</v>
      </c>
      <c r="B16" s="0" t="s">
        <v>38</v>
      </c>
      <c r="C16" s="0" t="s">
        <v>753</v>
      </c>
      <c r="D16" s="0" t="n">
        <v>6</v>
      </c>
      <c r="E16" s="0" t="n">
        <v>1</v>
      </c>
      <c r="F16" s="0" t="n">
        <f aca="false">D16*E16</f>
        <v>6</v>
      </c>
      <c r="G16" s="0" t="n">
        <f aca="false">ROUNDUP(F16/75,0)</f>
        <v>1</v>
      </c>
    </row>
    <row r="17" customFormat="false" ht="15" hidden="false" customHeight="false" outlineLevel="0" collapsed="false">
      <c r="A17" s="0" t="s">
        <v>33</v>
      </c>
      <c r="B17" s="0" t="s">
        <v>38</v>
      </c>
      <c r="C17" s="0" t="s">
        <v>755</v>
      </c>
      <c r="D17" s="0" t="n">
        <v>6</v>
      </c>
      <c r="E17" s="0" t="n">
        <v>3</v>
      </c>
      <c r="F17" s="0" t="n">
        <f aca="false">D17*E17</f>
        <v>18</v>
      </c>
      <c r="G17" s="0" t="n">
        <f aca="false">ROUNDUP(F17/75,0)</f>
        <v>1</v>
      </c>
    </row>
    <row r="18" customFormat="false" ht="15" hidden="false" customHeight="false" outlineLevel="0" collapsed="false">
      <c r="A18" s="0" t="s">
        <v>33</v>
      </c>
      <c r="B18" s="0" t="s">
        <v>39</v>
      </c>
      <c r="C18" s="0" t="s">
        <v>757</v>
      </c>
      <c r="D18" s="0" t="n">
        <v>6</v>
      </c>
      <c r="E18" s="0" t="n">
        <v>1</v>
      </c>
      <c r="F18" s="0" t="n">
        <f aca="false">D18*E18</f>
        <v>6</v>
      </c>
      <c r="G18" s="0" t="n">
        <f aca="false">ROUNDUP(F18/75,0)</f>
        <v>1</v>
      </c>
    </row>
    <row r="19" customFormat="false" ht="15" hidden="false" customHeight="false" outlineLevel="0" collapsed="false">
      <c r="A19" s="0" t="s">
        <v>33</v>
      </c>
      <c r="B19" s="0" t="s">
        <v>39</v>
      </c>
      <c r="C19" s="0" t="s">
        <v>753</v>
      </c>
      <c r="D19" s="0" t="n">
        <v>6</v>
      </c>
      <c r="E19" s="0" t="n">
        <v>1</v>
      </c>
      <c r="F19" s="0" t="n">
        <f aca="false">D19*E19</f>
        <v>6</v>
      </c>
      <c r="G19" s="0" t="n">
        <f aca="false">ROUNDUP(F19/75,0)</f>
        <v>1</v>
      </c>
    </row>
    <row r="20" customFormat="false" ht="15" hidden="false" customHeight="false" outlineLevel="0" collapsed="false">
      <c r="A20" s="0" t="s">
        <v>33</v>
      </c>
      <c r="B20" s="0" t="s">
        <v>39</v>
      </c>
      <c r="C20" s="0" t="s">
        <v>755</v>
      </c>
      <c r="D20" s="0" t="n">
        <v>6</v>
      </c>
      <c r="E20" s="0" t="n">
        <v>1</v>
      </c>
      <c r="F20" s="0" t="n">
        <f aca="false">D20*E20</f>
        <v>6</v>
      </c>
      <c r="G20" s="0" t="n">
        <f aca="false">ROUNDUP(F20/75,0)</f>
        <v>1</v>
      </c>
    </row>
    <row r="21" customFormat="false" ht="15" hidden="false" customHeight="false" outlineLevel="0" collapsed="false">
      <c r="A21" s="0" t="s">
        <v>33</v>
      </c>
      <c r="B21" s="0" t="s">
        <v>40</v>
      </c>
      <c r="C21" s="0" t="s">
        <v>757</v>
      </c>
      <c r="D21" s="0" t="n">
        <v>6</v>
      </c>
      <c r="E21" s="0" t="n">
        <v>5</v>
      </c>
      <c r="F21" s="0" t="n">
        <f aca="false">D21*E21</f>
        <v>30</v>
      </c>
      <c r="G21" s="0" t="n">
        <f aca="false">ROUNDUP(F21/75,0)</f>
        <v>1</v>
      </c>
    </row>
    <row r="22" customFormat="false" ht="15" hidden="false" customHeight="false" outlineLevel="0" collapsed="false">
      <c r="A22" s="0" t="s">
        <v>33</v>
      </c>
      <c r="B22" s="0" t="s">
        <v>40</v>
      </c>
      <c r="C22" s="0" t="s">
        <v>753</v>
      </c>
      <c r="D22" s="0" t="n">
        <v>6</v>
      </c>
      <c r="E22" s="0" t="n">
        <v>11</v>
      </c>
      <c r="F22" s="0" t="n">
        <f aca="false">D22*E22</f>
        <v>66</v>
      </c>
      <c r="G22" s="0" t="n">
        <f aca="false">ROUNDUP(F22/75,0)</f>
        <v>1</v>
      </c>
    </row>
    <row r="23" customFormat="false" ht="15" hidden="false" customHeight="false" outlineLevel="0" collapsed="false">
      <c r="A23" s="0" t="s">
        <v>33</v>
      </c>
      <c r="B23" s="0" t="s">
        <v>41</v>
      </c>
      <c r="C23" s="0" t="s">
        <v>757</v>
      </c>
      <c r="D23" s="0" t="n">
        <v>6</v>
      </c>
      <c r="E23" s="0" t="n">
        <v>1</v>
      </c>
      <c r="F23" s="0" t="n">
        <f aca="false">D23*E23</f>
        <v>6</v>
      </c>
      <c r="G23" s="0" t="n">
        <f aca="false">ROUNDUP(F23/75,0)</f>
        <v>1</v>
      </c>
    </row>
    <row r="24" customFormat="false" ht="15" hidden="false" customHeight="false" outlineLevel="0" collapsed="false">
      <c r="A24" s="0" t="s">
        <v>33</v>
      </c>
      <c r="B24" s="0" t="s">
        <v>41</v>
      </c>
      <c r="C24" s="0" t="s">
        <v>753</v>
      </c>
      <c r="D24" s="0" t="n">
        <v>6</v>
      </c>
      <c r="E24" s="0" t="n">
        <v>3</v>
      </c>
      <c r="F24" s="0" t="n">
        <f aca="false">D24*E24</f>
        <v>18</v>
      </c>
      <c r="G24" s="0" t="n">
        <f aca="false">ROUNDUP(F24/75,0)</f>
        <v>1</v>
      </c>
    </row>
    <row r="25" customFormat="false" ht="15" hidden="false" customHeight="false" outlineLevel="0" collapsed="false">
      <c r="A25" s="0" t="s">
        <v>33</v>
      </c>
      <c r="B25" s="0" t="s">
        <v>41</v>
      </c>
      <c r="C25" s="0" t="s">
        <v>755</v>
      </c>
      <c r="D25" s="0" t="n">
        <v>6</v>
      </c>
      <c r="E25" s="0" t="n">
        <v>2</v>
      </c>
      <c r="F25" s="0" t="n">
        <f aca="false">D25*E25</f>
        <v>12</v>
      </c>
      <c r="G25" s="0" t="n">
        <f aca="false">ROUNDUP(F25/75,0)</f>
        <v>1</v>
      </c>
    </row>
    <row r="26" customFormat="false" ht="15" hidden="false" customHeight="false" outlineLevel="0" collapsed="false">
      <c r="A26" s="0" t="s">
        <v>33</v>
      </c>
      <c r="B26" s="0" t="s">
        <v>42</v>
      </c>
      <c r="C26" s="0" t="s">
        <v>753</v>
      </c>
      <c r="D26" s="0" t="n">
        <v>6</v>
      </c>
      <c r="E26" s="0" t="n">
        <v>3</v>
      </c>
      <c r="F26" s="0" t="n">
        <f aca="false">D26*E26</f>
        <v>18</v>
      </c>
      <c r="G26" s="0" t="n">
        <f aca="false">ROUNDUP(F26/75,0)</f>
        <v>1</v>
      </c>
    </row>
    <row r="27" customFormat="false" ht="15" hidden="false" customHeight="false" outlineLevel="0" collapsed="false">
      <c r="A27" s="0" t="s">
        <v>33</v>
      </c>
      <c r="B27" s="0" t="s">
        <v>42</v>
      </c>
      <c r="C27" s="0" t="s">
        <v>755</v>
      </c>
      <c r="D27" s="0" t="n">
        <v>6</v>
      </c>
      <c r="E27" s="0" t="n">
        <v>3</v>
      </c>
      <c r="F27" s="0" t="n">
        <f aca="false">D27*E27</f>
        <v>18</v>
      </c>
      <c r="G27" s="0" t="n">
        <f aca="false">ROUNDUP(F27/75,0)</f>
        <v>1</v>
      </c>
    </row>
    <row r="28" customFormat="false" ht="15" hidden="false" customHeight="false" outlineLevel="0" collapsed="false">
      <c r="A28" s="0" t="s">
        <v>33</v>
      </c>
      <c r="B28" s="0" t="s">
        <v>43</v>
      </c>
      <c r="C28" s="0" t="s">
        <v>753</v>
      </c>
      <c r="D28" s="0" t="n">
        <v>6</v>
      </c>
      <c r="E28" s="0" t="n">
        <v>3</v>
      </c>
      <c r="F28" s="0" t="n">
        <f aca="false">D28*E28</f>
        <v>18</v>
      </c>
      <c r="G28" s="0" t="n">
        <f aca="false">ROUNDUP(F28/75,0)</f>
        <v>1</v>
      </c>
    </row>
    <row r="29" customFormat="false" ht="15" hidden="false" customHeight="false" outlineLevel="0" collapsed="false">
      <c r="A29" s="0" t="s">
        <v>33</v>
      </c>
      <c r="B29" s="0" t="s">
        <v>43</v>
      </c>
      <c r="C29" s="0" t="s">
        <v>755</v>
      </c>
      <c r="D29" s="0" t="n">
        <v>6</v>
      </c>
      <c r="E29" s="0" t="n">
        <v>1</v>
      </c>
      <c r="F29" s="0" t="n">
        <f aca="false">D29*E29</f>
        <v>6</v>
      </c>
      <c r="G29" s="0" t="n">
        <f aca="false">ROUNDUP(F29/75,0)</f>
        <v>1</v>
      </c>
    </row>
    <row r="30" customFormat="false" ht="15" hidden="false" customHeight="false" outlineLevel="0" collapsed="false">
      <c r="A30" s="0" t="s">
        <v>33</v>
      </c>
      <c r="B30" s="0" t="s">
        <v>44</v>
      </c>
      <c r="C30" s="0" t="s">
        <v>753</v>
      </c>
      <c r="D30" s="0" t="n">
        <v>6</v>
      </c>
      <c r="E30" s="0" t="n">
        <v>5</v>
      </c>
      <c r="F30" s="0" t="n">
        <f aca="false">D30*E30</f>
        <v>30</v>
      </c>
      <c r="G30" s="0" t="n">
        <f aca="false">ROUNDUP(F30/75,0)</f>
        <v>1</v>
      </c>
    </row>
    <row r="31" customFormat="false" ht="15" hidden="false" customHeight="false" outlineLevel="0" collapsed="false">
      <c r="A31" s="0" t="s">
        <v>33</v>
      </c>
      <c r="B31" s="0" t="s">
        <v>44</v>
      </c>
      <c r="C31" s="0" t="s">
        <v>755</v>
      </c>
      <c r="D31" s="0" t="n">
        <v>6</v>
      </c>
      <c r="E31" s="0" t="n">
        <v>2</v>
      </c>
      <c r="F31" s="0" t="n">
        <f aca="false">D31*E31</f>
        <v>12</v>
      </c>
      <c r="G31" s="0" t="n">
        <f aca="false">ROUNDUP(F31/75,0)</f>
        <v>1</v>
      </c>
    </row>
    <row r="32" customFormat="false" ht="15" hidden="false" customHeight="false" outlineLevel="0" collapsed="false">
      <c r="A32" s="0" t="s">
        <v>33</v>
      </c>
      <c r="B32" s="0" t="s">
        <v>45</v>
      </c>
      <c r="C32" s="0" t="s">
        <v>756</v>
      </c>
      <c r="D32" s="0" t="n">
        <v>12</v>
      </c>
      <c r="E32" s="0" t="n">
        <v>3</v>
      </c>
      <c r="F32" s="0" t="n">
        <f aca="false">D32*E32</f>
        <v>36</v>
      </c>
      <c r="G32" s="0" t="n">
        <f aca="false">ROUNDUP(F32/75,0)</f>
        <v>1</v>
      </c>
    </row>
    <row r="33" customFormat="false" ht="15" hidden="false" customHeight="false" outlineLevel="0" collapsed="false">
      <c r="A33" s="0" t="s">
        <v>33</v>
      </c>
      <c r="B33" s="0" t="s">
        <v>45</v>
      </c>
      <c r="C33" s="0" t="s">
        <v>757</v>
      </c>
      <c r="D33" s="0" t="n">
        <v>6</v>
      </c>
      <c r="E33" s="0" t="n">
        <v>1</v>
      </c>
      <c r="F33" s="0" t="n">
        <f aca="false">D33*E33</f>
        <v>6</v>
      </c>
      <c r="G33" s="0" t="n">
        <f aca="false">ROUNDUP(F33/75,0)</f>
        <v>1</v>
      </c>
    </row>
    <row r="34" customFormat="false" ht="15" hidden="false" customHeight="false" outlineLevel="0" collapsed="false">
      <c r="A34" s="0" t="s">
        <v>33</v>
      </c>
      <c r="B34" s="0" t="s">
        <v>45</v>
      </c>
      <c r="C34" s="0" t="s">
        <v>753</v>
      </c>
      <c r="D34" s="0" t="n">
        <v>6</v>
      </c>
      <c r="E34" s="0" t="n">
        <v>2</v>
      </c>
      <c r="F34" s="0" t="n">
        <f aca="false">D34*E34</f>
        <v>12</v>
      </c>
      <c r="G34" s="0" t="n">
        <f aca="false">ROUNDUP(F34/75,0)</f>
        <v>1</v>
      </c>
    </row>
    <row r="35" customFormat="false" ht="15" hidden="false" customHeight="false" outlineLevel="0" collapsed="false">
      <c r="A35" s="0" t="s">
        <v>33</v>
      </c>
      <c r="B35" s="0" t="s">
        <v>46</v>
      </c>
      <c r="C35" s="0" t="s">
        <v>757</v>
      </c>
      <c r="D35" s="0" t="n">
        <v>6</v>
      </c>
      <c r="E35" s="0" t="n">
        <v>1</v>
      </c>
      <c r="F35" s="0" t="n">
        <f aca="false">D35*E35</f>
        <v>6</v>
      </c>
      <c r="G35" s="0" t="n">
        <f aca="false">ROUNDUP(F35/75,0)</f>
        <v>1</v>
      </c>
    </row>
    <row r="36" customFormat="false" ht="15" hidden="false" customHeight="false" outlineLevel="0" collapsed="false">
      <c r="A36" s="0" t="s">
        <v>33</v>
      </c>
      <c r="B36" s="0" t="s">
        <v>46</v>
      </c>
      <c r="C36" s="0" t="s">
        <v>753</v>
      </c>
      <c r="D36" s="0" t="n">
        <v>6</v>
      </c>
      <c r="E36" s="0" t="n">
        <v>2</v>
      </c>
      <c r="F36" s="0" t="n">
        <f aca="false">D36*E36</f>
        <v>12</v>
      </c>
      <c r="G36" s="0" t="n">
        <f aca="false">ROUNDUP(F36/75,0)</f>
        <v>1</v>
      </c>
    </row>
    <row r="37" customFormat="false" ht="15" hidden="false" customHeight="false" outlineLevel="0" collapsed="false">
      <c r="A37" s="0" t="s">
        <v>33</v>
      </c>
      <c r="B37" s="0" t="s">
        <v>46</v>
      </c>
      <c r="C37" s="0" t="s">
        <v>755</v>
      </c>
      <c r="D37" s="0" t="n">
        <v>6</v>
      </c>
      <c r="E37" s="0" t="n">
        <v>1</v>
      </c>
      <c r="F37" s="0" t="n">
        <f aca="false">D37*E37</f>
        <v>6</v>
      </c>
      <c r="G37" s="0" t="n">
        <f aca="false">ROUNDUP(F37/75,0)</f>
        <v>1</v>
      </c>
    </row>
    <row r="38" customFormat="false" ht="15" hidden="false" customHeight="false" outlineLevel="0" collapsed="false">
      <c r="A38" s="0" t="s">
        <v>33</v>
      </c>
      <c r="B38" s="0" t="s">
        <v>47</v>
      </c>
      <c r="C38" s="0" t="s">
        <v>756</v>
      </c>
      <c r="D38" s="0" t="n">
        <v>12</v>
      </c>
      <c r="E38" s="0" t="n">
        <v>1</v>
      </c>
      <c r="F38" s="0" t="n">
        <f aca="false">D38*E38</f>
        <v>12</v>
      </c>
      <c r="G38" s="0" t="n">
        <f aca="false">ROUNDUP(F38/75,0)</f>
        <v>1</v>
      </c>
    </row>
    <row r="39" customFormat="false" ht="15" hidden="false" customHeight="false" outlineLevel="0" collapsed="false">
      <c r="A39" s="0" t="s">
        <v>33</v>
      </c>
      <c r="B39" s="0" t="s">
        <v>47</v>
      </c>
      <c r="C39" s="0" t="s">
        <v>757</v>
      </c>
      <c r="D39" s="0" t="n">
        <v>6</v>
      </c>
      <c r="E39" s="0" t="n">
        <v>2</v>
      </c>
      <c r="F39" s="0" t="n">
        <f aca="false">D39*E39</f>
        <v>12</v>
      </c>
      <c r="G39" s="0" t="n">
        <f aca="false">ROUNDUP(F39/75,0)</f>
        <v>1</v>
      </c>
    </row>
    <row r="40" customFormat="false" ht="15" hidden="false" customHeight="false" outlineLevel="0" collapsed="false">
      <c r="A40" s="0" t="s">
        <v>33</v>
      </c>
      <c r="B40" s="0" t="s">
        <v>47</v>
      </c>
      <c r="C40" s="0" t="s">
        <v>753</v>
      </c>
      <c r="D40" s="0" t="n">
        <v>6</v>
      </c>
      <c r="E40" s="0" t="n">
        <v>1</v>
      </c>
      <c r="F40" s="0" t="n">
        <f aca="false">D40*E40</f>
        <v>6</v>
      </c>
      <c r="G40" s="0" t="n">
        <f aca="false">ROUNDUP(F40/75,0)</f>
        <v>1</v>
      </c>
    </row>
    <row r="41" customFormat="false" ht="15" hidden="false" customHeight="false" outlineLevel="0" collapsed="false">
      <c r="A41" s="0" t="s">
        <v>33</v>
      </c>
      <c r="B41" s="0" t="s">
        <v>48</v>
      </c>
      <c r="C41" s="0" t="s">
        <v>756</v>
      </c>
      <c r="D41" s="0" t="n">
        <v>12</v>
      </c>
      <c r="E41" s="0" t="n">
        <v>1</v>
      </c>
      <c r="F41" s="0" t="n">
        <f aca="false">D41*E41</f>
        <v>12</v>
      </c>
      <c r="G41" s="0" t="n">
        <f aca="false">ROUNDUP(F41/75,0)</f>
        <v>1</v>
      </c>
    </row>
    <row r="42" customFormat="false" ht="15" hidden="false" customHeight="false" outlineLevel="0" collapsed="false">
      <c r="A42" s="0" t="s">
        <v>33</v>
      </c>
      <c r="B42" s="0" t="s">
        <v>48</v>
      </c>
      <c r="C42" s="0" t="s">
        <v>757</v>
      </c>
      <c r="D42" s="0" t="n">
        <v>6</v>
      </c>
      <c r="E42" s="0" t="n">
        <v>1</v>
      </c>
      <c r="F42" s="0" t="n">
        <f aca="false">D42*E42</f>
        <v>6</v>
      </c>
      <c r="G42" s="0" t="n">
        <f aca="false">ROUNDUP(F42/75,0)</f>
        <v>1</v>
      </c>
    </row>
    <row r="43" customFormat="false" ht="15" hidden="false" customHeight="false" outlineLevel="0" collapsed="false">
      <c r="A43" s="0" t="s">
        <v>33</v>
      </c>
      <c r="B43" s="0" t="s">
        <v>48</v>
      </c>
      <c r="C43" s="0" t="s">
        <v>753</v>
      </c>
      <c r="D43" s="0" t="n">
        <v>6</v>
      </c>
      <c r="E43" s="0" t="n">
        <v>1</v>
      </c>
      <c r="F43" s="0" t="n">
        <f aca="false">D43*E43</f>
        <v>6</v>
      </c>
      <c r="G43" s="0" t="n">
        <f aca="false">ROUNDUP(F43/75,0)</f>
        <v>1</v>
      </c>
    </row>
    <row r="44" customFormat="false" ht="15" hidden="false" customHeight="false" outlineLevel="0" collapsed="false">
      <c r="A44" s="0" t="s">
        <v>33</v>
      </c>
      <c r="B44" s="0" t="s">
        <v>48</v>
      </c>
      <c r="C44" s="0" t="s">
        <v>755</v>
      </c>
      <c r="D44" s="0" t="n">
        <v>6</v>
      </c>
      <c r="E44" s="0" t="n">
        <v>2</v>
      </c>
      <c r="F44" s="0" t="n">
        <f aca="false">D44*E44</f>
        <v>12</v>
      </c>
      <c r="G44" s="0" t="n">
        <f aca="false">ROUNDUP(F44/75,0)</f>
        <v>1</v>
      </c>
    </row>
    <row r="45" customFormat="false" ht="15" hidden="false" customHeight="false" outlineLevel="0" collapsed="false">
      <c r="A45" s="0" t="s">
        <v>33</v>
      </c>
      <c r="B45" s="0" t="s">
        <v>49</v>
      </c>
      <c r="C45" s="0" t="s">
        <v>756</v>
      </c>
      <c r="D45" s="0" t="n">
        <v>12</v>
      </c>
      <c r="E45" s="0" t="n">
        <v>2</v>
      </c>
      <c r="F45" s="0" t="n">
        <f aca="false">D45*E45</f>
        <v>24</v>
      </c>
      <c r="G45" s="0" t="n">
        <f aca="false">ROUNDUP(F45/75,0)</f>
        <v>1</v>
      </c>
    </row>
    <row r="46" customFormat="false" ht="15" hidden="false" customHeight="false" outlineLevel="0" collapsed="false">
      <c r="A46" s="0" t="s">
        <v>33</v>
      </c>
      <c r="B46" s="0" t="s">
        <v>49</v>
      </c>
      <c r="C46" s="0" t="s">
        <v>757</v>
      </c>
      <c r="D46" s="0" t="n">
        <v>6</v>
      </c>
      <c r="E46" s="0" t="n">
        <v>2</v>
      </c>
      <c r="F46" s="0" t="n">
        <f aca="false">D46*E46</f>
        <v>12</v>
      </c>
      <c r="G46" s="0" t="n">
        <f aca="false">ROUNDUP(F46/75,0)</f>
        <v>1</v>
      </c>
    </row>
    <row r="47" customFormat="false" ht="15" hidden="false" customHeight="false" outlineLevel="0" collapsed="false">
      <c r="A47" s="0" t="s">
        <v>33</v>
      </c>
      <c r="B47" s="0" t="s">
        <v>49</v>
      </c>
      <c r="C47" s="0" t="s">
        <v>753</v>
      </c>
      <c r="D47" s="0" t="n">
        <v>6</v>
      </c>
      <c r="E47" s="0" t="n">
        <v>1</v>
      </c>
      <c r="F47" s="0" t="n">
        <f aca="false">D47*E47</f>
        <v>6</v>
      </c>
      <c r="G47" s="0" t="n">
        <f aca="false">ROUNDUP(F47/75,0)</f>
        <v>1</v>
      </c>
    </row>
    <row r="48" customFormat="false" ht="15" hidden="false" customHeight="false" outlineLevel="0" collapsed="false">
      <c r="A48" s="0" t="s">
        <v>33</v>
      </c>
      <c r="B48" s="0" t="s">
        <v>50</v>
      </c>
      <c r="C48" s="0" t="s">
        <v>757</v>
      </c>
      <c r="D48" s="0" t="n">
        <v>6</v>
      </c>
      <c r="E48" s="0" t="n">
        <v>1</v>
      </c>
      <c r="F48" s="0" t="n">
        <f aca="false">D48*E48</f>
        <v>6</v>
      </c>
      <c r="G48" s="0" t="n">
        <f aca="false">ROUNDUP(F48/75,0)</f>
        <v>1</v>
      </c>
    </row>
    <row r="49" customFormat="false" ht="15" hidden="false" customHeight="false" outlineLevel="0" collapsed="false">
      <c r="A49" s="0" t="s">
        <v>33</v>
      </c>
      <c r="B49" s="0" t="s">
        <v>50</v>
      </c>
      <c r="C49" s="0" t="s">
        <v>753</v>
      </c>
      <c r="D49" s="0" t="n">
        <v>6</v>
      </c>
      <c r="E49" s="0" t="n">
        <v>2</v>
      </c>
      <c r="F49" s="0" t="n">
        <f aca="false">D49*E49</f>
        <v>12</v>
      </c>
      <c r="G49" s="0" t="n">
        <f aca="false">ROUNDUP(F49/75,0)</f>
        <v>1</v>
      </c>
    </row>
    <row r="50" customFormat="false" ht="15" hidden="false" customHeight="false" outlineLevel="0" collapsed="false">
      <c r="A50" s="0" t="s">
        <v>33</v>
      </c>
      <c r="B50" s="0" t="s">
        <v>50</v>
      </c>
      <c r="C50" s="0" t="s">
        <v>755</v>
      </c>
      <c r="D50" s="0" t="n">
        <v>6</v>
      </c>
      <c r="E50" s="0" t="n">
        <v>2</v>
      </c>
      <c r="F50" s="0" t="n">
        <f aca="false">D50*E50</f>
        <v>12</v>
      </c>
      <c r="G50" s="0" t="n">
        <f aca="false">ROUNDUP(F50/75,0)</f>
        <v>1</v>
      </c>
    </row>
    <row r="51" customFormat="false" ht="15" hidden="false" customHeight="false" outlineLevel="0" collapsed="false">
      <c r="A51" s="0" t="s">
        <v>33</v>
      </c>
      <c r="B51" s="0" t="s">
        <v>51</v>
      </c>
      <c r="C51" s="0" t="s">
        <v>757</v>
      </c>
      <c r="D51" s="0" t="n">
        <v>6</v>
      </c>
      <c r="E51" s="0" t="n">
        <v>2</v>
      </c>
      <c r="F51" s="0" t="n">
        <f aca="false">D51*E51</f>
        <v>12</v>
      </c>
      <c r="G51" s="0" t="n">
        <f aca="false">ROUNDUP(F51/75,0)</f>
        <v>1</v>
      </c>
    </row>
    <row r="52" customFormat="false" ht="15" hidden="false" customHeight="false" outlineLevel="0" collapsed="false">
      <c r="A52" s="0" t="s">
        <v>33</v>
      </c>
      <c r="B52" s="0" t="s">
        <v>51</v>
      </c>
      <c r="C52" s="0" t="s">
        <v>755</v>
      </c>
      <c r="D52" s="0" t="n">
        <v>6</v>
      </c>
      <c r="E52" s="0" t="n">
        <v>4</v>
      </c>
      <c r="F52" s="0" t="n">
        <f aca="false">D52*E52</f>
        <v>24</v>
      </c>
      <c r="G52" s="0" t="n">
        <f aca="false">ROUNDUP(F52/75,0)</f>
        <v>1</v>
      </c>
    </row>
    <row r="53" customFormat="false" ht="15" hidden="false" customHeight="false" outlineLevel="0" collapsed="false">
      <c r="A53" s="0" t="s">
        <v>33</v>
      </c>
      <c r="B53" s="0" t="s">
        <v>52</v>
      </c>
      <c r="C53" s="0" t="s">
        <v>753</v>
      </c>
      <c r="D53" s="0" t="n">
        <v>6</v>
      </c>
      <c r="E53" s="0" t="n">
        <v>3</v>
      </c>
      <c r="F53" s="0" t="n">
        <f aca="false">D53*E53</f>
        <v>18</v>
      </c>
      <c r="G53" s="0" t="n">
        <f aca="false">ROUNDUP(F53/75,0)</f>
        <v>1</v>
      </c>
    </row>
    <row r="54" customFormat="false" ht="15" hidden="false" customHeight="false" outlineLevel="0" collapsed="false">
      <c r="A54" s="0" t="s">
        <v>33</v>
      </c>
      <c r="B54" s="0" t="s">
        <v>52</v>
      </c>
      <c r="C54" s="0" t="s">
        <v>755</v>
      </c>
      <c r="D54" s="0" t="n">
        <v>6</v>
      </c>
      <c r="E54" s="0" t="n">
        <v>2</v>
      </c>
      <c r="F54" s="0" t="n">
        <f aca="false">D54*E54</f>
        <v>12</v>
      </c>
      <c r="G54" s="0" t="n">
        <f aca="false">ROUNDUP(F54/75,0)</f>
        <v>1</v>
      </c>
    </row>
    <row r="55" customFormat="false" ht="15" hidden="false" customHeight="false" outlineLevel="0" collapsed="false">
      <c r="A55" s="0" t="s">
        <v>33</v>
      </c>
      <c r="B55" s="0" t="s">
        <v>53</v>
      </c>
      <c r="C55" s="0" t="s">
        <v>757</v>
      </c>
      <c r="D55" s="0" t="n">
        <v>6</v>
      </c>
      <c r="E55" s="0" t="n">
        <v>1</v>
      </c>
      <c r="F55" s="0" t="n">
        <f aca="false">D55*E55</f>
        <v>6</v>
      </c>
      <c r="G55" s="0" t="n">
        <f aca="false">ROUNDUP(F55/75,0)</f>
        <v>1</v>
      </c>
    </row>
    <row r="56" customFormat="false" ht="15" hidden="false" customHeight="false" outlineLevel="0" collapsed="false">
      <c r="A56" s="0" t="s">
        <v>33</v>
      </c>
      <c r="B56" s="0" t="s">
        <v>53</v>
      </c>
      <c r="C56" s="0" t="s">
        <v>753</v>
      </c>
      <c r="D56" s="0" t="n">
        <v>6</v>
      </c>
      <c r="E56" s="0" t="n">
        <v>3</v>
      </c>
      <c r="F56" s="0" t="n">
        <f aca="false">D56*E56</f>
        <v>18</v>
      </c>
      <c r="G56" s="0" t="n">
        <f aca="false">ROUNDUP(F56/75,0)</f>
        <v>1</v>
      </c>
    </row>
    <row r="57" customFormat="false" ht="15" hidden="false" customHeight="false" outlineLevel="0" collapsed="false">
      <c r="A57" s="0" t="s">
        <v>33</v>
      </c>
      <c r="B57" s="0" t="s">
        <v>53</v>
      </c>
      <c r="C57" s="0" t="s">
        <v>755</v>
      </c>
      <c r="D57" s="0" t="n">
        <v>6</v>
      </c>
      <c r="E57" s="0" t="n">
        <v>5</v>
      </c>
      <c r="F57" s="0" t="n">
        <f aca="false">D57*E57</f>
        <v>30</v>
      </c>
      <c r="G57" s="0" t="n">
        <f aca="false">ROUNDUP(F57/75,0)</f>
        <v>1</v>
      </c>
    </row>
    <row r="58" customFormat="false" ht="15" hidden="false" customHeight="false" outlineLevel="0" collapsed="false">
      <c r="A58" s="0" t="s">
        <v>33</v>
      </c>
      <c r="B58" s="0" t="s">
        <v>54</v>
      </c>
      <c r="C58" s="0" t="s">
        <v>756</v>
      </c>
      <c r="D58" s="0" t="n">
        <v>12</v>
      </c>
      <c r="E58" s="0" t="n">
        <v>2</v>
      </c>
      <c r="F58" s="0" t="n">
        <f aca="false">D58*E58</f>
        <v>24</v>
      </c>
      <c r="G58" s="0" t="n">
        <f aca="false">ROUNDUP(F58/75,0)</f>
        <v>1</v>
      </c>
    </row>
    <row r="59" customFormat="false" ht="15" hidden="false" customHeight="false" outlineLevel="0" collapsed="false">
      <c r="A59" s="0" t="s">
        <v>33</v>
      </c>
      <c r="B59" s="0" t="s">
        <v>54</v>
      </c>
      <c r="C59" s="0" t="s">
        <v>757</v>
      </c>
      <c r="D59" s="0" t="n">
        <v>6</v>
      </c>
      <c r="E59" s="0" t="n">
        <v>2</v>
      </c>
      <c r="F59" s="0" t="n">
        <f aca="false">D59*E59</f>
        <v>12</v>
      </c>
      <c r="G59" s="0" t="n">
        <f aca="false">ROUNDUP(F59/75,0)</f>
        <v>1</v>
      </c>
    </row>
    <row r="60" customFormat="false" ht="15" hidden="false" customHeight="false" outlineLevel="0" collapsed="false">
      <c r="A60" s="0" t="s">
        <v>33</v>
      </c>
      <c r="B60" s="0" t="s">
        <v>54</v>
      </c>
      <c r="C60" s="0" t="s">
        <v>753</v>
      </c>
      <c r="D60" s="0" t="n">
        <v>6</v>
      </c>
      <c r="E60" s="0" t="n">
        <v>4</v>
      </c>
      <c r="F60" s="0" t="n">
        <f aca="false">D60*E60</f>
        <v>24</v>
      </c>
      <c r="G60" s="0" t="n">
        <f aca="false">ROUNDUP(F60/75,0)</f>
        <v>1</v>
      </c>
    </row>
    <row r="61" customFormat="false" ht="15" hidden="false" customHeight="false" outlineLevel="0" collapsed="false">
      <c r="A61" s="0" t="s">
        <v>33</v>
      </c>
      <c r="B61" s="0" t="s">
        <v>54</v>
      </c>
      <c r="C61" s="0" t="s">
        <v>755</v>
      </c>
      <c r="D61" s="0" t="n">
        <v>6</v>
      </c>
      <c r="E61" s="0" t="n">
        <v>4</v>
      </c>
      <c r="F61" s="0" t="n">
        <f aca="false">D61*E61</f>
        <v>24</v>
      </c>
      <c r="G61" s="0" t="n">
        <f aca="false">ROUNDUP(F61/75,0)</f>
        <v>1</v>
      </c>
    </row>
    <row r="62" customFormat="false" ht="15" hidden="false" customHeight="false" outlineLevel="0" collapsed="false">
      <c r="A62" s="0" t="s">
        <v>33</v>
      </c>
      <c r="B62" s="0" t="s">
        <v>55</v>
      </c>
      <c r="C62" s="0" t="s">
        <v>756</v>
      </c>
      <c r="D62" s="0" t="n">
        <v>12</v>
      </c>
      <c r="E62" s="0" t="n">
        <v>1</v>
      </c>
      <c r="F62" s="0" t="n">
        <f aca="false">D62*E62</f>
        <v>12</v>
      </c>
      <c r="G62" s="0" t="n">
        <f aca="false">ROUNDUP(F62/75,0)</f>
        <v>1</v>
      </c>
    </row>
    <row r="63" customFormat="false" ht="15" hidden="false" customHeight="false" outlineLevel="0" collapsed="false">
      <c r="A63" s="0" t="s">
        <v>33</v>
      </c>
      <c r="B63" s="0" t="s">
        <v>55</v>
      </c>
      <c r="C63" s="0" t="s">
        <v>757</v>
      </c>
      <c r="D63" s="0" t="n">
        <v>6</v>
      </c>
      <c r="E63" s="0" t="n">
        <v>3</v>
      </c>
      <c r="F63" s="0" t="n">
        <f aca="false">D63*E63</f>
        <v>18</v>
      </c>
      <c r="G63" s="0" t="n">
        <f aca="false">ROUNDUP(F63/75,0)</f>
        <v>1</v>
      </c>
    </row>
    <row r="64" customFormat="false" ht="15" hidden="false" customHeight="false" outlineLevel="0" collapsed="false">
      <c r="A64" s="0" t="s">
        <v>33</v>
      </c>
      <c r="B64" s="0" t="s">
        <v>55</v>
      </c>
      <c r="C64" s="0" t="s">
        <v>753</v>
      </c>
      <c r="D64" s="0" t="n">
        <v>6</v>
      </c>
      <c r="E64" s="0" t="n">
        <v>3</v>
      </c>
      <c r="F64" s="0" t="n">
        <f aca="false">D64*E64</f>
        <v>18</v>
      </c>
      <c r="G64" s="0" t="n">
        <f aca="false">ROUNDUP(F64/75,0)</f>
        <v>1</v>
      </c>
    </row>
    <row r="65" customFormat="false" ht="15" hidden="false" customHeight="false" outlineLevel="0" collapsed="false">
      <c r="A65" s="0" t="s">
        <v>33</v>
      </c>
      <c r="B65" s="0" t="s">
        <v>55</v>
      </c>
      <c r="C65" s="0" t="s">
        <v>755</v>
      </c>
      <c r="D65" s="0" t="n">
        <v>6</v>
      </c>
      <c r="E65" s="0" t="n">
        <v>4</v>
      </c>
      <c r="F65" s="0" t="n">
        <f aca="false">D65*E65</f>
        <v>24</v>
      </c>
      <c r="G65" s="0" t="n">
        <f aca="false">ROUNDUP(F65/75,0)</f>
        <v>1</v>
      </c>
    </row>
    <row r="66" customFormat="false" ht="15" hidden="false" customHeight="false" outlineLevel="0" collapsed="false">
      <c r="A66" s="0" t="s">
        <v>33</v>
      </c>
      <c r="B66" s="0" t="s">
        <v>56</v>
      </c>
      <c r="C66" s="0" t="s">
        <v>756</v>
      </c>
      <c r="D66" s="0" t="n">
        <v>12</v>
      </c>
      <c r="E66" s="0" t="n">
        <v>4</v>
      </c>
      <c r="F66" s="0" t="n">
        <f aca="false">D66*E66</f>
        <v>48</v>
      </c>
      <c r="G66" s="0" t="n">
        <f aca="false">ROUNDUP(F66/75,0)</f>
        <v>1</v>
      </c>
    </row>
    <row r="67" customFormat="false" ht="15" hidden="false" customHeight="false" outlineLevel="0" collapsed="false">
      <c r="A67" s="0" t="s">
        <v>33</v>
      </c>
      <c r="B67" s="0" t="s">
        <v>56</v>
      </c>
      <c r="C67" s="0" t="s">
        <v>757</v>
      </c>
      <c r="D67" s="0" t="n">
        <v>6</v>
      </c>
      <c r="E67" s="0" t="n">
        <v>3</v>
      </c>
      <c r="F67" s="0" t="n">
        <f aca="false">D67*E67</f>
        <v>18</v>
      </c>
      <c r="G67" s="0" t="n">
        <f aca="false">ROUNDUP(F67/75,0)</f>
        <v>1</v>
      </c>
    </row>
    <row r="68" customFormat="false" ht="15" hidden="false" customHeight="false" outlineLevel="0" collapsed="false">
      <c r="A68" s="0" t="s">
        <v>33</v>
      </c>
      <c r="B68" s="0" t="s">
        <v>56</v>
      </c>
      <c r="C68" s="0" t="s">
        <v>753</v>
      </c>
      <c r="D68" s="0" t="n">
        <v>6</v>
      </c>
      <c r="E68" s="0" t="n">
        <v>7</v>
      </c>
      <c r="F68" s="0" t="n">
        <f aca="false">D68*E68</f>
        <v>42</v>
      </c>
      <c r="G68" s="0" t="n">
        <f aca="false">ROUNDUP(F68/75,0)</f>
        <v>1</v>
      </c>
    </row>
    <row r="69" customFormat="false" ht="15" hidden="false" customHeight="false" outlineLevel="0" collapsed="false">
      <c r="A69" s="0" t="s">
        <v>33</v>
      </c>
      <c r="B69" s="0" t="s">
        <v>56</v>
      </c>
      <c r="C69" s="0" t="s">
        <v>755</v>
      </c>
      <c r="D69" s="0" t="n">
        <v>6</v>
      </c>
      <c r="E69" s="0" t="n">
        <v>4</v>
      </c>
      <c r="F69" s="0" t="n">
        <f aca="false">D69*E69</f>
        <v>24</v>
      </c>
      <c r="G69" s="0" t="n">
        <f aca="false">ROUNDUP(F69/75,0)</f>
        <v>1</v>
      </c>
    </row>
    <row r="70" customFormat="false" ht="15" hidden="false" customHeight="false" outlineLevel="0" collapsed="false">
      <c r="A70" s="0" t="s">
        <v>33</v>
      </c>
      <c r="B70" s="0" t="s">
        <v>57</v>
      </c>
      <c r="C70" s="0" t="s">
        <v>756</v>
      </c>
      <c r="D70" s="0" t="n">
        <v>12</v>
      </c>
      <c r="E70" s="0" t="n">
        <v>2</v>
      </c>
      <c r="F70" s="0" t="n">
        <f aca="false">D70*E70</f>
        <v>24</v>
      </c>
      <c r="G70" s="0" t="n">
        <f aca="false">ROUNDUP(F70/75,0)</f>
        <v>1</v>
      </c>
    </row>
    <row r="71" customFormat="false" ht="15" hidden="false" customHeight="false" outlineLevel="0" collapsed="false">
      <c r="A71" s="0" t="s">
        <v>33</v>
      </c>
      <c r="B71" s="0" t="s">
        <v>57</v>
      </c>
      <c r="C71" s="0" t="s">
        <v>757</v>
      </c>
      <c r="D71" s="0" t="n">
        <v>6</v>
      </c>
      <c r="E71" s="0" t="n">
        <v>1</v>
      </c>
      <c r="F71" s="0" t="n">
        <f aca="false">D71*E71</f>
        <v>6</v>
      </c>
      <c r="G71" s="0" t="n">
        <f aca="false">ROUNDUP(F71/75,0)</f>
        <v>1</v>
      </c>
    </row>
    <row r="72" customFormat="false" ht="15" hidden="false" customHeight="false" outlineLevel="0" collapsed="false">
      <c r="A72" s="0" t="s">
        <v>33</v>
      </c>
      <c r="B72" s="0" t="s">
        <v>57</v>
      </c>
      <c r="C72" s="0" t="s">
        <v>753</v>
      </c>
      <c r="D72" s="0" t="n">
        <v>6</v>
      </c>
      <c r="E72" s="0" t="n">
        <v>3</v>
      </c>
      <c r="F72" s="0" t="n">
        <f aca="false">D72*E72</f>
        <v>18</v>
      </c>
      <c r="G72" s="0" t="n">
        <f aca="false">ROUNDUP(F72/75,0)</f>
        <v>1</v>
      </c>
    </row>
    <row r="73" customFormat="false" ht="15" hidden="false" customHeight="false" outlineLevel="0" collapsed="false">
      <c r="A73" s="0" t="s">
        <v>33</v>
      </c>
      <c r="B73" s="0" t="s">
        <v>57</v>
      </c>
      <c r="C73" s="0" t="s">
        <v>755</v>
      </c>
      <c r="D73" s="0" t="n">
        <v>6</v>
      </c>
      <c r="E73" s="0" t="n">
        <v>2</v>
      </c>
      <c r="F73" s="0" t="n">
        <f aca="false">D73*E73</f>
        <v>12</v>
      </c>
      <c r="G73" s="0" t="n">
        <f aca="false">ROUNDUP(F73/75,0)</f>
        <v>1</v>
      </c>
    </row>
    <row r="74" customFormat="false" ht="15" hidden="false" customHeight="false" outlineLevel="0" collapsed="false">
      <c r="A74" s="0" t="s">
        <v>33</v>
      </c>
      <c r="B74" s="0" t="s">
        <v>58</v>
      </c>
      <c r="C74" s="0" t="s">
        <v>756</v>
      </c>
      <c r="D74" s="0" t="n">
        <v>12</v>
      </c>
      <c r="E74" s="0" t="n">
        <v>1</v>
      </c>
      <c r="F74" s="0" t="n">
        <f aca="false">D74*E74</f>
        <v>12</v>
      </c>
      <c r="G74" s="0" t="n">
        <f aca="false">ROUNDUP(F74/75,0)</f>
        <v>1</v>
      </c>
    </row>
    <row r="75" customFormat="false" ht="15" hidden="false" customHeight="false" outlineLevel="0" collapsed="false">
      <c r="A75" s="0" t="s">
        <v>33</v>
      </c>
      <c r="B75" s="0" t="s">
        <v>58</v>
      </c>
      <c r="C75" s="0" t="s">
        <v>753</v>
      </c>
      <c r="D75" s="0" t="n">
        <v>6</v>
      </c>
      <c r="E75" s="0" t="n">
        <v>4</v>
      </c>
      <c r="F75" s="0" t="n">
        <f aca="false">D75*E75</f>
        <v>24</v>
      </c>
      <c r="G75" s="0" t="n">
        <f aca="false">ROUNDUP(F75/75,0)</f>
        <v>1</v>
      </c>
    </row>
    <row r="76" customFormat="false" ht="15" hidden="false" customHeight="false" outlineLevel="0" collapsed="false">
      <c r="A76" s="0" t="s">
        <v>33</v>
      </c>
      <c r="B76" s="0" t="s">
        <v>59</v>
      </c>
      <c r="C76" s="0" t="s">
        <v>756</v>
      </c>
      <c r="D76" s="0" t="n">
        <v>12</v>
      </c>
      <c r="E76" s="0" t="n">
        <v>2</v>
      </c>
      <c r="F76" s="0" t="n">
        <f aca="false">D76*E76</f>
        <v>24</v>
      </c>
      <c r="G76" s="0" t="n">
        <f aca="false">ROUNDUP(F76/75,0)</f>
        <v>1</v>
      </c>
    </row>
    <row r="77" customFormat="false" ht="15" hidden="false" customHeight="false" outlineLevel="0" collapsed="false">
      <c r="A77" s="0" t="s">
        <v>33</v>
      </c>
      <c r="B77" s="0" t="s">
        <v>59</v>
      </c>
      <c r="C77" s="0" t="s">
        <v>753</v>
      </c>
      <c r="D77" s="0" t="n">
        <v>6</v>
      </c>
      <c r="E77" s="0" t="n">
        <v>1</v>
      </c>
      <c r="F77" s="0" t="n">
        <f aca="false">D77*E77</f>
        <v>6</v>
      </c>
      <c r="G77" s="0" t="n">
        <f aca="false">ROUNDUP(F77/75,0)</f>
        <v>1</v>
      </c>
    </row>
    <row r="78" customFormat="false" ht="15" hidden="false" customHeight="false" outlineLevel="0" collapsed="false">
      <c r="A78" s="0" t="s">
        <v>33</v>
      </c>
      <c r="B78" s="0" t="s">
        <v>60</v>
      </c>
      <c r="C78" s="0" t="s">
        <v>753</v>
      </c>
      <c r="D78" s="0" t="n">
        <v>6</v>
      </c>
      <c r="E78" s="0" t="n">
        <v>3</v>
      </c>
      <c r="F78" s="0" t="n">
        <f aca="false">D78*E78</f>
        <v>18</v>
      </c>
      <c r="G78" s="0" t="n">
        <f aca="false">ROUNDUP(F78/75,0)</f>
        <v>1</v>
      </c>
    </row>
    <row r="79" customFormat="false" ht="15" hidden="false" customHeight="false" outlineLevel="0" collapsed="false">
      <c r="A79" s="0" t="s">
        <v>33</v>
      </c>
      <c r="B79" s="0" t="s">
        <v>60</v>
      </c>
      <c r="C79" s="0" t="s">
        <v>755</v>
      </c>
      <c r="D79" s="0" t="n">
        <v>6</v>
      </c>
      <c r="E79" s="0" t="n">
        <v>3</v>
      </c>
      <c r="F79" s="0" t="n">
        <f aca="false">D79*E79</f>
        <v>18</v>
      </c>
      <c r="G79" s="0" t="n">
        <f aca="false">ROUNDUP(F79/75,0)</f>
        <v>1</v>
      </c>
    </row>
    <row r="80" customFormat="false" ht="15" hidden="false" customHeight="false" outlineLevel="0" collapsed="false">
      <c r="A80" s="0" t="s">
        <v>33</v>
      </c>
      <c r="B80" s="0" t="s">
        <v>61</v>
      </c>
      <c r="C80" s="0" t="s">
        <v>756</v>
      </c>
      <c r="D80" s="0" t="n">
        <v>12</v>
      </c>
      <c r="E80" s="0" t="n">
        <v>1</v>
      </c>
      <c r="F80" s="0" t="n">
        <f aca="false">D80*E80</f>
        <v>12</v>
      </c>
      <c r="G80" s="0" t="n">
        <f aca="false">ROUNDUP(F80/75,0)</f>
        <v>1</v>
      </c>
    </row>
    <row r="81" customFormat="false" ht="15" hidden="false" customHeight="false" outlineLevel="0" collapsed="false">
      <c r="A81" s="0" t="s">
        <v>33</v>
      </c>
      <c r="B81" s="0" t="s">
        <v>61</v>
      </c>
      <c r="C81" s="0" t="s">
        <v>753</v>
      </c>
      <c r="D81" s="0" t="n">
        <v>6</v>
      </c>
      <c r="E81" s="0" t="n">
        <v>3</v>
      </c>
      <c r="F81" s="0" t="n">
        <f aca="false">D81*E81</f>
        <v>18</v>
      </c>
      <c r="G81" s="0" t="n">
        <f aca="false">ROUNDUP(F81/75,0)</f>
        <v>1</v>
      </c>
    </row>
    <row r="82" customFormat="false" ht="15" hidden="false" customHeight="false" outlineLevel="0" collapsed="false">
      <c r="A82" s="0" t="s">
        <v>33</v>
      </c>
      <c r="B82" s="0" t="s">
        <v>61</v>
      </c>
      <c r="C82" s="0" t="s">
        <v>755</v>
      </c>
      <c r="D82" s="0" t="n">
        <v>6</v>
      </c>
      <c r="E82" s="0" t="n">
        <v>5</v>
      </c>
      <c r="F82" s="0" t="n">
        <f aca="false">D82*E82</f>
        <v>30</v>
      </c>
      <c r="G82" s="0" t="n">
        <f aca="false">ROUNDUP(F82/75,0)</f>
        <v>1</v>
      </c>
    </row>
    <row r="83" customFormat="false" ht="15" hidden="false" customHeight="false" outlineLevel="0" collapsed="false">
      <c r="A83" s="0" t="s">
        <v>33</v>
      </c>
      <c r="B83" s="0" t="s">
        <v>62</v>
      </c>
      <c r="C83" s="0" t="s">
        <v>756</v>
      </c>
      <c r="D83" s="0" t="n">
        <v>12</v>
      </c>
      <c r="E83" s="0" t="n">
        <v>2</v>
      </c>
      <c r="F83" s="0" t="n">
        <f aca="false">D83*E83</f>
        <v>24</v>
      </c>
      <c r="G83" s="0" t="n">
        <f aca="false">ROUNDUP(F83/75,0)</f>
        <v>1</v>
      </c>
    </row>
    <row r="84" customFormat="false" ht="15" hidden="false" customHeight="false" outlineLevel="0" collapsed="false">
      <c r="A84" s="0" t="s">
        <v>33</v>
      </c>
      <c r="B84" s="0" t="s">
        <v>62</v>
      </c>
      <c r="C84" s="0" t="s">
        <v>753</v>
      </c>
      <c r="D84" s="0" t="n">
        <v>6</v>
      </c>
      <c r="E84" s="0" t="n">
        <v>6</v>
      </c>
      <c r="F84" s="0" t="n">
        <f aca="false">D84*E84</f>
        <v>36</v>
      </c>
      <c r="G84" s="0" t="n">
        <f aca="false">ROUNDUP(F84/75,0)</f>
        <v>1</v>
      </c>
    </row>
    <row r="85" customFormat="false" ht="15" hidden="false" customHeight="false" outlineLevel="0" collapsed="false">
      <c r="A85" s="0" t="s">
        <v>33</v>
      </c>
      <c r="B85" s="0" t="s">
        <v>62</v>
      </c>
      <c r="C85" s="0" t="s">
        <v>755</v>
      </c>
      <c r="D85" s="0" t="n">
        <v>6</v>
      </c>
      <c r="E85" s="0" t="n">
        <v>4</v>
      </c>
      <c r="F85" s="0" t="n">
        <f aca="false">D85*E85</f>
        <v>24</v>
      </c>
      <c r="G85" s="0" t="n">
        <f aca="false">ROUNDUP(F85/75,0)</f>
        <v>1</v>
      </c>
    </row>
    <row r="86" customFormat="false" ht="15" hidden="false" customHeight="false" outlineLevel="0" collapsed="false">
      <c r="A86" s="0" t="s">
        <v>33</v>
      </c>
      <c r="B86" s="0" t="s">
        <v>63</v>
      </c>
      <c r="C86" s="0" t="s">
        <v>757</v>
      </c>
      <c r="D86" s="0" t="n">
        <v>6</v>
      </c>
      <c r="E86" s="0" t="n">
        <v>2</v>
      </c>
      <c r="F86" s="0" t="n">
        <f aca="false">D86*E86</f>
        <v>12</v>
      </c>
      <c r="G86" s="0" t="n">
        <f aca="false">ROUNDUP(F86/75,0)</f>
        <v>1</v>
      </c>
    </row>
    <row r="87" customFormat="false" ht="15" hidden="false" customHeight="false" outlineLevel="0" collapsed="false">
      <c r="A87" s="0" t="s">
        <v>33</v>
      </c>
      <c r="B87" s="0" t="s">
        <v>63</v>
      </c>
      <c r="C87" s="0" t="s">
        <v>753</v>
      </c>
      <c r="D87" s="0" t="n">
        <v>6</v>
      </c>
      <c r="E87" s="0" t="n">
        <v>1</v>
      </c>
      <c r="F87" s="0" t="n">
        <f aca="false">D87*E87</f>
        <v>6</v>
      </c>
      <c r="G87" s="0" t="n">
        <f aca="false">ROUNDUP(F87/75,0)</f>
        <v>1</v>
      </c>
    </row>
    <row r="88" customFormat="false" ht="15" hidden="false" customHeight="false" outlineLevel="0" collapsed="false">
      <c r="A88" s="0" t="s">
        <v>33</v>
      </c>
      <c r="B88" s="0" t="s">
        <v>63</v>
      </c>
      <c r="C88" s="0" t="s">
        <v>755</v>
      </c>
      <c r="D88" s="0" t="n">
        <v>6</v>
      </c>
      <c r="E88" s="0" t="n">
        <v>4</v>
      </c>
      <c r="F88" s="0" t="n">
        <f aca="false">D88*E88</f>
        <v>24</v>
      </c>
      <c r="G88" s="0" t="n">
        <f aca="false">ROUNDUP(F88/75,0)</f>
        <v>1</v>
      </c>
    </row>
    <row r="89" customFormat="false" ht="15" hidden="false" customHeight="false" outlineLevel="0" collapsed="false">
      <c r="A89" s="0" t="s">
        <v>33</v>
      </c>
      <c r="B89" s="0" t="s">
        <v>64</v>
      </c>
      <c r="C89" s="0" t="s">
        <v>756</v>
      </c>
      <c r="D89" s="0" t="n">
        <v>12</v>
      </c>
      <c r="E89" s="0" t="n">
        <v>3</v>
      </c>
      <c r="F89" s="0" t="n">
        <f aca="false">D89*E89</f>
        <v>36</v>
      </c>
      <c r="G89" s="0" t="n">
        <f aca="false">ROUNDUP(F89/75,0)</f>
        <v>1</v>
      </c>
    </row>
    <row r="90" customFormat="false" ht="15" hidden="false" customHeight="false" outlineLevel="0" collapsed="false">
      <c r="A90" s="0" t="s">
        <v>33</v>
      </c>
      <c r="B90" s="0" t="s">
        <v>64</v>
      </c>
      <c r="C90" s="0" t="s">
        <v>757</v>
      </c>
      <c r="D90" s="0" t="n">
        <v>6</v>
      </c>
      <c r="E90" s="0" t="n">
        <v>1</v>
      </c>
      <c r="F90" s="0" t="n">
        <f aca="false">D90*E90</f>
        <v>6</v>
      </c>
      <c r="G90" s="0" t="n">
        <f aca="false">ROUNDUP(F90/75,0)</f>
        <v>1</v>
      </c>
    </row>
    <row r="91" customFormat="false" ht="15" hidden="false" customHeight="false" outlineLevel="0" collapsed="false">
      <c r="A91" s="0" t="s">
        <v>33</v>
      </c>
      <c r="B91" s="0" t="s">
        <v>64</v>
      </c>
      <c r="C91" s="0" t="s">
        <v>753</v>
      </c>
      <c r="D91" s="0" t="n">
        <v>6</v>
      </c>
      <c r="E91" s="0" t="n">
        <v>4</v>
      </c>
      <c r="F91" s="0" t="n">
        <f aca="false">D91*E91</f>
        <v>24</v>
      </c>
      <c r="G91" s="0" t="n">
        <f aca="false">ROUNDUP(F91/75,0)</f>
        <v>1</v>
      </c>
    </row>
    <row r="92" customFormat="false" ht="15" hidden="false" customHeight="false" outlineLevel="0" collapsed="false">
      <c r="A92" s="0" t="s">
        <v>33</v>
      </c>
      <c r="B92" s="0" t="s">
        <v>64</v>
      </c>
      <c r="C92" s="0" t="s">
        <v>755</v>
      </c>
      <c r="D92" s="0" t="n">
        <v>6</v>
      </c>
      <c r="E92" s="0" t="n">
        <v>3</v>
      </c>
      <c r="F92" s="0" t="n">
        <f aca="false">D92*E92</f>
        <v>18</v>
      </c>
      <c r="G92" s="0" t="n">
        <f aca="false">ROUNDUP(F92/75,0)</f>
        <v>1</v>
      </c>
    </row>
    <row r="93" customFormat="false" ht="15" hidden="false" customHeight="false" outlineLevel="0" collapsed="false">
      <c r="A93" s="0" t="s">
        <v>33</v>
      </c>
      <c r="B93" s="0" t="s">
        <v>65</v>
      </c>
      <c r="C93" s="0" t="s">
        <v>757</v>
      </c>
      <c r="D93" s="0" t="n">
        <v>6</v>
      </c>
      <c r="E93" s="0" t="n">
        <v>6</v>
      </c>
      <c r="F93" s="0" t="n">
        <f aca="false">D93*E93</f>
        <v>36</v>
      </c>
      <c r="G93" s="0" t="n">
        <f aca="false">ROUNDUP(F93/75,0)</f>
        <v>1</v>
      </c>
    </row>
    <row r="94" customFormat="false" ht="15" hidden="false" customHeight="false" outlineLevel="0" collapsed="false">
      <c r="A94" s="0" t="s">
        <v>33</v>
      </c>
      <c r="B94" s="0" t="s">
        <v>65</v>
      </c>
      <c r="C94" s="0" t="s">
        <v>753</v>
      </c>
      <c r="D94" s="0" t="n">
        <v>6</v>
      </c>
      <c r="E94" s="0" t="n">
        <v>5</v>
      </c>
      <c r="F94" s="0" t="n">
        <f aca="false">D94*E94</f>
        <v>30</v>
      </c>
      <c r="G94" s="0" t="n">
        <f aca="false">ROUNDUP(F94/75,0)</f>
        <v>1</v>
      </c>
    </row>
    <row r="95" customFormat="false" ht="15" hidden="false" customHeight="false" outlineLevel="0" collapsed="false">
      <c r="A95" s="0" t="s">
        <v>33</v>
      </c>
      <c r="B95" s="0" t="s">
        <v>65</v>
      </c>
      <c r="C95" s="0" t="s">
        <v>755</v>
      </c>
      <c r="D95" s="0" t="n">
        <v>6</v>
      </c>
      <c r="E95" s="0" t="n">
        <v>1</v>
      </c>
      <c r="F95" s="0" t="n">
        <f aca="false">D95*E95</f>
        <v>6</v>
      </c>
      <c r="G95" s="0" t="n">
        <f aca="false">ROUNDUP(F95/75,0)</f>
        <v>1</v>
      </c>
    </row>
    <row r="96" customFormat="false" ht="15" hidden="false" customHeight="false" outlineLevel="0" collapsed="false">
      <c r="A96" s="0" t="s">
        <v>33</v>
      </c>
      <c r="B96" s="0" t="s">
        <v>66</v>
      </c>
      <c r="C96" s="0" t="s">
        <v>756</v>
      </c>
      <c r="D96" s="0" t="n">
        <v>12</v>
      </c>
      <c r="E96" s="0" t="n">
        <v>1</v>
      </c>
      <c r="F96" s="0" t="n">
        <f aca="false">D96*E96</f>
        <v>12</v>
      </c>
      <c r="G96" s="0" t="n">
        <f aca="false">ROUNDUP(F96/75,0)</f>
        <v>1</v>
      </c>
    </row>
    <row r="97" customFormat="false" ht="15" hidden="false" customHeight="false" outlineLevel="0" collapsed="false">
      <c r="A97" s="0" t="s">
        <v>33</v>
      </c>
      <c r="B97" s="0" t="s">
        <v>66</v>
      </c>
      <c r="C97" s="0" t="s">
        <v>757</v>
      </c>
      <c r="D97" s="0" t="n">
        <v>6</v>
      </c>
      <c r="E97" s="0" t="n">
        <v>1</v>
      </c>
      <c r="F97" s="0" t="n">
        <f aca="false">D97*E97</f>
        <v>6</v>
      </c>
      <c r="G97" s="0" t="n">
        <f aca="false">ROUNDUP(F97/75,0)</f>
        <v>1</v>
      </c>
    </row>
    <row r="98" customFormat="false" ht="15" hidden="false" customHeight="false" outlineLevel="0" collapsed="false">
      <c r="A98" s="0" t="s">
        <v>33</v>
      </c>
      <c r="B98" s="0" t="s">
        <v>66</v>
      </c>
      <c r="C98" s="0" t="s">
        <v>753</v>
      </c>
      <c r="D98" s="0" t="n">
        <v>6</v>
      </c>
      <c r="E98" s="0" t="n">
        <v>4</v>
      </c>
      <c r="F98" s="0" t="n">
        <f aca="false">D98*E98</f>
        <v>24</v>
      </c>
      <c r="G98" s="0" t="n">
        <f aca="false">ROUNDUP(F98/75,0)</f>
        <v>1</v>
      </c>
    </row>
    <row r="99" customFormat="false" ht="15" hidden="false" customHeight="false" outlineLevel="0" collapsed="false">
      <c r="A99" s="0" t="s">
        <v>33</v>
      </c>
      <c r="B99" s="0" t="s">
        <v>66</v>
      </c>
      <c r="C99" s="0" t="s">
        <v>755</v>
      </c>
      <c r="D99" s="0" t="n">
        <v>6</v>
      </c>
      <c r="E99" s="0" t="n">
        <v>4</v>
      </c>
      <c r="F99" s="0" t="n">
        <f aca="false">D99*E99</f>
        <v>24</v>
      </c>
      <c r="G99" s="0" t="n">
        <f aca="false">ROUNDUP(F99/75,0)</f>
        <v>1</v>
      </c>
    </row>
    <row r="100" customFormat="false" ht="15" hidden="false" customHeight="false" outlineLevel="0" collapsed="false">
      <c r="A100" s="0" t="s">
        <v>33</v>
      </c>
      <c r="B100" s="0" t="s">
        <v>67</v>
      </c>
      <c r="C100" s="0" t="s">
        <v>756</v>
      </c>
      <c r="D100" s="0" t="n">
        <v>12</v>
      </c>
      <c r="E100" s="0" t="n">
        <v>1</v>
      </c>
      <c r="F100" s="0" t="n">
        <f aca="false">D100*E100</f>
        <v>12</v>
      </c>
      <c r="G100" s="0" t="n">
        <f aca="false">ROUNDUP(F100/75,0)</f>
        <v>1</v>
      </c>
    </row>
    <row r="101" customFormat="false" ht="15" hidden="false" customHeight="false" outlineLevel="0" collapsed="false">
      <c r="A101" s="0" t="s">
        <v>33</v>
      </c>
      <c r="B101" s="0" t="s">
        <v>67</v>
      </c>
      <c r="C101" s="0" t="s">
        <v>757</v>
      </c>
      <c r="D101" s="0" t="n">
        <v>6</v>
      </c>
      <c r="E101" s="0" t="n">
        <v>4</v>
      </c>
      <c r="F101" s="0" t="n">
        <f aca="false">D101*E101</f>
        <v>24</v>
      </c>
      <c r="G101" s="0" t="n">
        <f aca="false">ROUNDUP(F101/75,0)</f>
        <v>1</v>
      </c>
    </row>
    <row r="102" customFormat="false" ht="15" hidden="false" customHeight="false" outlineLevel="0" collapsed="false">
      <c r="A102" s="0" t="s">
        <v>33</v>
      </c>
      <c r="B102" s="0" t="s">
        <v>67</v>
      </c>
      <c r="C102" s="0" t="s">
        <v>753</v>
      </c>
      <c r="D102" s="0" t="n">
        <v>6</v>
      </c>
      <c r="E102" s="0" t="n">
        <v>4</v>
      </c>
      <c r="F102" s="0" t="n">
        <f aca="false">D102*E102</f>
        <v>24</v>
      </c>
      <c r="G102" s="0" t="n">
        <f aca="false">ROUNDUP(F102/75,0)</f>
        <v>1</v>
      </c>
    </row>
    <row r="103" customFormat="false" ht="15" hidden="false" customHeight="false" outlineLevel="0" collapsed="false">
      <c r="A103" s="0" t="s">
        <v>33</v>
      </c>
      <c r="B103" s="0" t="s">
        <v>67</v>
      </c>
      <c r="C103" s="0" t="s">
        <v>755</v>
      </c>
      <c r="D103" s="0" t="n">
        <v>6</v>
      </c>
      <c r="E103" s="0" t="n">
        <v>1</v>
      </c>
      <c r="F103" s="0" t="n">
        <f aca="false">D103*E103</f>
        <v>6</v>
      </c>
      <c r="G103" s="0" t="n">
        <f aca="false">ROUNDUP(F103/75,0)</f>
        <v>1</v>
      </c>
    </row>
    <row r="104" customFormat="false" ht="15" hidden="false" customHeight="false" outlineLevel="0" collapsed="false">
      <c r="A104" s="0" t="s">
        <v>33</v>
      </c>
      <c r="B104" s="0" t="s">
        <v>68</v>
      </c>
      <c r="C104" s="0" t="s">
        <v>756</v>
      </c>
      <c r="D104" s="0" t="n">
        <v>12</v>
      </c>
      <c r="E104" s="0" t="n">
        <v>5</v>
      </c>
      <c r="F104" s="0" t="n">
        <f aca="false">D104*E104</f>
        <v>60</v>
      </c>
      <c r="G104" s="0" t="n">
        <f aca="false">ROUNDUP(F104/75,0)</f>
        <v>1</v>
      </c>
    </row>
    <row r="105" customFormat="false" ht="15" hidden="false" customHeight="false" outlineLevel="0" collapsed="false">
      <c r="A105" s="0" t="s">
        <v>33</v>
      </c>
      <c r="B105" s="0" t="s">
        <v>68</v>
      </c>
      <c r="C105" s="0" t="s">
        <v>757</v>
      </c>
      <c r="D105" s="0" t="n">
        <v>6</v>
      </c>
      <c r="E105" s="0" t="n">
        <v>1</v>
      </c>
      <c r="F105" s="0" t="n">
        <f aca="false">D105*E105</f>
        <v>6</v>
      </c>
      <c r="G105" s="0" t="n">
        <f aca="false">ROUNDUP(F105/75,0)</f>
        <v>1</v>
      </c>
    </row>
    <row r="106" customFormat="false" ht="15" hidden="false" customHeight="false" outlineLevel="0" collapsed="false">
      <c r="A106" s="0" t="s">
        <v>33</v>
      </c>
      <c r="B106" s="0" t="s">
        <v>68</v>
      </c>
      <c r="C106" s="0" t="s">
        <v>755</v>
      </c>
      <c r="D106" s="0" t="n">
        <v>6</v>
      </c>
      <c r="E106" s="0" t="n">
        <v>1</v>
      </c>
      <c r="F106" s="0" t="n">
        <f aca="false">D106*E106</f>
        <v>6</v>
      </c>
      <c r="G106" s="0" t="n">
        <f aca="false">ROUNDUP(F106/75,0)</f>
        <v>1</v>
      </c>
    </row>
    <row r="107" customFormat="false" ht="15" hidden="false" customHeight="false" outlineLevel="0" collapsed="false">
      <c r="A107" s="0" t="s">
        <v>33</v>
      </c>
      <c r="B107" s="0" t="s">
        <v>69</v>
      </c>
      <c r="C107" s="0" t="s">
        <v>757</v>
      </c>
      <c r="D107" s="0" t="n">
        <v>6</v>
      </c>
      <c r="E107" s="0" t="n">
        <v>2</v>
      </c>
      <c r="F107" s="0" t="n">
        <f aca="false">D107*E107</f>
        <v>12</v>
      </c>
      <c r="G107" s="0" t="n">
        <f aca="false">ROUNDUP(F107/75,0)</f>
        <v>1</v>
      </c>
    </row>
    <row r="108" customFormat="false" ht="15" hidden="false" customHeight="false" outlineLevel="0" collapsed="false">
      <c r="A108" s="0" t="s">
        <v>33</v>
      </c>
      <c r="B108" s="0" t="s">
        <v>69</v>
      </c>
      <c r="C108" s="0" t="s">
        <v>753</v>
      </c>
      <c r="D108" s="0" t="n">
        <v>6</v>
      </c>
      <c r="E108" s="0" t="n">
        <v>2</v>
      </c>
      <c r="F108" s="0" t="n">
        <f aca="false">D108*E108</f>
        <v>12</v>
      </c>
      <c r="G108" s="0" t="n">
        <f aca="false">ROUNDUP(F108/75,0)</f>
        <v>1</v>
      </c>
    </row>
    <row r="109" customFormat="false" ht="15" hidden="false" customHeight="false" outlineLevel="0" collapsed="false">
      <c r="A109" s="0" t="s">
        <v>33</v>
      </c>
      <c r="B109" s="0" t="s">
        <v>69</v>
      </c>
      <c r="C109" s="0" t="s">
        <v>755</v>
      </c>
      <c r="D109" s="0" t="n">
        <v>6</v>
      </c>
      <c r="E109" s="0" t="n">
        <v>3</v>
      </c>
      <c r="F109" s="0" t="n">
        <f aca="false">D109*E109</f>
        <v>18</v>
      </c>
      <c r="G109" s="0" t="n">
        <f aca="false">ROUNDUP(F109/75,0)</f>
        <v>1</v>
      </c>
    </row>
    <row r="110" customFormat="false" ht="15" hidden="false" customHeight="false" outlineLevel="0" collapsed="false">
      <c r="A110" s="0" t="s">
        <v>33</v>
      </c>
      <c r="B110" s="0" t="s">
        <v>70</v>
      </c>
      <c r="C110" s="0" t="s">
        <v>753</v>
      </c>
      <c r="D110" s="0" t="n">
        <v>6</v>
      </c>
      <c r="E110" s="0" t="n">
        <v>5</v>
      </c>
      <c r="F110" s="0" t="n">
        <f aca="false">D110*E110</f>
        <v>30</v>
      </c>
      <c r="G110" s="0" t="n">
        <f aca="false">ROUNDUP(F110/75,0)</f>
        <v>1</v>
      </c>
    </row>
    <row r="111" customFormat="false" ht="15" hidden="false" customHeight="false" outlineLevel="0" collapsed="false">
      <c r="A111" s="0" t="s">
        <v>33</v>
      </c>
      <c r="B111" s="0" t="s">
        <v>70</v>
      </c>
      <c r="C111" s="0" t="s">
        <v>755</v>
      </c>
      <c r="D111" s="0" t="n">
        <v>6</v>
      </c>
      <c r="E111" s="0" t="n">
        <v>2</v>
      </c>
      <c r="F111" s="0" t="n">
        <f aca="false">D111*E111</f>
        <v>12</v>
      </c>
      <c r="G111" s="0" t="n">
        <f aca="false">ROUNDUP(F111/75,0)</f>
        <v>1</v>
      </c>
    </row>
    <row r="112" customFormat="false" ht="15" hidden="false" customHeight="false" outlineLevel="0" collapsed="false">
      <c r="A112" s="0" t="s">
        <v>33</v>
      </c>
      <c r="B112" s="0" t="s">
        <v>71</v>
      </c>
      <c r="C112" s="0" t="s">
        <v>757</v>
      </c>
      <c r="D112" s="0" t="n">
        <v>6</v>
      </c>
      <c r="E112" s="0" t="n">
        <v>3</v>
      </c>
      <c r="F112" s="0" t="n">
        <f aca="false">D112*E112</f>
        <v>18</v>
      </c>
      <c r="G112" s="0" t="n">
        <f aca="false">ROUNDUP(F112/75,0)</f>
        <v>1</v>
      </c>
    </row>
    <row r="113" customFormat="false" ht="15" hidden="false" customHeight="false" outlineLevel="0" collapsed="false">
      <c r="A113" s="0" t="s">
        <v>33</v>
      </c>
      <c r="B113" s="0" t="s">
        <v>71</v>
      </c>
      <c r="C113" s="0" t="s">
        <v>753</v>
      </c>
      <c r="D113" s="0" t="n">
        <v>6</v>
      </c>
      <c r="E113" s="0" t="n">
        <v>2.5</v>
      </c>
      <c r="F113" s="0" t="n">
        <f aca="false">D113*E113</f>
        <v>15</v>
      </c>
      <c r="G113" s="0" t="n">
        <f aca="false">ROUNDUP(F113/75,0)</f>
        <v>1</v>
      </c>
    </row>
    <row r="114" customFormat="false" ht="15" hidden="false" customHeight="false" outlineLevel="0" collapsed="false">
      <c r="A114" s="0" t="s">
        <v>33</v>
      </c>
      <c r="B114" s="0" t="s">
        <v>71</v>
      </c>
      <c r="C114" s="0" t="s">
        <v>755</v>
      </c>
      <c r="D114" s="0" t="n">
        <v>6</v>
      </c>
      <c r="E114" s="0" t="n">
        <v>7</v>
      </c>
      <c r="F114" s="0" t="n">
        <f aca="false">D114*E114</f>
        <v>42</v>
      </c>
      <c r="G114" s="0" t="n">
        <f aca="false">ROUNDUP(F114/75,0)</f>
        <v>1</v>
      </c>
    </row>
    <row r="115" customFormat="false" ht="15" hidden="false" customHeight="false" outlineLevel="0" collapsed="false">
      <c r="A115" s="0" t="s">
        <v>33</v>
      </c>
      <c r="B115" s="0" t="s">
        <v>72</v>
      </c>
      <c r="C115" s="0" t="s">
        <v>757</v>
      </c>
      <c r="D115" s="0" t="n">
        <v>6</v>
      </c>
      <c r="E115" s="0" t="n">
        <v>6</v>
      </c>
      <c r="F115" s="0" t="n">
        <f aca="false">D115*E115</f>
        <v>36</v>
      </c>
      <c r="G115" s="0" t="n">
        <f aca="false">ROUNDUP(F115/75,0)</f>
        <v>1</v>
      </c>
    </row>
    <row r="116" customFormat="false" ht="15" hidden="false" customHeight="false" outlineLevel="0" collapsed="false">
      <c r="A116" s="0" t="s">
        <v>33</v>
      </c>
      <c r="B116" s="0" t="s">
        <v>72</v>
      </c>
      <c r="C116" s="0" t="s">
        <v>753</v>
      </c>
      <c r="D116" s="0" t="n">
        <v>6</v>
      </c>
      <c r="E116" s="0" t="n">
        <v>3</v>
      </c>
      <c r="F116" s="0" t="n">
        <f aca="false">D116*E116</f>
        <v>18</v>
      </c>
      <c r="G116" s="0" t="n">
        <f aca="false">ROUNDUP(F116/75,0)</f>
        <v>1</v>
      </c>
    </row>
    <row r="117" customFormat="false" ht="15" hidden="false" customHeight="false" outlineLevel="0" collapsed="false">
      <c r="A117" s="0" t="s">
        <v>33</v>
      </c>
      <c r="B117" s="0" t="s">
        <v>72</v>
      </c>
      <c r="C117" s="0" t="s">
        <v>755</v>
      </c>
      <c r="D117" s="0" t="n">
        <v>6</v>
      </c>
      <c r="E117" s="0" t="n">
        <v>2</v>
      </c>
      <c r="F117" s="0" t="n">
        <f aca="false">D117*E117</f>
        <v>12</v>
      </c>
      <c r="G117" s="0" t="n">
        <f aca="false">ROUNDUP(F117/75,0)</f>
        <v>1</v>
      </c>
    </row>
    <row r="118" customFormat="false" ht="15" hidden="false" customHeight="false" outlineLevel="0" collapsed="false">
      <c r="A118" s="0" t="s">
        <v>33</v>
      </c>
      <c r="B118" s="0" t="s">
        <v>73</v>
      </c>
      <c r="C118" s="0" t="s">
        <v>753</v>
      </c>
      <c r="D118" s="0" t="n">
        <v>6</v>
      </c>
      <c r="E118" s="0" t="n">
        <v>1</v>
      </c>
      <c r="F118" s="0" t="n">
        <f aca="false">D118*E118</f>
        <v>6</v>
      </c>
      <c r="G118" s="0" t="n">
        <f aca="false">ROUNDUP(F118/75,0)</f>
        <v>1</v>
      </c>
    </row>
    <row r="119" customFormat="false" ht="15" hidden="false" customHeight="false" outlineLevel="0" collapsed="false">
      <c r="A119" s="0" t="s">
        <v>33</v>
      </c>
      <c r="B119" s="0" t="s">
        <v>73</v>
      </c>
      <c r="C119" s="0" t="s">
        <v>755</v>
      </c>
      <c r="D119" s="0" t="n">
        <v>6</v>
      </c>
      <c r="E119" s="0" t="n">
        <v>1</v>
      </c>
      <c r="F119" s="0" t="n">
        <f aca="false">D119*E119</f>
        <v>6</v>
      </c>
      <c r="G119" s="0" t="n">
        <f aca="false">ROUNDUP(F119/75,0)</f>
        <v>1</v>
      </c>
    </row>
    <row r="120" customFormat="false" ht="15" hidden="false" customHeight="false" outlineLevel="0" collapsed="false">
      <c r="A120" s="0" t="s">
        <v>33</v>
      </c>
      <c r="B120" s="0" t="s">
        <v>74</v>
      </c>
      <c r="C120" s="0" t="s">
        <v>756</v>
      </c>
      <c r="D120" s="0" t="n">
        <v>12</v>
      </c>
      <c r="E120" s="0" t="n">
        <v>2</v>
      </c>
      <c r="F120" s="0" t="n">
        <f aca="false">D120*E120</f>
        <v>24</v>
      </c>
      <c r="G120" s="0" t="n">
        <f aca="false">ROUNDUP(F120/75,0)</f>
        <v>1</v>
      </c>
    </row>
    <row r="121" customFormat="false" ht="15" hidden="false" customHeight="false" outlineLevel="0" collapsed="false">
      <c r="A121" s="0" t="s">
        <v>33</v>
      </c>
      <c r="B121" s="0" t="s">
        <v>74</v>
      </c>
      <c r="C121" s="0" t="s">
        <v>755</v>
      </c>
      <c r="D121" s="0" t="n">
        <v>6</v>
      </c>
      <c r="E121" s="0" t="n">
        <v>2</v>
      </c>
      <c r="F121" s="0" t="n">
        <f aca="false">D121*E121</f>
        <v>12</v>
      </c>
      <c r="G121" s="0" t="n">
        <f aca="false">ROUNDUP(F121/75,0)</f>
        <v>1</v>
      </c>
    </row>
    <row r="122" customFormat="false" ht="15" hidden="false" customHeight="false" outlineLevel="0" collapsed="false">
      <c r="A122" s="0" t="s">
        <v>33</v>
      </c>
      <c r="B122" s="0" t="s">
        <v>75</v>
      </c>
      <c r="C122" s="0" t="s">
        <v>756</v>
      </c>
      <c r="D122" s="0" t="n">
        <v>12</v>
      </c>
      <c r="E122" s="0" t="n">
        <v>5</v>
      </c>
      <c r="F122" s="0" t="n">
        <f aca="false">D122*E122</f>
        <v>60</v>
      </c>
      <c r="G122" s="0" t="n">
        <f aca="false">ROUNDUP(F122/75,0)</f>
        <v>1</v>
      </c>
    </row>
    <row r="123" customFormat="false" ht="15" hidden="false" customHeight="false" outlineLevel="0" collapsed="false">
      <c r="A123" s="0" t="s">
        <v>33</v>
      </c>
      <c r="B123" s="0" t="s">
        <v>76</v>
      </c>
      <c r="C123" s="0" t="s">
        <v>757</v>
      </c>
      <c r="D123" s="0" t="n">
        <v>6</v>
      </c>
      <c r="E123" s="0" t="n">
        <v>2</v>
      </c>
      <c r="F123" s="0" t="n">
        <f aca="false">D123*E123</f>
        <v>12</v>
      </c>
      <c r="G123" s="0" t="n">
        <f aca="false">ROUNDUP(F123/75,0)</f>
        <v>1</v>
      </c>
    </row>
    <row r="124" customFormat="false" ht="15" hidden="false" customHeight="false" outlineLevel="0" collapsed="false">
      <c r="A124" s="0" t="s">
        <v>33</v>
      </c>
      <c r="B124" s="0" t="s">
        <v>76</v>
      </c>
      <c r="C124" s="0" t="s">
        <v>753</v>
      </c>
      <c r="D124" s="0" t="n">
        <v>6</v>
      </c>
      <c r="E124" s="0" t="n">
        <v>4</v>
      </c>
      <c r="F124" s="0" t="n">
        <f aca="false">D124*E124</f>
        <v>24</v>
      </c>
      <c r="G124" s="0" t="n">
        <f aca="false">ROUNDUP(F124/75,0)</f>
        <v>1</v>
      </c>
    </row>
    <row r="125" customFormat="false" ht="15" hidden="false" customHeight="false" outlineLevel="0" collapsed="false">
      <c r="A125" s="0" t="s">
        <v>33</v>
      </c>
      <c r="B125" s="0" t="s">
        <v>76</v>
      </c>
      <c r="C125" s="0" t="s">
        <v>755</v>
      </c>
      <c r="D125" s="0" t="n">
        <v>6</v>
      </c>
      <c r="E125" s="0" t="n">
        <v>1</v>
      </c>
      <c r="F125" s="0" t="n">
        <f aca="false">D125*E125</f>
        <v>6</v>
      </c>
      <c r="G125" s="0" t="n">
        <f aca="false">ROUNDUP(F125/75,0)</f>
        <v>1</v>
      </c>
    </row>
    <row r="126" customFormat="false" ht="15" hidden="false" customHeight="false" outlineLevel="0" collapsed="false">
      <c r="A126" s="0" t="s">
        <v>33</v>
      </c>
      <c r="B126" s="0" t="s">
        <v>77</v>
      </c>
      <c r="C126" s="0" t="s">
        <v>756</v>
      </c>
      <c r="D126" s="0" t="n">
        <v>12</v>
      </c>
      <c r="E126" s="0" t="n">
        <v>5</v>
      </c>
      <c r="F126" s="0" t="n">
        <f aca="false">D126*E126</f>
        <v>60</v>
      </c>
      <c r="G126" s="0" t="n">
        <f aca="false">ROUNDUP(F126/75,0)</f>
        <v>1</v>
      </c>
    </row>
    <row r="127" customFormat="false" ht="15" hidden="false" customHeight="false" outlineLevel="0" collapsed="false">
      <c r="A127" s="0" t="s">
        <v>33</v>
      </c>
      <c r="B127" s="0" t="s">
        <v>77</v>
      </c>
      <c r="C127" s="0" t="s">
        <v>753</v>
      </c>
      <c r="D127" s="0" t="n">
        <v>6</v>
      </c>
      <c r="E127" s="0" t="n">
        <v>3</v>
      </c>
      <c r="F127" s="0" t="n">
        <f aca="false">D127*E127</f>
        <v>18</v>
      </c>
      <c r="G127" s="0" t="n">
        <f aca="false">ROUNDUP(F127/75,0)</f>
        <v>1</v>
      </c>
    </row>
    <row r="128" customFormat="false" ht="15" hidden="false" customHeight="false" outlineLevel="0" collapsed="false">
      <c r="A128" s="0" t="s">
        <v>33</v>
      </c>
      <c r="B128" s="0" t="s">
        <v>78</v>
      </c>
      <c r="C128" s="0" t="s">
        <v>756</v>
      </c>
      <c r="D128" s="0" t="n">
        <v>12</v>
      </c>
      <c r="E128" s="0" t="n">
        <v>2</v>
      </c>
      <c r="F128" s="0" t="n">
        <f aca="false">D128*E128</f>
        <v>24</v>
      </c>
      <c r="G128" s="0" t="n">
        <f aca="false">ROUNDUP(F128/75,0)</f>
        <v>1</v>
      </c>
    </row>
    <row r="129" customFormat="false" ht="15" hidden="false" customHeight="false" outlineLevel="0" collapsed="false">
      <c r="A129" s="0" t="s">
        <v>33</v>
      </c>
      <c r="B129" s="0" t="s">
        <v>78</v>
      </c>
      <c r="C129" s="0" t="s">
        <v>753</v>
      </c>
      <c r="D129" s="0" t="n">
        <v>6</v>
      </c>
      <c r="E129" s="0" t="n">
        <v>7</v>
      </c>
      <c r="F129" s="0" t="n">
        <f aca="false">D129*E129</f>
        <v>42</v>
      </c>
      <c r="G129" s="0" t="n">
        <f aca="false">ROUNDUP(F129/75,0)</f>
        <v>1</v>
      </c>
    </row>
    <row r="130" customFormat="false" ht="15" hidden="false" customHeight="false" outlineLevel="0" collapsed="false">
      <c r="A130" s="0" t="s">
        <v>33</v>
      </c>
      <c r="B130" s="0" t="s">
        <v>79</v>
      </c>
      <c r="C130" s="0" t="s">
        <v>756</v>
      </c>
      <c r="D130" s="0" t="n">
        <v>12</v>
      </c>
      <c r="E130" s="0" t="n">
        <v>1</v>
      </c>
      <c r="F130" s="0" t="n">
        <f aca="false">D130*E130</f>
        <v>12</v>
      </c>
      <c r="G130" s="0" t="n">
        <f aca="false">ROUNDUP(F130/75,0)</f>
        <v>1</v>
      </c>
    </row>
    <row r="131" customFormat="false" ht="15" hidden="false" customHeight="false" outlineLevel="0" collapsed="false">
      <c r="A131" s="0" t="s">
        <v>33</v>
      </c>
      <c r="B131" s="0" t="s">
        <v>79</v>
      </c>
      <c r="C131" s="0" t="s">
        <v>753</v>
      </c>
      <c r="D131" s="0" t="n">
        <v>6</v>
      </c>
      <c r="E131" s="0" t="n">
        <v>5</v>
      </c>
      <c r="F131" s="0" t="n">
        <f aca="false">D131*E131</f>
        <v>30</v>
      </c>
      <c r="G131" s="0" t="n">
        <f aca="false">ROUNDUP(F131/75,0)</f>
        <v>1</v>
      </c>
    </row>
    <row r="132" customFormat="false" ht="15" hidden="false" customHeight="false" outlineLevel="0" collapsed="false">
      <c r="A132" s="0" t="s">
        <v>33</v>
      </c>
      <c r="B132" s="0" t="s">
        <v>79</v>
      </c>
      <c r="C132" s="0" t="s">
        <v>755</v>
      </c>
      <c r="D132" s="0" t="n">
        <v>6</v>
      </c>
      <c r="E132" s="0" t="n">
        <v>2</v>
      </c>
      <c r="F132" s="0" t="n">
        <f aca="false">D132*E132</f>
        <v>12</v>
      </c>
      <c r="G132" s="0" t="n">
        <f aca="false">ROUNDUP(F132/75,0)</f>
        <v>1</v>
      </c>
    </row>
    <row r="133" customFormat="false" ht="15" hidden="false" customHeight="false" outlineLevel="0" collapsed="false">
      <c r="A133" s="0" t="s">
        <v>33</v>
      </c>
      <c r="B133" s="0" t="s">
        <v>80</v>
      </c>
      <c r="C133" s="0" t="s">
        <v>755</v>
      </c>
      <c r="D133" s="0" t="n">
        <v>6</v>
      </c>
      <c r="E133" s="0" t="n">
        <v>4</v>
      </c>
      <c r="F133" s="0" t="n">
        <f aca="false">D133*E133</f>
        <v>24</v>
      </c>
      <c r="G133" s="0" t="n">
        <f aca="false">ROUNDUP(F133/75,0)</f>
        <v>1</v>
      </c>
    </row>
    <row r="134" customFormat="false" ht="15" hidden="false" customHeight="false" outlineLevel="0" collapsed="false">
      <c r="A134" s="0" t="s">
        <v>33</v>
      </c>
      <c r="B134" s="0" t="s">
        <v>81</v>
      </c>
      <c r="C134" s="0" t="s">
        <v>756</v>
      </c>
      <c r="D134" s="0" t="n">
        <v>12</v>
      </c>
      <c r="E134" s="0" t="n">
        <v>2</v>
      </c>
      <c r="F134" s="0" t="n">
        <f aca="false">D134*E134</f>
        <v>24</v>
      </c>
      <c r="G134" s="0" t="n">
        <f aca="false">ROUNDUP(F134/75,0)</f>
        <v>1</v>
      </c>
    </row>
    <row r="135" customFormat="false" ht="15" hidden="false" customHeight="false" outlineLevel="0" collapsed="false">
      <c r="A135" s="0" t="s">
        <v>33</v>
      </c>
      <c r="B135" s="0" t="s">
        <v>81</v>
      </c>
      <c r="C135" s="0" t="s">
        <v>757</v>
      </c>
      <c r="D135" s="0" t="n">
        <v>6</v>
      </c>
      <c r="E135" s="0" t="n">
        <v>1</v>
      </c>
      <c r="F135" s="0" t="n">
        <f aca="false">D135*E135</f>
        <v>6</v>
      </c>
      <c r="G135" s="0" t="n">
        <f aca="false">ROUNDUP(F135/75,0)</f>
        <v>1</v>
      </c>
    </row>
    <row r="136" customFormat="false" ht="15" hidden="false" customHeight="false" outlineLevel="0" collapsed="false">
      <c r="A136" s="0" t="s">
        <v>33</v>
      </c>
      <c r="B136" s="0" t="s">
        <v>81</v>
      </c>
      <c r="C136" s="0" t="s">
        <v>753</v>
      </c>
      <c r="D136" s="0" t="n">
        <v>6</v>
      </c>
      <c r="E136" s="0" t="n">
        <v>2</v>
      </c>
      <c r="F136" s="0" t="n">
        <f aca="false">D136*E136</f>
        <v>12</v>
      </c>
      <c r="G136" s="0" t="n">
        <f aca="false">ROUNDUP(F136/75,0)</f>
        <v>1</v>
      </c>
    </row>
    <row r="137" customFormat="false" ht="15" hidden="false" customHeight="false" outlineLevel="0" collapsed="false">
      <c r="A137" s="0" t="s">
        <v>33</v>
      </c>
      <c r="B137" s="0" t="s">
        <v>81</v>
      </c>
      <c r="C137" s="0" t="s">
        <v>755</v>
      </c>
      <c r="D137" s="0" t="n">
        <v>6</v>
      </c>
      <c r="E137" s="0" t="n">
        <v>2</v>
      </c>
      <c r="F137" s="0" t="n">
        <f aca="false">D137*E137</f>
        <v>12</v>
      </c>
      <c r="G137" s="0" t="n">
        <f aca="false">ROUNDUP(F137/75,0)</f>
        <v>1</v>
      </c>
    </row>
    <row r="138" customFormat="false" ht="15" hidden="false" customHeight="false" outlineLevel="0" collapsed="false">
      <c r="A138" s="0" t="s">
        <v>33</v>
      </c>
      <c r="B138" s="0" t="s">
        <v>82</v>
      </c>
      <c r="C138" s="0" t="s">
        <v>756</v>
      </c>
      <c r="D138" s="0" t="n">
        <v>12</v>
      </c>
      <c r="E138" s="0" t="n">
        <v>1</v>
      </c>
      <c r="F138" s="0" t="n">
        <f aca="false">D138*E138</f>
        <v>12</v>
      </c>
      <c r="G138" s="0" t="n">
        <f aca="false">ROUNDUP(F138/75,0)</f>
        <v>1</v>
      </c>
    </row>
    <row r="139" customFormat="false" ht="15" hidden="false" customHeight="false" outlineLevel="0" collapsed="false">
      <c r="A139" s="0" t="s">
        <v>33</v>
      </c>
      <c r="B139" s="0" t="s">
        <v>82</v>
      </c>
      <c r="C139" s="0" t="s">
        <v>753</v>
      </c>
      <c r="D139" s="0" t="n">
        <v>6</v>
      </c>
      <c r="E139" s="0" t="n">
        <v>5</v>
      </c>
      <c r="F139" s="0" t="n">
        <f aca="false">D139*E139</f>
        <v>30</v>
      </c>
      <c r="G139" s="0" t="n">
        <f aca="false">ROUNDUP(F139/75,0)</f>
        <v>1</v>
      </c>
    </row>
    <row r="140" customFormat="false" ht="15" hidden="false" customHeight="false" outlineLevel="0" collapsed="false">
      <c r="A140" s="0" t="s">
        <v>33</v>
      </c>
      <c r="B140" s="0" t="s">
        <v>83</v>
      </c>
      <c r="C140" s="0" t="s">
        <v>753</v>
      </c>
      <c r="D140" s="0" t="n">
        <v>6</v>
      </c>
      <c r="E140" s="0" t="n">
        <v>8</v>
      </c>
      <c r="F140" s="0" t="n">
        <f aca="false">D140*E140</f>
        <v>48</v>
      </c>
      <c r="G140" s="0" t="n">
        <f aca="false">ROUNDUP(F140/75,0)</f>
        <v>1</v>
      </c>
    </row>
    <row r="141" customFormat="false" ht="15" hidden="false" customHeight="false" outlineLevel="0" collapsed="false">
      <c r="A141" s="0" t="s">
        <v>33</v>
      </c>
      <c r="B141" s="0" t="s">
        <v>83</v>
      </c>
      <c r="C141" s="0" t="s">
        <v>755</v>
      </c>
      <c r="D141" s="0" t="n">
        <v>6</v>
      </c>
      <c r="E141" s="0" t="n">
        <v>2</v>
      </c>
      <c r="F141" s="0" t="n">
        <f aca="false">D141*E141</f>
        <v>12</v>
      </c>
      <c r="G141" s="0" t="n">
        <f aca="false">ROUNDUP(F141/75,0)</f>
        <v>1</v>
      </c>
    </row>
    <row r="142" customFormat="false" ht="15" hidden="false" customHeight="false" outlineLevel="0" collapsed="false">
      <c r="A142" s="0" t="s">
        <v>33</v>
      </c>
      <c r="B142" s="0" t="s">
        <v>84</v>
      </c>
      <c r="C142" s="0" t="s">
        <v>756</v>
      </c>
      <c r="D142" s="0" t="n">
        <v>12</v>
      </c>
      <c r="E142" s="0" t="n">
        <v>2</v>
      </c>
      <c r="F142" s="0" t="n">
        <f aca="false">D142*E142</f>
        <v>24</v>
      </c>
      <c r="G142" s="0" t="n">
        <f aca="false">ROUNDUP(F142/75,0)</f>
        <v>1</v>
      </c>
    </row>
    <row r="143" customFormat="false" ht="15" hidden="false" customHeight="false" outlineLevel="0" collapsed="false">
      <c r="A143" s="0" t="s">
        <v>33</v>
      </c>
      <c r="B143" s="0" t="s">
        <v>84</v>
      </c>
      <c r="C143" s="0" t="s">
        <v>757</v>
      </c>
      <c r="D143" s="0" t="n">
        <v>6</v>
      </c>
      <c r="E143" s="0" t="n">
        <v>2</v>
      </c>
      <c r="F143" s="0" t="n">
        <f aca="false">D143*E143</f>
        <v>12</v>
      </c>
      <c r="G143" s="0" t="n">
        <f aca="false">ROUNDUP(F143/75,0)</f>
        <v>1</v>
      </c>
    </row>
    <row r="144" customFormat="false" ht="15" hidden="false" customHeight="false" outlineLevel="0" collapsed="false">
      <c r="A144" s="0" t="s">
        <v>33</v>
      </c>
      <c r="B144" s="0" t="s">
        <v>84</v>
      </c>
      <c r="C144" s="0" t="s">
        <v>753</v>
      </c>
      <c r="D144" s="0" t="n">
        <v>6</v>
      </c>
      <c r="E144" s="0" t="n">
        <v>5</v>
      </c>
      <c r="F144" s="0" t="n">
        <f aca="false">D144*E144</f>
        <v>30</v>
      </c>
      <c r="G144" s="0" t="n">
        <f aca="false">ROUNDUP(F144/75,0)</f>
        <v>1</v>
      </c>
    </row>
    <row r="145" customFormat="false" ht="15" hidden="false" customHeight="false" outlineLevel="0" collapsed="false">
      <c r="A145" s="0" t="s">
        <v>33</v>
      </c>
      <c r="B145" s="0" t="s">
        <v>84</v>
      </c>
      <c r="C145" s="0" t="s">
        <v>755</v>
      </c>
      <c r="D145" s="0" t="n">
        <v>6</v>
      </c>
      <c r="E145" s="0" t="n">
        <v>2</v>
      </c>
      <c r="F145" s="0" t="n">
        <f aca="false">D145*E145</f>
        <v>12</v>
      </c>
      <c r="G145" s="0" t="n">
        <f aca="false">ROUNDUP(F145/75,0)</f>
        <v>1</v>
      </c>
    </row>
    <row r="146" customFormat="false" ht="15" hidden="false" customHeight="false" outlineLevel="0" collapsed="false">
      <c r="A146" s="0" t="s">
        <v>33</v>
      </c>
      <c r="B146" s="0" t="s">
        <v>85</v>
      </c>
      <c r="C146" s="0" t="s">
        <v>757</v>
      </c>
      <c r="D146" s="0" t="n">
        <v>6</v>
      </c>
      <c r="E146" s="0" t="n">
        <v>1</v>
      </c>
      <c r="F146" s="0" t="n">
        <f aca="false">D146*E146</f>
        <v>6</v>
      </c>
      <c r="G146" s="0" t="n">
        <f aca="false">ROUNDUP(F146/75,0)</f>
        <v>1</v>
      </c>
    </row>
    <row r="147" customFormat="false" ht="15" hidden="false" customHeight="false" outlineLevel="0" collapsed="false">
      <c r="A147" s="0" t="s">
        <v>33</v>
      </c>
      <c r="B147" s="0" t="s">
        <v>85</v>
      </c>
      <c r="C147" s="0" t="s">
        <v>753</v>
      </c>
      <c r="D147" s="0" t="n">
        <v>6</v>
      </c>
      <c r="E147" s="0" t="n">
        <v>6</v>
      </c>
      <c r="F147" s="0" t="n">
        <f aca="false">D147*E147</f>
        <v>36</v>
      </c>
      <c r="G147" s="0" t="n">
        <f aca="false">ROUNDUP(F147/75,0)</f>
        <v>1</v>
      </c>
    </row>
    <row r="148" customFormat="false" ht="15" hidden="false" customHeight="false" outlineLevel="0" collapsed="false">
      <c r="A148" s="0" t="s">
        <v>33</v>
      </c>
      <c r="B148" s="0" t="s">
        <v>85</v>
      </c>
      <c r="C148" s="0" t="s">
        <v>755</v>
      </c>
      <c r="D148" s="0" t="n">
        <v>6</v>
      </c>
      <c r="E148" s="0" t="n">
        <v>2</v>
      </c>
      <c r="F148" s="0" t="n">
        <f aca="false">D148*E148</f>
        <v>12</v>
      </c>
      <c r="G148" s="0" t="n">
        <f aca="false">ROUNDUP(F148/75,0)</f>
        <v>1</v>
      </c>
    </row>
    <row r="149" customFormat="false" ht="15" hidden="false" customHeight="false" outlineLevel="0" collapsed="false">
      <c r="A149" s="0" t="s">
        <v>33</v>
      </c>
      <c r="B149" s="0" t="s">
        <v>86</v>
      </c>
      <c r="C149" s="0" t="s">
        <v>756</v>
      </c>
      <c r="D149" s="0" t="n">
        <v>12</v>
      </c>
      <c r="E149" s="0" t="n">
        <v>2</v>
      </c>
      <c r="F149" s="0" t="n">
        <f aca="false">D149*E149</f>
        <v>24</v>
      </c>
      <c r="G149" s="0" t="n">
        <f aca="false">ROUNDUP(F149/75,0)</f>
        <v>1</v>
      </c>
    </row>
    <row r="150" customFormat="false" ht="15" hidden="false" customHeight="false" outlineLevel="0" collapsed="false">
      <c r="A150" s="0" t="s">
        <v>33</v>
      </c>
      <c r="B150" s="0" t="s">
        <v>86</v>
      </c>
      <c r="C150" s="0" t="s">
        <v>757</v>
      </c>
      <c r="D150" s="0" t="n">
        <v>6</v>
      </c>
      <c r="E150" s="0" t="n">
        <v>3</v>
      </c>
      <c r="F150" s="0" t="n">
        <f aca="false">D150*E150</f>
        <v>18</v>
      </c>
      <c r="G150" s="0" t="n">
        <f aca="false">ROUNDUP(F150/75,0)</f>
        <v>1</v>
      </c>
    </row>
    <row r="151" customFormat="false" ht="15" hidden="false" customHeight="false" outlineLevel="0" collapsed="false">
      <c r="A151" s="0" t="s">
        <v>33</v>
      </c>
      <c r="B151" s="0" t="s">
        <v>86</v>
      </c>
      <c r="C151" s="0" t="s">
        <v>753</v>
      </c>
      <c r="D151" s="0" t="n">
        <v>6</v>
      </c>
      <c r="E151" s="0" t="n">
        <v>3</v>
      </c>
      <c r="F151" s="0" t="n">
        <f aca="false">D151*E151</f>
        <v>18</v>
      </c>
      <c r="G151" s="0" t="n">
        <f aca="false">ROUNDUP(F151/75,0)</f>
        <v>1</v>
      </c>
    </row>
    <row r="152" customFormat="false" ht="15" hidden="false" customHeight="false" outlineLevel="0" collapsed="false">
      <c r="A152" s="0" t="s">
        <v>33</v>
      </c>
      <c r="B152" s="0" t="s">
        <v>86</v>
      </c>
      <c r="C152" s="0" t="s">
        <v>755</v>
      </c>
      <c r="D152" s="0" t="n">
        <v>6</v>
      </c>
      <c r="E152" s="0" t="n">
        <v>1</v>
      </c>
      <c r="F152" s="0" t="n">
        <f aca="false">D152*E152</f>
        <v>6</v>
      </c>
      <c r="G152" s="0" t="n">
        <f aca="false">ROUNDUP(F152/75,0)</f>
        <v>1</v>
      </c>
    </row>
    <row r="153" customFormat="false" ht="15" hidden="false" customHeight="false" outlineLevel="0" collapsed="false">
      <c r="A153" s="0" t="s">
        <v>33</v>
      </c>
      <c r="B153" s="0" t="s">
        <v>87</v>
      </c>
      <c r="C153" s="0" t="s">
        <v>756</v>
      </c>
      <c r="D153" s="0" t="n">
        <v>12</v>
      </c>
      <c r="E153" s="0" t="n">
        <v>2</v>
      </c>
      <c r="F153" s="0" t="n">
        <f aca="false">D153*E153</f>
        <v>24</v>
      </c>
      <c r="G153" s="0" t="n">
        <f aca="false">ROUNDUP(F153/75,0)</f>
        <v>1</v>
      </c>
    </row>
    <row r="154" customFormat="false" ht="15" hidden="false" customHeight="false" outlineLevel="0" collapsed="false">
      <c r="A154" s="0" t="s">
        <v>33</v>
      </c>
      <c r="B154" s="0" t="s">
        <v>87</v>
      </c>
      <c r="C154" s="0" t="s">
        <v>757</v>
      </c>
      <c r="D154" s="0" t="n">
        <v>6</v>
      </c>
      <c r="E154" s="0" t="n">
        <v>1</v>
      </c>
      <c r="F154" s="0" t="n">
        <f aca="false">D154*E154</f>
        <v>6</v>
      </c>
      <c r="G154" s="0" t="n">
        <f aca="false">ROUNDUP(F154/75,0)</f>
        <v>1</v>
      </c>
    </row>
    <row r="155" customFormat="false" ht="15" hidden="false" customHeight="false" outlineLevel="0" collapsed="false">
      <c r="A155" s="0" t="s">
        <v>33</v>
      </c>
      <c r="B155" s="0" t="s">
        <v>87</v>
      </c>
      <c r="C155" s="0" t="s">
        <v>755</v>
      </c>
      <c r="D155" s="0" t="n">
        <v>6</v>
      </c>
      <c r="E155" s="0" t="n">
        <v>2</v>
      </c>
      <c r="F155" s="0" t="n">
        <f aca="false">D155*E155</f>
        <v>12</v>
      </c>
      <c r="G155" s="0" t="n">
        <f aca="false">ROUNDUP(F155/75,0)</f>
        <v>1</v>
      </c>
    </row>
    <row r="156" customFormat="false" ht="15" hidden="false" customHeight="false" outlineLevel="0" collapsed="false">
      <c r="A156" s="0" t="s">
        <v>33</v>
      </c>
      <c r="B156" s="0" t="s">
        <v>88</v>
      </c>
      <c r="C156" s="0" t="s">
        <v>757</v>
      </c>
      <c r="D156" s="0" t="n">
        <v>6</v>
      </c>
      <c r="E156" s="0" t="n">
        <v>1</v>
      </c>
      <c r="F156" s="0" t="n">
        <f aca="false">D156*E156</f>
        <v>6</v>
      </c>
      <c r="G156" s="0" t="n">
        <f aca="false">ROUNDUP(F156/75,0)</f>
        <v>1</v>
      </c>
    </row>
    <row r="157" customFormat="false" ht="15" hidden="false" customHeight="false" outlineLevel="0" collapsed="false">
      <c r="A157" s="0" t="s">
        <v>33</v>
      </c>
      <c r="B157" s="0" t="s">
        <v>88</v>
      </c>
      <c r="C157" s="0" t="s">
        <v>753</v>
      </c>
      <c r="D157" s="0" t="n">
        <v>6</v>
      </c>
      <c r="E157" s="0" t="n">
        <v>2</v>
      </c>
      <c r="F157" s="0" t="n">
        <f aca="false">D157*E157</f>
        <v>12</v>
      </c>
      <c r="G157" s="0" t="n">
        <f aca="false">ROUNDUP(F157/75,0)</f>
        <v>1</v>
      </c>
    </row>
    <row r="158" customFormat="false" ht="15" hidden="false" customHeight="false" outlineLevel="0" collapsed="false">
      <c r="A158" s="0" t="s">
        <v>33</v>
      </c>
      <c r="B158" s="0" t="s">
        <v>88</v>
      </c>
      <c r="C158" s="0" t="s">
        <v>755</v>
      </c>
      <c r="D158" s="0" t="n">
        <v>6</v>
      </c>
      <c r="E158" s="0" t="n">
        <v>2</v>
      </c>
      <c r="F158" s="0" t="n">
        <f aca="false">D158*E158</f>
        <v>12</v>
      </c>
      <c r="G158" s="0" t="n">
        <f aca="false">ROUNDUP(F158/75,0)</f>
        <v>1</v>
      </c>
    </row>
    <row r="159" customFormat="false" ht="15" hidden="false" customHeight="false" outlineLevel="0" collapsed="false">
      <c r="A159" s="0" t="s">
        <v>33</v>
      </c>
      <c r="B159" s="0" t="s">
        <v>89</v>
      </c>
      <c r="C159" s="0" t="s">
        <v>756</v>
      </c>
      <c r="D159" s="0" t="n">
        <v>12</v>
      </c>
      <c r="E159" s="0" t="n">
        <v>2</v>
      </c>
      <c r="F159" s="0" t="n">
        <f aca="false">D159*E159</f>
        <v>24</v>
      </c>
      <c r="G159" s="0" t="n">
        <f aca="false">ROUNDUP(F159/75,0)</f>
        <v>1</v>
      </c>
    </row>
    <row r="160" customFormat="false" ht="15" hidden="false" customHeight="false" outlineLevel="0" collapsed="false">
      <c r="A160" s="0" t="s">
        <v>33</v>
      </c>
      <c r="B160" s="0" t="s">
        <v>89</v>
      </c>
      <c r="C160" s="0" t="s">
        <v>757</v>
      </c>
      <c r="D160" s="0" t="n">
        <v>6</v>
      </c>
      <c r="E160" s="0" t="n">
        <v>1</v>
      </c>
      <c r="F160" s="0" t="n">
        <f aca="false">D160*E160</f>
        <v>6</v>
      </c>
      <c r="G160" s="0" t="n">
        <f aca="false">ROUNDUP(F160/75,0)</f>
        <v>1</v>
      </c>
    </row>
    <row r="161" customFormat="false" ht="15" hidden="false" customHeight="false" outlineLevel="0" collapsed="false">
      <c r="A161" s="0" t="s">
        <v>33</v>
      </c>
      <c r="B161" s="0" t="s">
        <v>89</v>
      </c>
      <c r="C161" s="0" t="s">
        <v>753</v>
      </c>
      <c r="D161" s="0" t="n">
        <v>6</v>
      </c>
      <c r="E161" s="0" t="n">
        <v>2</v>
      </c>
      <c r="F161" s="0" t="n">
        <f aca="false">D161*E161</f>
        <v>12</v>
      </c>
      <c r="G161" s="0" t="n">
        <f aca="false">ROUNDUP(F161/75,0)</f>
        <v>1</v>
      </c>
    </row>
    <row r="162" customFormat="false" ht="15" hidden="false" customHeight="false" outlineLevel="0" collapsed="false">
      <c r="A162" s="0" t="s">
        <v>33</v>
      </c>
      <c r="B162" s="0" t="s">
        <v>89</v>
      </c>
      <c r="C162" s="0" t="s">
        <v>755</v>
      </c>
      <c r="D162" s="0" t="n">
        <v>6</v>
      </c>
      <c r="E162" s="0" t="n">
        <v>1</v>
      </c>
      <c r="F162" s="0" t="n">
        <f aca="false">D162*E162</f>
        <v>6</v>
      </c>
      <c r="G162" s="0" t="n">
        <f aca="false">ROUNDUP(F162/75,0)</f>
        <v>1</v>
      </c>
    </row>
    <row r="163" customFormat="false" ht="15" hidden="false" customHeight="false" outlineLevel="0" collapsed="false">
      <c r="A163" s="0" t="s">
        <v>33</v>
      </c>
      <c r="B163" s="0" t="s">
        <v>90</v>
      </c>
      <c r="C163" s="0" t="s">
        <v>757</v>
      </c>
      <c r="D163" s="0" t="n">
        <v>6</v>
      </c>
      <c r="E163" s="0" t="n">
        <v>2</v>
      </c>
      <c r="F163" s="0" t="n">
        <f aca="false">D163*E163</f>
        <v>12</v>
      </c>
      <c r="G163" s="0" t="n">
        <f aca="false">ROUNDUP(F163/75,0)</f>
        <v>1</v>
      </c>
    </row>
    <row r="164" customFormat="false" ht="15" hidden="false" customHeight="false" outlineLevel="0" collapsed="false">
      <c r="A164" s="0" t="s">
        <v>33</v>
      </c>
      <c r="B164" s="0" t="s">
        <v>90</v>
      </c>
      <c r="C164" s="0" t="s">
        <v>753</v>
      </c>
      <c r="D164" s="0" t="n">
        <v>6</v>
      </c>
      <c r="E164" s="0" t="n">
        <v>1</v>
      </c>
      <c r="F164" s="0" t="n">
        <f aca="false">D164*E164</f>
        <v>6</v>
      </c>
      <c r="G164" s="0" t="n">
        <f aca="false">ROUNDUP(F164/75,0)</f>
        <v>1</v>
      </c>
    </row>
    <row r="165" customFormat="false" ht="15" hidden="false" customHeight="false" outlineLevel="0" collapsed="false">
      <c r="A165" s="0" t="s">
        <v>33</v>
      </c>
      <c r="B165" s="0" t="s">
        <v>90</v>
      </c>
      <c r="C165" s="0" t="s">
        <v>755</v>
      </c>
      <c r="D165" s="0" t="n">
        <v>6</v>
      </c>
      <c r="E165" s="0" t="n">
        <v>1</v>
      </c>
      <c r="F165" s="0" t="n">
        <f aca="false">D165*E165</f>
        <v>6</v>
      </c>
      <c r="G165" s="0" t="n">
        <f aca="false">ROUNDUP(F165/75,0)</f>
        <v>1</v>
      </c>
    </row>
    <row r="166" customFormat="false" ht="15" hidden="false" customHeight="false" outlineLevel="0" collapsed="false">
      <c r="A166" s="0" t="s">
        <v>33</v>
      </c>
      <c r="B166" s="0" t="s">
        <v>91</v>
      </c>
      <c r="C166" s="0" t="s">
        <v>756</v>
      </c>
      <c r="D166" s="0" t="n">
        <v>12</v>
      </c>
      <c r="E166" s="0" t="n">
        <v>1</v>
      </c>
      <c r="F166" s="0" t="n">
        <f aca="false">D166*E166</f>
        <v>12</v>
      </c>
      <c r="G166" s="0" t="n">
        <f aca="false">ROUNDUP(F166/75,0)</f>
        <v>1</v>
      </c>
    </row>
    <row r="167" customFormat="false" ht="15" hidden="false" customHeight="false" outlineLevel="0" collapsed="false">
      <c r="A167" s="0" t="s">
        <v>33</v>
      </c>
      <c r="B167" s="0" t="s">
        <v>91</v>
      </c>
      <c r="C167" s="0" t="s">
        <v>757</v>
      </c>
      <c r="D167" s="0" t="n">
        <v>6</v>
      </c>
      <c r="E167" s="0" t="n">
        <v>1</v>
      </c>
      <c r="F167" s="0" t="n">
        <f aca="false">D167*E167</f>
        <v>6</v>
      </c>
      <c r="G167" s="0" t="n">
        <f aca="false">ROUNDUP(F167/75,0)</f>
        <v>1</v>
      </c>
    </row>
    <row r="168" customFormat="false" ht="15" hidden="false" customHeight="false" outlineLevel="0" collapsed="false">
      <c r="A168" s="0" t="s">
        <v>33</v>
      </c>
      <c r="B168" s="0" t="s">
        <v>91</v>
      </c>
      <c r="C168" s="0" t="s">
        <v>753</v>
      </c>
      <c r="D168" s="0" t="n">
        <v>6</v>
      </c>
      <c r="E168" s="0" t="n">
        <v>4</v>
      </c>
      <c r="F168" s="0" t="n">
        <f aca="false">D168*E168</f>
        <v>24</v>
      </c>
      <c r="G168" s="0" t="n">
        <f aca="false">ROUNDUP(F168/75,0)</f>
        <v>1</v>
      </c>
    </row>
    <row r="169" customFormat="false" ht="15" hidden="false" customHeight="false" outlineLevel="0" collapsed="false">
      <c r="A169" s="0" t="s">
        <v>33</v>
      </c>
      <c r="B169" s="0" t="s">
        <v>92</v>
      </c>
      <c r="C169" s="0" t="s">
        <v>756</v>
      </c>
      <c r="D169" s="0" t="n">
        <v>12</v>
      </c>
      <c r="E169" s="0" t="n">
        <v>2</v>
      </c>
      <c r="F169" s="0" t="n">
        <f aca="false">D169*E169</f>
        <v>24</v>
      </c>
      <c r="G169" s="0" t="n">
        <f aca="false">ROUNDUP(F169/75,0)</f>
        <v>1</v>
      </c>
    </row>
    <row r="170" customFormat="false" ht="15" hidden="false" customHeight="false" outlineLevel="0" collapsed="false">
      <c r="A170" s="0" t="s">
        <v>33</v>
      </c>
      <c r="B170" s="0" t="s">
        <v>92</v>
      </c>
      <c r="C170" s="0" t="s">
        <v>753</v>
      </c>
      <c r="D170" s="0" t="n">
        <v>6</v>
      </c>
      <c r="E170" s="0" t="n">
        <v>2</v>
      </c>
      <c r="F170" s="0" t="n">
        <f aca="false">D170*E170</f>
        <v>12</v>
      </c>
      <c r="G170" s="0" t="n">
        <f aca="false">ROUNDUP(F170/75,0)</f>
        <v>1</v>
      </c>
    </row>
    <row r="171" customFormat="false" ht="15" hidden="false" customHeight="false" outlineLevel="0" collapsed="false">
      <c r="A171" s="0" t="s">
        <v>33</v>
      </c>
      <c r="B171" s="0" t="s">
        <v>92</v>
      </c>
      <c r="C171" s="0" t="s">
        <v>755</v>
      </c>
      <c r="D171" s="0" t="n">
        <v>6</v>
      </c>
      <c r="E171" s="0" t="n">
        <v>5</v>
      </c>
      <c r="F171" s="0" t="n">
        <f aca="false">D171*E171</f>
        <v>30</v>
      </c>
      <c r="G171" s="0" t="n">
        <f aca="false">ROUNDUP(F171/75,0)</f>
        <v>1</v>
      </c>
    </row>
    <row r="172" customFormat="false" ht="15" hidden="false" customHeight="false" outlineLevel="0" collapsed="false">
      <c r="A172" s="0" t="s">
        <v>33</v>
      </c>
      <c r="B172" s="0" t="s">
        <v>93</v>
      </c>
      <c r="C172" s="0" t="s">
        <v>756</v>
      </c>
      <c r="D172" s="0" t="n">
        <v>12</v>
      </c>
      <c r="E172" s="0" t="n">
        <v>1</v>
      </c>
      <c r="F172" s="0" t="n">
        <f aca="false">D172*E172</f>
        <v>12</v>
      </c>
      <c r="G172" s="0" t="n">
        <f aca="false">ROUNDUP(F172/75,0)</f>
        <v>1</v>
      </c>
    </row>
    <row r="173" customFormat="false" ht="15" hidden="false" customHeight="false" outlineLevel="0" collapsed="false">
      <c r="A173" s="0" t="s">
        <v>33</v>
      </c>
      <c r="B173" s="0" t="s">
        <v>93</v>
      </c>
      <c r="C173" s="0" t="s">
        <v>757</v>
      </c>
      <c r="D173" s="0" t="n">
        <v>6</v>
      </c>
      <c r="E173" s="0" t="n">
        <v>1</v>
      </c>
      <c r="F173" s="0" t="n">
        <f aca="false">D173*E173</f>
        <v>6</v>
      </c>
      <c r="G173" s="0" t="n">
        <f aca="false">ROUNDUP(F173/75,0)</f>
        <v>1</v>
      </c>
    </row>
    <row r="174" customFormat="false" ht="15" hidden="false" customHeight="false" outlineLevel="0" collapsed="false">
      <c r="A174" s="0" t="s">
        <v>33</v>
      </c>
      <c r="B174" s="0" t="s">
        <v>93</v>
      </c>
      <c r="C174" s="0" t="s">
        <v>753</v>
      </c>
      <c r="D174" s="0" t="n">
        <v>6</v>
      </c>
      <c r="E174" s="0" t="n">
        <v>7</v>
      </c>
      <c r="F174" s="0" t="n">
        <f aca="false">D174*E174</f>
        <v>42</v>
      </c>
      <c r="G174" s="0" t="n">
        <f aca="false">ROUNDUP(F174/75,0)</f>
        <v>1</v>
      </c>
    </row>
    <row r="175" customFormat="false" ht="15" hidden="false" customHeight="false" outlineLevel="0" collapsed="false">
      <c r="A175" s="0" t="s">
        <v>33</v>
      </c>
      <c r="B175" s="0" t="s">
        <v>93</v>
      </c>
      <c r="C175" s="0" t="s">
        <v>755</v>
      </c>
      <c r="D175" s="0" t="n">
        <v>6</v>
      </c>
      <c r="E175" s="0" t="n">
        <v>1</v>
      </c>
      <c r="F175" s="0" t="n">
        <f aca="false">D175*E175</f>
        <v>6</v>
      </c>
      <c r="G175" s="0" t="n">
        <f aca="false">ROUNDUP(F175/75,0)</f>
        <v>1</v>
      </c>
    </row>
    <row r="176" customFormat="false" ht="15" hidden="false" customHeight="false" outlineLevel="0" collapsed="false">
      <c r="A176" s="0" t="s">
        <v>33</v>
      </c>
      <c r="B176" s="0" t="s">
        <v>94</v>
      </c>
      <c r="C176" s="0" t="s">
        <v>756</v>
      </c>
      <c r="D176" s="0" t="n">
        <v>12</v>
      </c>
      <c r="E176" s="0" t="n">
        <v>6</v>
      </c>
      <c r="F176" s="0" t="n">
        <f aca="false">D176*E176</f>
        <v>72</v>
      </c>
      <c r="G176" s="0" t="n">
        <f aca="false">ROUNDUP(F176/75,0)</f>
        <v>1</v>
      </c>
    </row>
    <row r="177" customFormat="false" ht="15" hidden="false" customHeight="false" outlineLevel="0" collapsed="false">
      <c r="A177" s="0" t="s">
        <v>33</v>
      </c>
      <c r="B177" s="0" t="s">
        <v>94</v>
      </c>
      <c r="C177" s="0" t="s">
        <v>757</v>
      </c>
      <c r="D177" s="0" t="n">
        <v>6</v>
      </c>
      <c r="E177" s="0" t="n">
        <v>1</v>
      </c>
      <c r="F177" s="0" t="n">
        <f aca="false">D177*E177</f>
        <v>6</v>
      </c>
      <c r="G177" s="0" t="n">
        <f aca="false">ROUNDUP(F177/75,0)</f>
        <v>1</v>
      </c>
    </row>
    <row r="178" customFormat="false" ht="15" hidden="false" customHeight="false" outlineLevel="0" collapsed="false">
      <c r="A178" s="0" t="s">
        <v>33</v>
      </c>
      <c r="B178" s="0" t="s">
        <v>94</v>
      </c>
      <c r="C178" s="0" t="s">
        <v>753</v>
      </c>
      <c r="D178" s="0" t="n">
        <v>6</v>
      </c>
      <c r="E178" s="0" t="n">
        <v>1</v>
      </c>
      <c r="F178" s="0" t="n">
        <f aca="false">D178*E178</f>
        <v>6</v>
      </c>
      <c r="G178" s="0" t="n">
        <f aca="false">ROUNDUP(F178/75,0)</f>
        <v>1</v>
      </c>
    </row>
    <row r="179" customFormat="false" ht="15" hidden="false" customHeight="false" outlineLevel="0" collapsed="false">
      <c r="A179" s="0" t="s">
        <v>33</v>
      </c>
      <c r="B179" s="0" t="s">
        <v>94</v>
      </c>
      <c r="C179" s="0" t="s">
        <v>755</v>
      </c>
      <c r="D179" s="0" t="n">
        <v>6</v>
      </c>
      <c r="E179" s="0" t="n">
        <v>1</v>
      </c>
      <c r="F179" s="0" t="n">
        <f aca="false">D179*E179</f>
        <v>6</v>
      </c>
      <c r="G179" s="0" t="n">
        <f aca="false">ROUNDUP(F179/75,0)</f>
        <v>1</v>
      </c>
    </row>
    <row r="180" customFormat="false" ht="15" hidden="false" customHeight="false" outlineLevel="0" collapsed="false">
      <c r="A180" s="0" t="s">
        <v>33</v>
      </c>
      <c r="B180" s="0" t="s">
        <v>95</v>
      </c>
      <c r="C180" s="0" t="s">
        <v>757</v>
      </c>
      <c r="D180" s="0" t="n">
        <v>6</v>
      </c>
      <c r="E180" s="0" t="n">
        <v>2</v>
      </c>
      <c r="F180" s="0" t="n">
        <f aca="false">D180*E180</f>
        <v>12</v>
      </c>
      <c r="G180" s="0" t="n">
        <f aca="false">ROUNDUP(F180/75,0)</f>
        <v>1</v>
      </c>
    </row>
    <row r="181" customFormat="false" ht="15" hidden="false" customHeight="false" outlineLevel="0" collapsed="false">
      <c r="A181" s="0" t="s">
        <v>33</v>
      </c>
      <c r="B181" s="0" t="s">
        <v>95</v>
      </c>
      <c r="C181" s="0" t="s">
        <v>753</v>
      </c>
      <c r="D181" s="0" t="n">
        <v>6</v>
      </c>
      <c r="E181" s="0" t="n">
        <v>2</v>
      </c>
      <c r="F181" s="0" t="n">
        <f aca="false">D181*E181</f>
        <v>12</v>
      </c>
      <c r="G181" s="0" t="n">
        <f aca="false">ROUNDUP(F181/75,0)</f>
        <v>1</v>
      </c>
    </row>
    <row r="182" customFormat="false" ht="15" hidden="false" customHeight="false" outlineLevel="0" collapsed="false">
      <c r="A182" s="0" t="s">
        <v>33</v>
      </c>
      <c r="B182" s="0" t="s">
        <v>95</v>
      </c>
      <c r="C182" s="0" t="s">
        <v>755</v>
      </c>
      <c r="D182" s="0" t="n">
        <v>6</v>
      </c>
      <c r="E182" s="0" t="n">
        <v>4</v>
      </c>
      <c r="F182" s="0" t="n">
        <f aca="false">D182*E182</f>
        <v>24</v>
      </c>
      <c r="G182" s="0" t="n">
        <f aca="false">ROUNDUP(F182/75,0)</f>
        <v>1</v>
      </c>
    </row>
    <row r="183" customFormat="false" ht="15" hidden="false" customHeight="false" outlineLevel="0" collapsed="false">
      <c r="A183" s="0" t="s">
        <v>33</v>
      </c>
      <c r="B183" s="0" t="s">
        <v>96</v>
      </c>
      <c r="C183" s="0" t="s">
        <v>753</v>
      </c>
      <c r="D183" s="0" t="n">
        <v>6</v>
      </c>
      <c r="E183" s="0" t="n">
        <v>4</v>
      </c>
      <c r="F183" s="0" t="n">
        <f aca="false">D183*E183</f>
        <v>24</v>
      </c>
      <c r="G183" s="0" t="n">
        <f aca="false">ROUNDUP(F183/75,0)</f>
        <v>1</v>
      </c>
    </row>
    <row r="184" customFormat="false" ht="15" hidden="false" customHeight="false" outlineLevel="0" collapsed="false">
      <c r="A184" s="0" t="s">
        <v>33</v>
      </c>
      <c r="B184" s="0" t="s">
        <v>96</v>
      </c>
      <c r="C184" s="0" t="s">
        <v>755</v>
      </c>
      <c r="D184" s="0" t="n">
        <v>6</v>
      </c>
      <c r="E184" s="0" t="n">
        <v>1</v>
      </c>
      <c r="F184" s="0" t="n">
        <f aca="false">D184*E184</f>
        <v>6</v>
      </c>
      <c r="G184" s="0" t="n">
        <f aca="false">ROUNDUP(F184/75,0)</f>
        <v>1</v>
      </c>
    </row>
    <row r="185" customFormat="false" ht="15" hidden="false" customHeight="false" outlineLevel="0" collapsed="false">
      <c r="A185" s="0" t="s">
        <v>33</v>
      </c>
      <c r="B185" s="0" t="s">
        <v>97</v>
      </c>
      <c r="C185" s="0" t="s">
        <v>756</v>
      </c>
      <c r="D185" s="0" t="n">
        <v>12</v>
      </c>
      <c r="E185" s="0" t="n">
        <v>3</v>
      </c>
      <c r="F185" s="0" t="n">
        <f aca="false">D185*E185</f>
        <v>36</v>
      </c>
      <c r="G185" s="0" t="n">
        <f aca="false">ROUNDUP(F185/75,0)</f>
        <v>1</v>
      </c>
    </row>
    <row r="186" customFormat="false" ht="15" hidden="false" customHeight="false" outlineLevel="0" collapsed="false">
      <c r="A186" s="0" t="s">
        <v>33</v>
      </c>
      <c r="B186" s="0" t="s">
        <v>97</v>
      </c>
      <c r="C186" s="0" t="s">
        <v>757</v>
      </c>
      <c r="D186" s="0" t="n">
        <v>6</v>
      </c>
      <c r="E186" s="0" t="n">
        <v>1</v>
      </c>
      <c r="F186" s="0" t="n">
        <f aca="false">D186*E186</f>
        <v>6</v>
      </c>
      <c r="G186" s="0" t="n">
        <f aca="false">ROUNDUP(F186/75,0)</f>
        <v>1</v>
      </c>
    </row>
    <row r="187" customFormat="false" ht="15" hidden="false" customHeight="false" outlineLevel="0" collapsed="false">
      <c r="A187" s="0" t="s">
        <v>33</v>
      </c>
      <c r="B187" s="0" t="s">
        <v>97</v>
      </c>
      <c r="C187" s="0" t="s">
        <v>753</v>
      </c>
      <c r="D187" s="0" t="n">
        <v>6</v>
      </c>
      <c r="E187" s="0" t="n">
        <v>3</v>
      </c>
      <c r="F187" s="0" t="n">
        <f aca="false">D187*E187</f>
        <v>18</v>
      </c>
      <c r="G187" s="0" t="n">
        <f aca="false">ROUNDUP(F187/75,0)</f>
        <v>1</v>
      </c>
    </row>
    <row r="188" customFormat="false" ht="15" hidden="false" customHeight="false" outlineLevel="0" collapsed="false">
      <c r="A188" s="0" t="s">
        <v>33</v>
      </c>
      <c r="B188" s="0" t="s">
        <v>97</v>
      </c>
      <c r="C188" s="0" t="s">
        <v>755</v>
      </c>
      <c r="D188" s="0" t="n">
        <v>6</v>
      </c>
      <c r="E188" s="0" t="n">
        <v>6</v>
      </c>
      <c r="F188" s="0" t="n">
        <f aca="false">D188*E188</f>
        <v>36</v>
      </c>
      <c r="G188" s="0" t="n">
        <f aca="false">ROUNDUP(F188/75,0)</f>
        <v>1</v>
      </c>
    </row>
    <row r="189" customFormat="false" ht="15" hidden="false" customHeight="false" outlineLevel="0" collapsed="false">
      <c r="A189" s="0" t="s">
        <v>33</v>
      </c>
      <c r="B189" s="0" t="s">
        <v>98</v>
      </c>
      <c r="C189" s="0" t="s">
        <v>756</v>
      </c>
      <c r="D189" s="0" t="n">
        <v>12</v>
      </c>
      <c r="E189" s="0" t="n">
        <v>2</v>
      </c>
      <c r="F189" s="0" t="n">
        <f aca="false">D189*E189</f>
        <v>24</v>
      </c>
      <c r="G189" s="0" t="n">
        <f aca="false">ROUNDUP(F189/75,0)</f>
        <v>1</v>
      </c>
    </row>
    <row r="190" customFormat="false" ht="15" hidden="false" customHeight="false" outlineLevel="0" collapsed="false">
      <c r="A190" s="0" t="s">
        <v>33</v>
      </c>
      <c r="B190" s="0" t="s">
        <v>98</v>
      </c>
      <c r="C190" s="0" t="s">
        <v>753</v>
      </c>
      <c r="D190" s="0" t="n">
        <v>6</v>
      </c>
      <c r="E190" s="0" t="n">
        <v>5</v>
      </c>
      <c r="F190" s="0" t="n">
        <f aca="false">D190*E190</f>
        <v>30</v>
      </c>
      <c r="G190" s="0" t="n">
        <f aca="false">ROUNDUP(F190/75,0)</f>
        <v>1</v>
      </c>
    </row>
    <row r="191" customFormat="false" ht="15" hidden="false" customHeight="false" outlineLevel="0" collapsed="false">
      <c r="A191" s="0" t="s">
        <v>33</v>
      </c>
      <c r="B191" s="0" t="s">
        <v>98</v>
      </c>
      <c r="C191" s="0" t="s">
        <v>755</v>
      </c>
      <c r="D191" s="0" t="n">
        <v>6</v>
      </c>
      <c r="E191" s="0" t="n">
        <v>10</v>
      </c>
      <c r="F191" s="0" t="n">
        <f aca="false">D191*E191</f>
        <v>60</v>
      </c>
      <c r="G191" s="0" t="n">
        <f aca="false">ROUNDUP(F191/75,0)</f>
        <v>1</v>
      </c>
    </row>
    <row r="192" customFormat="false" ht="15" hidden="false" customHeight="false" outlineLevel="0" collapsed="false">
      <c r="A192" s="0" t="s">
        <v>33</v>
      </c>
      <c r="B192" s="0" t="s">
        <v>99</v>
      </c>
      <c r="C192" s="0" t="s">
        <v>753</v>
      </c>
      <c r="D192" s="0" t="n">
        <v>6</v>
      </c>
      <c r="E192" s="0" t="n">
        <v>6</v>
      </c>
      <c r="F192" s="0" t="n">
        <f aca="false">D192*E192</f>
        <v>36</v>
      </c>
      <c r="G192" s="0" t="n">
        <f aca="false">ROUNDUP(F192/75,0)</f>
        <v>1</v>
      </c>
    </row>
    <row r="193" customFormat="false" ht="15" hidden="false" customHeight="false" outlineLevel="0" collapsed="false">
      <c r="A193" s="0" t="s">
        <v>33</v>
      </c>
      <c r="B193" s="0" t="s">
        <v>99</v>
      </c>
      <c r="C193" s="0" t="s">
        <v>755</v>
      </c>
      <c r="D193" s="0" t="n">
        <v>6</v>
      </c>
      <c r="E193" s="0" t="n">
        <v>3</v>
      </c>
      <c r="F193" s="0" t="n">
        <f aca="false">D193*E193</f>
        <v>18</v>
      </c>
      <c r="G193" s="0" t="n">
        <f aca="false">ROUNDUP(F193/75,0)</f>
        <v>1</v>
      </c>
    </row>
    <row r="194" customFormat="false" ht="15" hidden="false" customHeight="false" outlineLevel="0" collapsed="false">
      <c r="A194" s="0" t="s">
        <v>33</v>
      </c>
      <c r="B194" s="0" t="s">
        <v>100</v>
      </c>
      <c r="C194" s="0" t="s">
        <v>756</v>
      </c>
      <c r="D194" s="0" t="n">
        <v>12</v>
      </c>
      <c r="E194" s="0" t="n">
        <v>1</v>
      </c>
      <c r="F194" s="0" t="n">
        <f aca="false">D194*E194</f>
        <v>12</v>
      </c>
      <c r="G194" s="0" t="n">
        <f aca="false">ROUNDUP(F194/75,0)</f>
        <v>1</v>
      </c>
    </row>
    <row r="195" customFormat="false" ht="15" hidden="false" customHeight="false" outlineLevel="0" collapsed="false">
      <c r="A195" s="0" t="s">
        <v>33</v>
      </c>
      <c r="B195" s="0" t="s">
        <v>100</v>
      </c>
      <c r="C195" s="0" t="s">
        <v>757</v>
      </c>
      <c r="D195" s="0" t="n">
        <v>6</v>
      </c>
      <c r="E195" s="0" t="n">
        <v>2</v>
      </c>
      <c r="F195" s="0" t="n">
        <f aca="false">D195*E195</f>
        <v>12</v>
      </c>
      <c r="G195" s="0" t="n">
        <f aca="false">ROUNDUP(F195/75,0)</f>
        <v>1</v>
      </c>
    </row>
    <row r="196" customFormat="false" ht="15" hidden="false" customHeight="false" outlineLevel="0" collapsed="false">
      <c r="A196" s="0" t="s">
        <v>33</v>
      </c>
      <c r="B196" s="0" t="s">
        <v>100</v>
      </c>
      <c r="C196" s="0" t="s">
        <v>753</v>
      </c>
      <c r="D196" s="0" t="n">
        <v>6</v>
      </c>
      <c r="E196" s="0" t="n">
        <v>4</v>
      </c>
      <c r="F196" s="0" t="n">
        <f aca="false">D196*E196</f>
        <v>24</v>
      </c>
      <c r="G196" s="0" t="n">
        <f aca="false">ROUNDUP(F196/75,0)</f>
        <v>1</v>
      </c>
    </row>
    <row r="197" customFormat="false" ht="15" hidden="false" customHeight="false" outlineLevel="0" collapsed="false">
      <c r="A197" s="0" t="s">
        <v>33</v>
      </c>
      <c r="B197" s="0" t="s">
        <v>100</v>
      </c>
      <c r="C197" s="0" t="s">
        <v>755</v>
      </c>
      <c r="D197" s="0" t="n">
        <v>6</v>
      </c>
      <c r="E197" s="0" t="n">
        <v>3</v>
      </c>
      <c r="F197" s="0" t="n">
        <f aca="false">D197*E197</f>
        <v>18</v>
      </c>
      <c r="G197" s="0" t="n">
        <f aca="false">ROUNDUP(F197/75,0)</f>
        <v>1</v>
      </c>
    </row>
    <row r="198" customFormat="false" ht="15" hidden="false" customHeight="false" outlineLevel="0" collapsed="false">
      <c r="A198" s="0" t="s">
        <v>33</v>
      </c>
      <c r="B198" s="0" t="s">
        <v>101</v>
      </c>
      <c r="C198" s="0" t="s">
        <v>756</v>
      </c>
      <c r="D198" s="0" t="n">
        <v>12</v>
      </c>
      <c r="E198" s="0" t="n">
        <v>3</v>
      </c>
      <c r="F198" s="0" t="n">
        <f aca="false">D198*E198</f>
        <v>36</v>
      </c>
      <c r="G198" s="0" t="n">
        <f aca="false">ROUNDUP(F198/75,0)</f>
        <v>1</v>
      </c>
    </row>
    <row r="199" customFormat="false" ht="15" hidden="false" customHeight="false" outlineLevel="0" collapsed="false">
      <c r="A199" s="0" t="s">
        <v>33</v>
      </c>
      <c r="B199" s="0" t="s">
        <v>101</v>
      </c>
      <c r="C199" s="0" t="s">
        <v>757</v>
      </c>
      <c r="D199" s="0" t="n">
        <v>6</v>
      </c>
      <c r="E199" s="0" t="n">
        <v>2</v>
      </c>
      <c r="F199" s="0" t="n">
        <f aca="false">D199*E199</f>
        <v>12</v>
      </c>
      <c r="G199" s="0" t="n">
        <f aca="false">ROUNDUP(F199/75,0)</f>
        <v>1</v>
      </c>
    </row>
    <row r="200" customFormat="false" ht="15" hidden="false" customHeight="false" outlineLevel="0" collapsed="false">
      <c r="A200" s="0" t="s">
        <v>33</v>
      </c>
      <c r="B200" s="0" t="s">
        <v>101</v>
      </c>
      <c r="C200" s="0" t="s">
        <v>755</v>
      </c>
      <c r="D200" s="0" t="n">
        <v>6</v>
      </c>
      <c r="E200" s="0" t="n">
        <v>3</v>
      </c>
      <c r="F200" s="0" t="n">
        <f aca="false">D200*E200</f>
        <v>18</v>
      </c>
      <c r="G200" s="0" t="n">
        <f aca="false">ROUNDUP(F200/75,0)</f>
        <v>1</v>
      </c>
    </row>
    <row r="201" customFormat="false" ht="15" hidden="false" customHeight="false" outlineLevel="0" collapsed="false">
      <c r="A201" s="0" t="s">
        <v>33</v>
      </c>
      <c r="B201" s="0" t="s">
        <v>102</v>
      </c>
      <c r="C201" s="0" t="s">
        <v>756</v>
      </c>
      <c r="D201" s="0" t="n">
        <v>12</v>
      </c>
      <c r="E201" s="0" t="n">
        <v>2</v>
      </c>
      <c r="F201" s="0" t="n">
        <f aca="false">D201*E201</f>
        <v>24</v>
      </c>
      <c r="G201" s="0" t="n">
        <f aca="false">ROUNDUP(F201/75,0)</f>
        <v>1</v>
      </c>
    </row>
    <row r="202" customFormat="false" ht="15" hidden="false" customHeight="false" outlineLevel="0" collapsed="false">
      <c r="A202" s="0" t="s">
        <v>33</v>
      </c>
      <c r="B202" s="0" t="s">
        <v>102</v>
      </c>
      <c r="C202" s="0" t="s">
        <v>757</v>
      </c>
      <c r="D202" s="0" t="n">
        <v>6</v>
      </c>
      <c r="E202" s="0" t="n">
        <v>4</v>
      </c>
      <c r="F202" s="0" t="n">
        <f aca="false">D202*E202</f>
        <v>24</v>
      </c>
      <c r="G202" s="0" t="n">
        <f aca="false">ROUNDUP(F202/75,0)</f>
        <v>1</v>
      </c>
    </row>
    <row r="203" customFormat="false" ht="15" hidden="false" customHeight="false" outlineLevel="0" collapsed="false">
      <c r="A203" s="0" t="s">
        <v>33</v>
      </c>
      <c r="B203" s="0" t="s">
        <v>102</v>
      </c>
      <c r="C203" s="0" t="s">
        <v>753</v>
      </c>
      <c r="D203" s="0" t="n">
        <v>6</v>
      </c>
      <c r="E203" s="0" t="n">
        <v>2</v>
      </c>
      <c r="F203" s="0" t="n">
        <f aca="false">D203*E203</f>
        <v>12</v>
      </c>
      <c r="G203" s="0" t="n">
        <f aca="false">ROUNDUP(F203/75,0)</f>
        <v>1</v>
      </c>
    </row>
    <row r="204" customFormat="false" ht="15" hidden="false" customHeight="false" outlineLevel="0" collapsed="false">
      <c r="A204" s="0" t="s">
        <v>33</v>
      </c>
      <c r="B204" s="0" t="s">
        <v>102</v>
      </c>
      <c r="C204" s="0" t="s">
        <v>755</v>
      </c>
      <c r="D204" s="0" t="n">
        <v>6</v>
      </c>
      <c r="E204" s="0" t="n">
        <v>6</v>
      </c>
      <c r="F204" s="0" t="n">
        <f aca="false">D204*E204</f>
        <v>36</v>
      </c>
      <c r="G204" s="0" t="n">
        <f aca="false">ROUNDUP(F204/75,0)</f>
        <v>1</v>
      </c>
    </row>
    <row r="205" customFormat="false" ht="15" hidden="false" customHeight="false" outlineLevel="0" collapsed="false">
      <c r="A205" s="0" t="s">
        <v>33</v>
      </c>
      <c r="B205" s="0" t="s">
        <v>103</v>
      </c>
      <c r="C205" s="0" t="s">
        <v>756</v>
      </c>
      <c r="D205" s="0" t="n">
        <v>12</v>
      </c>
      <c r="E205" s="0" t="n">
        <v>3</v>
      </c>
      <c r="F205" s="0" t="n">
        <f aca="false">D205*E205</f>
        <v>36</v>
      </c>
      <c r="G205" s="0" t="n">
        <f aca="false">ROUNDUP(F205/75,0)</f>
        <v>1</v>
      </c>
    </row>
    <row r="206" customFormat="false" ht="15" hidden="false" customHeight="false" outlineLevel="0" collapsed="false">
      <c r="A206" s="0" t="s">
        <v>33</v>
      </c>
      <c r="B206" s="0" t="s">
        <v>103</v>
      </c>
      <c r="C206" s="0" t="s">
        <v>757</v>
      </c>
      <c r="D206" s="0" t="n">
        <v>6</v>
      </c>
      <c r="E206" s="0" t="n">
        <v>1</v>
      </c>
      <c r="F206" s="0" t="n">
        <f aca="false">D206*E206</f>
        <v>6</v>
      </c>
      <c r="G206" s="0" t="n">
        <f aca="false">ROUNDUP(F206/75,0)</f>
        <v>1</v>
      </c>
    </row>
    <row r="207" customFormat="false" ht="15" hidden="false" customHeight="false" outlineLevel="0" collapsed="false">
      <c r="A207" s="0" t="s">
        <v>33</v>
      </c>
      <c r="B207" s="0" t="s">
        <v>103</v>
      </c>
      <c r="C207" s="0" t="s">
        <v>753</v>
      </c>
      <c r="D207" s="0" t="n">
        <v>6</v>
      </c>
      <c r="E207" s="0" t="n">
        <v>4</v>
      </c>
      <c r="F207" s="0" t="n">
        <f aca="false">D207*E207</f>
        <v>24</v>
      </c>
      <c r="G207" s="0" t="n">
        <f aca="false">ROUNDUP(F207/75,0)</f>
        <v>1</v>
      </c>
    </row>
    <row r="208" customFormat="false" ht="15" hidden="false" customHeight="false" outlineLevel="0" collapsed="false">
      <c r="A208" s="0" t="s">
        <v>33</v>
      </c>
      <c r="B208" s="0" t="s">
        <v>103</v>
      </c>
      <c r="C208" s="0" t="s">
        <v>755</v>
      </c>
      <c r="D208" s="0" t="n">
        <v>6</v>
      </c>
      <c r="E208" s="0" t="n">
        <v>6</v>
      </c>
      <c r="F208" s="0" t="n">
        <f aca="false">D208*E208</f>
        <v>36</v>
      </c>
      <c r="G208" s="0" t="n">
        <f aca="false">ROUNDUP(F208/75,0)</f>
        <v>1</v>
      </c>
    </row>
    <row r="209" customFormat="false" ht="15" hidden="false" customHeight="false" outlineLevel="0" collapsed="false">
      <c r="A209" s="0" t="s">
        <v>33</v>
      </c>
      <c r="B209" s="0" t="s">
        <v>104</v>
      </c>
      <c r="C209" s="0" t="s">
        <v>756</v>
      </c>
      <c r="D209" s="0" t="n">
        <v>12</v>
      </c>
      <c r="E209" s="0" t="n">
        <v>2</v>
      </c>
      <c r="F209" s="0" t="n">
        <f aca="false">D209*E209</f>
        <v>24</v>
      </c>
      <c r="G209" s="0" t="n">
        <f aca="false">ROUNDUP(F209/75,0)</f>
        <v>1</v>
      </c>
    </row>
    <row r="210" customFormat="false" ht="15" hidden="false" customHeight="false" outlineLevel="0" collapsed="false">
      <c r="A210" s="0" t="s">
        <v>33</v>
      </c>
      <c r="B210" s="0" t="s">
        <v>104</v>
      </c>
      <c r="C210" s="0" t="s">
        <v>757</v>
      </c>
      <c r="D210" s="0" t="n">
        <v>6</v>
      </c>
      <c r="E210" s="0" t="n">
        <v>2</v>
      </c>
      <c r="F210" s="0" t="n">
        <f aca="false">D210*E210</f>
        <v>12</v>
      </c>
      <c r="G210" s="0" t="n">
        <f aca="false">ROUNDUP(F210/75,0)</f>
        <v>1</v>
      </c>
    </row>
    <row r="211" customFormat="false" ht="15" hidden="false" customHeight="false" outlineLevel="0" collapsed="false">
      <c r="A211" s="0" t="s">
        <v>33</v>
      </c>
      <c r="B211" s="0" t="s">
        <v>104</v>
      </c>
      <c r="C211" s="0" t="s">
        <v>755</v>
      </c>
      <c r="D211" s="0" t="n">
        <v>6</v>
      </c>
      <c r="E211" s="0" t="n">
        <v>2</v>
      </c>
      <c r="F211" s="0" t="n">
        <f aca="false">D211*E211</f>
        <v>12</v>
      </c>
      <c r="G211" s="0" t="n">
        <f aca="false">ROUNDUP(F211/75,0)</f>
        <v>1</v>
      </c>
    </row>
    <row r="212" customFormat="false" ht="15" hidden="false" customHeight="false" outlineLevel="0" collapsed="false">
      <c r="A212" s="0" t="s">
        <v>33</v>
      </c>
      <c r="B212" s="0" t="s">
        <v>105</v>
      </c>
      <c r="C212" s="0" t="s">
        <v>756</v>
      </c>
      <c r="D212" s="0" t="n">
        <v>12</v>
      </c>
      <c r="E212" s="0" t="n">
        <v>1</v>
      </c>
      <c r="F212" s="0" t="n">
        <f aca="false">D212*E212</f>
        <v>12</v>
      </c>
      <c r="G212" s="0" t="n">
        <f aca="false">ROUNDUP(F212/75,0)</f>
        <v>1</v>
      </c>
    </row>
    <row r="213" customFormat="false" ht="15" hidden="false" customHeight="false" outlineLevel="0" collapsed="false">
      <c r="A213" s="0" t="s">
        <v>33</v>
      </c>
      <c r="B213" s="0" t="s">
        <v>105</v>
      </c>
      <c r="C213" s="0" t="s">
        <v>755</v>
      </c>
      <c r="D213" s="0" t="n">
        <v>6</v>
      </c>
      <c r="E213" s="0" t="n">
        <v>1</v>
      </c>
      <c r="F213" s="0" t="n">
        <f aca="false">D213*E213</f>
        <v>6</v>
      </c>
      <c r="G213" s="0" t="n">
        <f aca="false">ROUNDUP(F213/75,0)</f>
        <v>1</v>
      </c>
    </row>
    <row r="214" customFormat="false" ht="15" hidden="false" customHeight="false" outlineLevel="0" collapsed="false">
      <c r="A214" s="0" t="s">
        <v>33</v>
      </c>
      <c r="B214" s="0" t="s">
        <v>106</v>
      </c>
      <c r="C214" s="0" t="s">
        <v>753</v>
      </c>
      <c r="D214" s="0" t="n">
        <v>6</v>
      </c>
      <c r="E214" s="0" t="n">
        <v>4</v>
      </c>
      <c r="F214" s="0" t="n">
        <f aca="false">D214*E214</f>
        <v>24</v>
      </c>
      <c r="G214" s="0" t="n">
        <f aca="false">ROUNDUP(F214/75,0)</f>
        <v>1</v>
      </c>
    </row>
    <row r="215" customFormat="false" ht="15" hidden="false" customHeight="false" outlineLevel="0" collapsed="false">
      <c r="A215" s="0" t="s">
        <v>33</v>
      </c>
      <c r="B215" s="0" t="s">
        <v>106</v>
      </c>
      <c r="C215" s="0" t="s">
        <v>755</v>
      </c>
      <c r="D215" s="0" t="n">
        <v>6</v>
      </c>
      <c r="E215" s="0" t="n">
        <v>1</v>
      </c>
      <c r="F215" s="0" t="n">
        <f aca="false">D215*E215</f>
        <v>6</v>
      </c>
      <c r="G215" s="0" t="n">
        <f aca="false">ROUNDUP(F215/75,0)</f>
        <v>1</v>
      </c>
    </row>
    <row r="216" customFormat="false" ht="15" hidden="false" customHeight="false" outlineLevel="0" collapsed="false">
      <c r="A216" s="0" t="s">
        <v>33</v>
      </c>
      <c r="B216" s="0" t="s">
        <v>107</v>
      </c>
      <c r="C216" s="0" t="s">
        <v>753</v>
      </c>
      <c r="D216" s="0" t="n">
        <v>6</v>
      </c>
      <c r="E216" s="0" t="n">
        <v>5</v>
      </c>
      <c r="F216" s="0" t="n">
        <f aca="false">D216*E216</f>
        <v>30</v>
      </c>
      <c r="G216" s="0" t="n">
        <f aca="false">ROUNDUP(F216/75,0)</f>
        <v>1</v>
      </c>
    </row>
    <row r="217" customFormat="false" ht="15" hidden="false" customHeight="false" outlineLevel="0" collapsed="false">
      <c r="A217" s="0" t="s">
        <v>33</v>
      </c>
      <c r="B217" s="0" t="s">
        <v>108</v>
      </c>
      <c r="C217" s="0" t="s">
        <v>757</v>
      </c>
      <c r="D217" s="0" t="n">
        <v>6</v>
      </c>
      <c r="E217" s="0" t="n">
        <v>5</v>
      </c>
      <c r="F217" s="0" t="n">
        <f aca="false">D217*E217</f>
        <v>30</v>
      </c>
      <c r="G217" s="0" t="n">
        <f aca="false">ROUNDUP(F217/75,0)</f>
        <v>1</v>
      </c>
    </row>
    <row r="218" customFormat="false" ht="15" hidden="false" customHeight="false" outlineLevel="0" collapsed="false">
      <c r="A218" s="0" t="s">
        <v>33</v>
      </c>
      <c r="B218" s="0" t="s">
        <v>108</v>
      </c>
      <c r="C218" s="0" t="s">
        <v>755</v>
      </c>
      <c r="D218" s="0" t="n">
        <v>6</v>
      </c>
      <c r="E218" s="0" t="n">
        <v>5</v>
      </c>
      <c r="F218" s="0" t="n">
        <f aca="false">D218*E218</f>
        <v>30</v>
      </c>
      <c r="G218" s="0" t="n">
        <f aca="false">ROUNDUP(F218/75,0)</f>
        <v>1</v>
      </c>
    </row>
    <row r="219" customFormat="false" ht="15" hidden="false" customHeight="false" outlineLevel="0" collapsed="false">
      <c r="A219" s="0" t="s">
        <v>33</v>
      </c>
      <c r="B219" s="0" t="s">
        <v>109</v>
      </c>
      <c r="C219" s="0" t="s">
        <v>756</v>
      </c>
      <c r="D219" s="0" t="n">
        <v>12</v>
      </c>
      <c r="E219" s="0" t="n">
        <v>4</v>
      </c>
      <c r="F219" s="0" t="n">
        <f aca="false">D219*E219</f>
        <v>48</v>
      </c>
      <c r="G219" s="0" t="n">
        <f aca="false">ROUNDUP(F219/75,0)</f>
        <v>1</v>
      </c>
    </row>
    <row r="220" customFormat="false" ht="15" hidden="false" customHeight="false" outlineLevel="0" collapsed="false">
      <c r="A220" s="0" t="s">
        <v>33</v>
      </c>
      <c r="B220" s="0" t="s">
        <v>109</v>
      </c>
      <c r="C220" s="0" t="s">
        <v>757</v>
      </c>
      <c r="D220" s="0" t="n">
        <v>6</v>
      </c>
      <c r="E220" s="0" t="n">
        <v>1</v>
      </c>
      <c r="F220" s="0" t="n">
        <f aca="false">D220*E220</f>
        <v>6</v>
      </c>
      <c r="G220" s="0" t="n">
        <f aca="false">ROUNDUP(F220/75,0)</f>
        <v>1</v>
      </c>
    </row>
    <row r="221" customFormat="false" ht="15" hidden="false" customHeight="false" outlineLevel="0" collapsed="false">
      <c r="A221" s="0" t="s">
        <v>33</v>
      </c>
      <c r="B221" s="0" t="s">
        <v>109</v>
      </c>
      <c r="C221" s="0" t="s">
        <v>753</v>
      </c>
      <c r="D221" s="0" t="n">
        <v>6</v>
      </c>
      <c r="E221" s="0" t="n">
        <v>8</v>
      </c>
      <c r="F221" s="0" t="n">
        <f aca="false">D221*E221</f>
        <v>48</v>
      </c>
      <c r="G221" s="0" t="n">
        <f aca="false">ROUNDUP(F221/75,0)</f>
        <v>1</v>
      </c>
    </row>
    <row r="222" customFormat="false" ht="15" hidden="false" customHeight="false" outlineLevel="0" collapsed="false">
      <c r="A222" s="0" t="s">
        <v>33</v>
      </c>
      <c r="B222" s="0" t="s">
        <v>109</v>
      </c>
      <c r="C222" s="0" t="s">
        <v>755</v>
      </c>
      <c r="D222" s="0" t="n">
        <v>6</v>
      </c>
      <c r="E222" s="0" t="n">
        <v>4</v>
      </c>
      <c r="F222" s="0" t="n">
        <f aca="false">D222*E222</f>
        <v>24</v>
      </c>
      <c r="G222" s="0" t="n">
        <f aca="false">ROUNDUP(F222/75,0)</f>
        <v>1</v>
      </c>
    </row>
    <row r="223" customFormat="false" ht="15" hidden="false" customHeight="false" outlineLevel="0" collapsed="false">
      <c r="A223" s="0" t="s">
        <v>33</v>
      </c>
      <c r="B223" s="0" t="s">
        <v>110</v>
      </c>
      <c r="C223" s="0" t="s">
        <v>756</v>
      </c>
      <c r="D223" s="0" t="n">
        <v>12</v>
      </c>
      <c r="E223" s="0" t="n">
        <v>3</v>
      </c>
      <c r="F223" s="0" t="n">
        <f aca="false">D223*E223</f>
        <v>36</v>
      </c>
      <c r="G223" s="0" t="n">
        <f aca="false">ROUNDUP(F223/75,0)</f>
        <v>1</v>
      </c>
    </row>
    <row r="224" customFormat="false" ht="15" hidden="false" customHeight="false" outlineLevel="0" collapsed="false">
      <c r="A224" s="0" t="s">
        <v>33</v>
      </c>
      <c r="B224" s="0" t="s">
        <v>110</v>
      </c>
      <c r="C224" s="0" t="s">
        <v>757</v>
      </c>
      <c r="D224" s="0" t="n">
        <v>6</v>
      </c>
      <c r="E224" s="0" t="n">
        <v>3</v>
      </c>
      <c r="F224" s="0" t="n">
        <f aca="false">D224*E224</f>
        <v>18</v>
      </c>
      <c r="G224" s="0" t="n">
        <f aca="false">ROUNDUP(F224/75,0)</f>
        <v>1</v>
      </c>
    </row>
    <row r="225" customFormat="false" ht="15" hidden="false" customHeight="false" outlineLevel="0" collapsed="false">
      <c r="A225" s="0" t="s">
        <v>33</v>
      </c>
      <c r="B225" s="0" t="s">
        <v>110</v>
      </c>
      <c r="C225" s="0" t="s">
        <v>753</v>
      </c>
      <c r="D225" s="0" t="n">
        <v>6</v>
      </c>
      <c r="E225" s="0" t="n">
        <v>4</v>
      </c>
      <c r="F225" s="0" t="n">
        <f aca="false">D225*E225</f>
        <v>24</v>
      </c>
      <c r="G225" s="0" t="n">
        <f aca="false">ROUNDUP(F225/75,0)</f>
        <v>1</v>
      </c>
    </row>
    <row r="226" customFormat="false" ht="15" hidden="false" customHeight="false" outlineLevel="0" collapsed="false">
      <c r="A226" s="0" t="s">
        <v>33</v>
      </c>
      <c r="B226" s="0" t="s">
        <v>110</v>
      </c>
      <c r="C226" s="0" t="s">
        <v>755</v>
      </c>
      <c r="D226" s="0" t="n">
        <v>6</v>
      </c>
      <c r="E226" s="0" t="n">
        <v>2</v>
      </c>
      <c r="F226" s="0" t="n">
        <f aca="false">D226*E226</f>
        <v>12</v>
      </c>
      <c r="G226" s="0" t="n">
        <f aca="false">ROUNDUP(F226/75,0)</f>
        <v>1</v>
      </c>
    </row>
    <row r="227" customFormat="false" ht="15" hidden="false" customHeight="false" outlineLevel="0" collapsed="false">
      <c r="A227" s="0" t="s">
        <v>33</v>
      </c>
      <c r="B227" s="0" t="s">
        <v>111</v>
      </c>
      <c r="C227" s="0" t="s">
        <v>756</v>
      </c>
      <c r="D227" s="0" t="n">
        <v>12</v>
      </c>
      <c r="E227" s="0" t="n">
        <v>1</v>
      </c>
      <c r="F227" s="0" t="n">
        <f aca="false">D227*E227</f>
        <v>12</v>
      </c>
      <c r="G227" s="0" t="n">
        <f aca="false">ROUNDUP(F227/75,0)</f>
        <v>1</v>
      </c>
    </row>
    <row r="228" customFormat="false" ht="15" hidden="false" customHeight="false" outlineLevel="0" collapsed="false">
      <c r="A228" s="0" t="s">
        <v>33</v>
      </c>
      <c r="B228" s="0" t="s">
        <v>111</v>
      </c>
      <c r="C228" s="0" t="s">
        <v>757</v>
      </c>
      <c r="D228" s="0" t="n">
        <v>6</v>
      </c>
      <c r="E228" s="0" t="n">
        <v>2</v>
      </c>
      <c r="F228" s="0" t="n">
        <f aca="false">D228*E228</f>
        <v>12</v>
      </c>
      <c r="G228" s="0" t="n">
        <f aca="false">ROUNDUP(F228/75,0)</f>
        <v>1</v>
      </c>
    </row>
    <row r="229" customFormat="false" ht="15" hidden="false" customHeight="false" outlineLevel="0" collapsed="false">
      <c r="A229" s="0" t="s">
        <v>33</v>
      </c>
      <c r="B229" s="0" t="s">
        <v>111</v>
      </c>
      <c r="C229" s="0" t="s">
        <v>753</v>
      </c>
      <c r="D229" s="0" t="n">
        <v>6</v>
      </c>
      <c r="E229" s="0" t="n">
        <v>10</v>
      </c>
      <c r="F229" s="0" t="n">
        <f aca="false">D229*E229</f>
        <v>60</v>
      </c>
      <c r="G229" s="0" t="n">
        <f aca="false">ROUNDUP(F229/75,0)</f>
        <v>1</v>
      </c>
    </row>
    <row r="230" customFormat="false" ht="15" hidden="false" customHeight="false" outlineLevel="0" collapsed="false">
      <c r="A230" s="0" t="s">
        <v>33</v>
      </c>
      <c r="B230" s="0" t="s">
        <v>111</v>
      </c>
      <c r="C230" s="0" t="s">
        <v>755</v>
      </c>
      <c r="D230" s="0" t="n">
        <v>6</v>
      </c>
      <c r="E230" s="0" t="n">
        <v>2</v>
      </c>
      <c r="F230" s="0" t="n">
        <f aca="false">D230*E230</f>
        <v>12</v>
      </c>
      <c r="G230" s="0" t="n">
        <f aca="false">ROUNDUP(F230/75,0)</f>
        <v>1</v>
      </c>
    </row>
    <row r="231" customFormat="false" ht="15" hidden="false" customHeight="false" outlineLevel="0" collapsed="false">
      <c r="A231" s="0" t="s">
        <v>33</v>
      </c>
      <c r="B231" s="0" t="s">
        <v>112</v>
      </c>
      <c r="C231" s="0" t="s">
        <v>757</v>
      </c>
      <c r="D231" s="0" t="n">
        <v>6</v>
      </c>
      <c r="E231" s="0" t="n">
        <v>1</v>
      </c>
      <c r="F231" s="0" t="n">
        <f aca="false">D231*E231</f>
        <v>6</v>
      </c>
      <c r="G231" s="0" t="n">
        <f aca="false">ROUNDUP(F231/75,0)</f>
        <v>1</v>
      </c>
    </row>
    <row r="232" customFormat="false" ht="15" hidden="false" customHeight="false" outlineLevel="0" collapsed="false">
      <c r="A232" s="0" t="s">
        <v>33</v>
      </c>
      <c r="B232" s="0" t="s">
        <v>112</v>
      </c>
      <c r="C232" s="0" t="s">
        <v>755</v>
      </c>
      <c r="D232" s="0" t="n">
        <v>6</v>
      </c>
      <c r="E232" s="0" t="n">
        <v>8</v>
      </c>
      <c r="F232" s="0" t="n">
        <f aca="false">D232*E232</f>
        <v>48</v>
      </c>
      <c r="G232" s="0" t="n">
        <f aca="false">ROUNDUP(F232/75,0)</f>
        <v>1</v>
      </c>
    </row>
    <row r="233" customFormat="false" ht="15" hidden="false" customHeight="false" outlineLevel="0" collapsed="false">
      <c r="A233" s="0" t="s">
        <v>33</v>
      </c>
      <c r="B233" s="0" t="s">
        <v>113</v>
      </c>
      <c r="C233" s="0" t="s">
        <v>756</v>
      </c>
      <c r="D233" s="0" t="n">
        <v>12</v>
      </c>
      <c r="E233" s="0" t="n">
        <v>3</v>
      </c>
      <c r="F233" s="0" t="n">
        <f aca="false">D233*E233</f>
        <v>36</v>
      </c>
      <c r="G233" s="0" t="n">
        <f aca="false">ROUNDUP(F233/75,0)</f>
        <v>1</v>
      </c>
    </row>
    <row r="234" customFormat="false" ht="15" hidden="false" customHeight="false" outlineLevel="0" collapsed="false">
      <c r="A234" s="0" t="s">
        <v>33</v>
      </c>
      <c r="B234" s="0" t="s">
        <v>113</v>
      </c>
      <c r="C234" s="0" t="s">
        <v>753</v>
      </c>
      <c r="D234" s="0" t="n">
        <v>6</v>
      </c>
      <c r="E234" s="0" t="n">
        <v>4</v>
      </c>
      <c r="F234" s="0" t="n">
        <f aca="false">D234*E234</f>
        <v>24</v>
      </c>
      <c r="G234" s="0" t="n">
        <f aca="false">ROUNDUP(F234/75,0)</f>
        <v>1</v>
      </c>
    </row>
    <row r="235" customFormat="false" ht="15" hidden="false" customHeight="false" outlineLevel="0" collapsed="false">
      <c r="A235" s="0" t="s">
        <v>33</v>
      </c>
      <c r="B235" s="0" t="s">
        <v>113</v>
      </c>
      <c r="C235" s="0" t="s">
        <v>755</v>
      </c>
      <c r="D235" s="0" t="n">
        <v>6</v>
      </c>
      <c r="E235" s="0" t="n">
        <v>7</v>
      </c>
      <c r="F235" s="0" t="n">
        <f aca="false">D235*E235</f>
        <v>42</v>
      </c>
      <c r="G235" s="0" t="n">
        <f aca="false">ROUNDUP(F235/75,0)</f>
        <v>1</v>
      </c>
    </row>
    <row r="236" customFormat="false" ht="15" hidden="false" customHeight="false" outlineLevel="0" collapsed="false">
      <c r="A236" s="0" t="s">
        <v>33</v>
      </c>
      <c r="B236" s="0" t="s">
        <v>114</v>
      </c>
      <c r="C236" s="0" t="s">
        <v>756</v>
      </c>
      <c r="D236" s="0" t="n">
        <v>12</v>
      </c>
      <c r="E236" s="0" t="n">
        <v>2</v>
      </c>
      <c r="F236" s="0" t="n">
        <f aca="false">D236*E236</f>
        <v>24</v>
      </c>
      <c r="G236" s="0" t="n">
        <f aca="false">ROUNDUP(F236/75,0)</f>
        <v>1</v>
      </c>
    </row>
    <row r="237" customFormat="false" ht="15" hidden="false" customHeight="false" outlineLevel="0" collapsed="false">
      <c r="A237" s="0" t="s">
        <v>33</v>
      </c>
      <c r="B237" s="0" t="s">
        <v>114</v>
      </c>
      <c r="C237" s="0" t="s">
        <v>753</v>
      </c>
      <c r="D237" s="0" t="n">
        <v>6</v>
      </c>
      <c r="E237" s="0" t="n">
        <v>6</v>
      </c>
      <c r="F237" s="0" t="n">
        <f aca="false">D237*E237</f>
        <v>36</v>
      </c>
      <c r="G237" s="0" t="n">
        <f aca="false">ROUNDUP(F237/75,0)</f>
        <v>1</v>
      </c>
    </row>
    <row r="238" customFormat="false" ht="15" hidden="false" customHeight="false" outlineLevel="0" collapsed="false">
      <c r="A238" s="0" t="s">
        <v>33</v>
      </c>
      <c r="B238" s="0" t="s">
        <v>114</v>
      </c>
      <c r="C238" s="0" t="s">
        <v>755</v>
      </c>
      <c r="D238" s="0" t="n">
        <v>6</v>
      </c>
      <c r="E238" s="0" t="n">
        <v>4</v>
      </c>
      <c r="F238" s="0" t="n">
        <f aca="false">D238*E238</f>
        <v>24</v>
      </c>
      <c r="G238" s="0" t="n">
        <f aca="false">ROUNDUP(F238/75,0)</f>
        <v>1</v>
      </c>
    </row>
    <row r="239" customFormat="false" ht="15" hidden="false" customHeight="false" outlineLevel="0" collapsed="false">
      <c r="A239" s="0" t="s">
        <v>33</v>
      </c>
      <c r="B239" s="0" t="s">
        <v>115</v>
      </c>
      <c r="C239" s="0" t="s">
        <v>756</v>
      </c>
      <c r="D239" s="0" t="n">
        <v>12</v>
      </c>
      <c r="E239" s="0" t="n">
        <v>1</v>
      </c>
      <c r="F239" s="0" t="n">
        <f aca="false">D239*E239</f>
        <v>12</v>
      </c>
      <c r="G239" s="0" t="n">
        <f aca="false">ROUNDUP(F239/75,0)</f>
        <v>1</v>
      </c>
    </row>
    <row r="240" customFormat="false" ht="15" hidden="false" customHeight="false" outlineLevel="0" collapsed="false">
      <c r="A240" s="0" t="s">
        <v>33</v>
      </c>
      <c r="B240" s="0" t="s">
        <v>115</v>
      </c>
      <c r="C240" s="0" t="s">
        <v>753</v>
      </c>
      <c r="D240" s="0" t="n">
        <v>6</v>
      </c>
      <c r="E240" s="0" t="n">
        <v>1</v>
      </c>
      <c r="F240" s="0" t="n">
        <f aca="false">D240*E240</f>
        <v>6</v>
      </c>
      <c r="G240" s="0" t="n">
        <f aca="false">ROUNDUP(F240/75,0)</f>
        <v>1</v>
      </c>
    </row>
    <row r="241" customFormat="false" ht="15" hidden="false" customHeight="false" outlineLevel="0" collapsed="false">
      <c r="A241" s="0" t="s">
        <v>33</v>
      </c>
      <c r="B241" s="0" t="s">
        <v>115</v>
      </c>
      <c r="C241" s="0" t="s">
        <v>755</v>
      </c>
      <c r="D241" s="0" t="n">
        <v>6</v>
      </c>
      <c r="E241" s="0" t="n">
        <v>2</v>
      </c>
      <c r="F241" s="0" t="n">
        <f aca="false">D241*E241</f>
        <v>12</v>
      </c>
      <c r="G241" s="0" t="n">
        <f aca="false">ROUNDUP(F241/75,0)</f>
        <v>1</v>
      </c>
    </row>
    <row r="242" customFormat="false" ht="15" hidden="false" customHeight="false" outlineLevel="0" collapsed="false">
      <c r="A242" s="0" t="s">
        <v>33</v>
      </c>
      <c r="B242" s="0" t="s">
        <v>116</v>
      </c>
      <c r="C242" s="0" t="s">
        <v>756</v>
      </c>
      <c r="D242" s="0" t="n">
        <v>12</v>
      </c>
      <c r="E242" s="0" t="n">
        <v>4</v>
      </c>
      <c r="F242" s="0" t="n">
        <f aca="false">D242*E242</f>
        <v>48</v>
      </c>
      <c r="G242" s="0" t="n">
        <f aca="false">ROUNDUP(F242/75,0)</f>
        <v>1</v>
      </c>
    </row>
    <row r="243" customFormat="false" ht="15" hidden="false" customHeight="false" outlineLevel="0" collapsed="false">
      <c r="A243" s="0" t="s">
        <v>33</v>
      </c>
      <c r="B243" s="0" t="s">
        <v>116</v>
      </c>
      <c r="C243" s="0" t="s">
        <v>753</v>
      </c>
      <c r="D243" s="0" t="n">
        <v>6</v>
      </c>
      <c r="E243" s="0" t="n">
        <v>8</v>
      </c>
      <c r="F243" s="0" t="n">
        <f aca="false">D243*E243</f>
        <v>48</v>
      </c>
      <c r="G243" s="0" t="n">
        <f aca="false">ROUNDUP(F243/75,0)</f>
        <v>1</v>
      </c>
    </row>
    <row r="244" customFormat="false" ht="15" hidden="false" customHeight="false" outlineLevel="0" collapsed="false">
      <c r="A244" s="0" t="s">
        <v>33</v>
      </c>
      <c r="B244" s="0" t="s">
        <v>116</v>
      </c>
      <c r="C244" s="0" t="s">
        <v>755</v>
      </c>
      <c r="D244" s="0" t="n">
        <v>6</v>
      </c>
      <c r="E244" s="0" t="n">
        <v>2</v>
      </c>
      <c r="F244" s="0" t="n">
        <f aca="false">D244*E244</f>
        <v>12</v>
      </c>
      <c r="G244" s="0" t="n">
        <f aca="false">ROUNDUP(F244/75,0)</f>
        <v>1</v>
      </c>
    </row>
    <row r="245" customFormat="false" ht="15" hidden="false" customHeight="false" outlineLevel="0" collapsed="false">
      <c r="A245" s="0" t="s">
        <v>33</v>
      </c>
      <c r="B245" s="0" t="s">
        <v>117</v>
      </c>
      <c r="C245" s="0" t="s">
        <v>756</v>
      </c>
      <c r="D245" s="0" t="n">
        <v>12</v>
      </c>
      <c r="E245" s="0" t="n">
        <v>3</v>
      </c>
      <c r="F245" s="0" t="n">
        <f aca="false">D245*E245</f>
        <v>36</v>
      </c>
      <c r="G245" s="0" t="n">
        <f aca="false">ROUNDUP(F245/75,0)</f>
        <v>1</v>
      </c>
    </row>
    <row r="246" customFormat="false" ht="15" hidden="false" customHeight="false" outlineLevel="0" collapsed="false">
      <c r="A246" s="0" t="s">
        <v>33</v>
      </c>
      <c r="B246" s="0" t="s">
        <v>117</v>
      </c>
      <c r="C246" s="0" t="s">
        <v>757</v>
      </c>
      <c r="D246" s="0" t="n">
        <v>6</v>
      </c>
      <c r="E246" s="0" t="n">
        <v>2</v>
      </c>
      <c r="F246" s="0" t="n">
        <f aca="false">D246*E246</f>
        <v>12</v>
      </c>
      <c r="G246" s="0" t="n">
        <f aca="false">ROUNDUP(F246/75,0)</f>
        <v>1</v>
      </c>
    </row>
    <row r="247" customFormat="false" ht="15" hidden="false" customHeight="false" outlineLevel="0" collapsed="false">
      <c r="A247" s="0" t="s">
        <v>33</v>
      </c>
      <c r="B247" s="0" t="s">
        <v>117</v>
      </c>
      <c r="C247" s="0" t="s">
        <v>753</v>
      </c>
      <c r="D247" s="0" t="n">
        <v>6</v>
      </c>
      <c r="E247" s="0" t="n">
        <v>3</v>
      </c>
      <c r="F247" s="0" t="n">
        <f aca="false">D247*E247</f>
        <v>18</v>
      </c>
      <c r="G247" s="0" t="n">
        <f aca="false">ROUNDUP(F247/75,0)</f>
        <v>1</v>
      </c>
    </row>
    <row r="248" customFormat="false" ht="15" hidden="false" customHeight="false" outlineLevel="0" collapsed="false">
      <c r="A248" s="0" t="s">
        <v>33</v>
      </c>
      <c r="B248" s="0" t="s">
        <v>117</v>
      </c>
      <c r="C248" s="0" t="s">
        <v>755</v>
      </c>
      <c r="D248" s="0" t="n">
        <v>6</v>
      </c>
      <c r="E248" s="0" t="n">
        <v>1</v>
      </c>
      <c r="F248" s="0" t="n">
        <f aca="false">D248*E248</f>
        <v>6</v>
      </c>
      <c r="G248" s="0" t="n">
        <f aca="false">ROUNDUP(F248/75,0)</f>
        <v>1</v>
      </c>
    </row>
    <row r="249" customFormat="false" ht="15" hidden="false" customHeight="false" outlineLevel="0" collapsed="false">
      <c r="A249" s="0" t="s">
        <v>33</v>
      </c>
      <c r="B249" s="0" t="s">
        <v>118</v>
      </c>
      <c r="C249" s="0" t="s">
        <v>757</v>
      </c>
      <c r="D249" s="0" t="n">
        <v>6</v>
      </c>
      <c r="E249" s="0" t="n">
        <v>1</v>
      </c>
      <c r="F249" s="0" t="n">
        <f aca="false">D249*E249</f>
        <v>6</v>
      </c>
      <c r="G249" s="0" t="n">
        <f aca="false">ROUNDUP(F249/75,0)</f>
        <v>1</v>
      </c>
    </row>
    <row r="250" customFormat="false" ht="15" hidden="false" customHeight="false" outlineLevel="0" collapsed="false">
      <c r="A250" s="0" t="s">
        <v>33</v>
      </c>
      <c r="B250" s="0" t="s">
        <v>118</v>
      </c>
      <c r="C250" s="0" t="s">
        <v>753</v>
      </c>
      <c r="D250" s="0" t="n">
        <v>6</v>
      </c>
      <c r="E250" s="0" t="n">
        <v>6</v>
      </c>
      <c r="F250" s="0" t="n">
        <f aca="false">D250*E250</f>
        <v>36</v>
      </c>
      <c r="G250" s="0" t="n">
        <f aca="false">ROUNDUP(F250/75,0)</f>
        <v>1</v>
      </c>
    </row>
    <row r="251" customFormat="false" ht="15" hidden="false" customHeight="false" outlineLevel="0" collapsed="false">
      <c r="A251" s="0" t="s">
        <v>33</v>
      </c>
      <c r="B251" s="0" t="s">
        <v>118</v>
      </c>
      <c r="C251" s="0" t="s">
        <v>755</v>
      </c>
      <c r="D251" s="0" t="n">
        <v>6</v>
      </c>
      <c r="E251" s="0" t="n">
        <v>1</v>
      </c>
      <c r="F251" s="0" t="n">
        <f aca="false">D251*E251</f>
        <v>6</v>
      </c>
      <c r="G251" s="0" t="n">
        <f aca="false">ROUNDUP(F251/75,0)</f>
        <v>1</v>
      </c>
    </row>
    <row r="252" customFormat="false" ht="15" hidden="false" customHeight="false" outlineLevel="0" collapsed="false">
      <c r="A252" s="0" t="s">
        <v>33</v>
      </c>
      <c r="B252" s="0" t="s">
        <v>119</v>
      </c>
      <c r="C252" s="0" t="s">
        <v>757</v>
      </c>
      <c r="D252" s="0" t="n">
        <v>6</v>
      </c>
      <c r="E252" s="0" t="n">
        <v>1</v>
      </c>
      <c r="F252" s="0" t="n">
        <f aca="false">D252*E252</f>
        <v>6</v>
      </c>
      <c r="G252" s="0" t="n">
        <f aca="false">ROUNDUP(F252/75,0)</f>
        <v>1</v>
      </c>
    </row>
    <row r="253" customFormat="false" ht="15" hidden="false" customHeight="false" outlineLevel="0" collapsed="false">
      <c r="A253" s="0" t="s">
        <v>33</v>
      </c>
      <c r="B253" s="0" t="s">
        <v>119</v>
      </c>
      <c r="C253" s="0" t="s">
        <v>753</v>
      </c>
      <c r="D253" s="0" t="n">
        <v>6</v>
      </c>
      <c r="E253" s="0" t="n">
        <v>4</v>
      </c>
      <c r="F253" s="0" t="n">
        <f aca="false">D253*E253</f>
        <v>24</v>
      </c>
      <c r="G253" s="0" t="n">
        <f aca="false">ROUNDUP(F253/75,0)</f>
        <v>1</v>
      </c>
    </row>
    <row r="254" customFormat="false" ht="15" hidden="false" customHeight="false" outlineLevel="0" collapsed="false">
      <c r="A254" s="0" t="s">
        <v>33</v>
      </c>
      <c r="B254" s="0" t="s">
        <v>120</v>
      </c>
      <c r="C254" s="0" t="s">
        <v>756</v>
      </c>
      <c r="D254" s="0" t="n">
        <v>12</v>
      </c>
      <c r="E254" s="0" t="n">
        <v>1</v>
      </c>
      <c r="F254" s="0" t="n">
        <f aca="false">D254*E254</f>
        <v>12</v>
      </c>
      <c r="G254" s="0" t="n">
        <f aca="false">ROUNDUP(F254/75,0)</f>
        <v>1</v>
      </c>
    </row>
    <row r="255" customFormat="false" ht="15" hidden="false" customHeight="false" outlineLevel="0" collapsed="false">
      <c r="A255" s="0" t="s">
        <v>33</v>
      </c>
      <c r="B255" s="0" t="s">
        <v>120</v>
      </c>
      <c r="C255" s="0" t="s">
        <v>757</v>
      </c>
      <c r="D255" s="0" t="n">
        <v>6</v>
      </c>
      <c r="E255" s="0" t="n">
        <v>2</v>
      </c>
      <c r="F255" s="0" t="n">
        <f aca="false">D255*E255</f>
        <v>12</v>
      </c>
      <c r="G255" s="0" t="n">
        <f aca="false">ROUNDUP(F255/75,0)</f>
        <v>1</v>
      </c>
    </row>
    <row r="256" customFormat="false" ht="15" hidden="false" customHeight="false" outlineLevel="0" collapsed="false">
      <c r="A256" s="0" t="s">
        <v>33</v>
      </c>
      <c r="B256" s="0" t="s">
        <v>120</v>
      </c>
      <c r="C256" s="0" t="s">
        <v>753</v>
      </c>
      <c r="D256" s="0" t="n">
        <v>6</v>
      </c>
      <c r="E256" s="0" t="n">
        <v>3</v>
      </c>
      <c r="F256" s="0" t="n">
        <f aca="false">D256*E256</f>
        <v>18</v>
      </c>
      <c r="G256" s="0" t="n">
        <f aca="false">ROUNDUP(F256/75,0)</f>
        <v>1</v>
      </c>
    </row>
    <row r="257" customFormat="false" ht="15" hidden="false" customHeight="false" outlineLevel="0" collapsed="false">
      <c r="A257" s="0" t="s">
        <v>33</v>
      </c>
      <c r="B257" s="0" t="s">
        <v>120</v>
      </c>
      <c r="C257" s="0" t="s">
        <v>755</v>
      </c>
      <c r="D257" s="0" t="n">
        <v>6</v>
      </c>
      <c r="E257" s="0" t="n">
        <v>7</v>
      </c>
      <c r="F257" s="0" t="n">
        <f aca="false">D257*E257</f>
        <v>42</v>
      </c>
      <c r="G257" s="0" t="n">
        <f aca="false">ROUNDUP(F257/75,0)</f>
        <v>1</v>
      </c>
    </row>
    <row r="258" customFormat="false" ht="15" hidden="false" customHeight="false" outlineLevel="0" collapsed="false">
      <c r="A258" s="0" t="s">
        <v>33</v>
      </c>
      <c r="B258" s="0" t="s">
        <v>121</v>
      </c>
      <c r="C258" s="0" t="s">
        <v>756</v>
      </c>
      <c r="D258" s="0" t="n">
        <v>12</v>
      </c>
      <c r="E258" s="0" t="n">
        <v>5</v>
      </c>
      <c r="F258" s="0" t="n">
        <f aca="false">D258*E258</f>
        <v>60</v>
      </c>
      <c r="G258" s="0" t="n">
        <f aca="false">ROUNDUP(F258/75,0)</f>
        <v>1</v>
      </c>
    </row>
    <row r="259" customFormat="false" ht="15" hidden="false" customHeight="false" outlineLevel="0" collapsed="false">
      <c r="A259" s="0" t="s">
        <v>33</v>
      </c>
      <c r="B259" s="0" t="s">
        <v>121</v>
      </c>
      <c r="C259" s="0" t="s">
        <v>753</v>
      </c>
      <c r="D259" s="0" t="n">
        <v>6</v>
      </c>
      <c r="E259" s="0" t="n">
        <v>2</v>
      </c>
      <c r="F259" s="0" t="n">
        <f aca="false">D259*E259</f>
        <v>12</v>
      </c>
      <c r="G259" s="0" t="n">
        <f aca="false">ROUNDUP(F259/75,0)</f>
        <v>1</v>
      </c>
    </row>
    <row r="260" customFormat="false" ht="15" hidden="false" customHeight="false" outlineLevel="0" collapsed="false">
      <c r="A260" s="0" t="s">
        <v>33</v>
      </c>
      <c r="B260" s="0" t="s">
        <v>121</v>
      </c>
      <c r="C260" s="0" t="s">
        <v>755</v>
      </c>
      <c r="D260" s="0" t="n">
        <v>6</v>
      </c>
      <c r="E260" s="0" t="n">
        <v>4</v>
      </c>
      <c r="F260" s="0" t="n">
        <f aca="false">D260*E260</f>
        <v>24</v>
      </c>
      <c r="G260" s="0" t="n">
        <f aca="false">ROUNDUP(F260/75,0)</f>
        <v>1</v>
      </c>
    </row>
    <row r="261" customFormat="false" ht="15" hidden="false" customHeight="false" outlineLevel="0" collapsed="false">
      <c r="A261" s="0" t="s">
        <v>33</v>
      </c>
      <c r="B261" s="0" t="s">
        <v>122</v>
      </c>
      <c r="C261" s="0" t="s">
        <v>756</v>
      </c>
      <c r="D261" s="0" t="n">
        <v>12</v>
      </c>
      <c r="E261" s="0" t="n">
        <v>4</v>
      </c>
      <c r="F261" s="0" t="n">
        <f aca="false">D261*E261</f>
        <v>48</v>
      </c>
      <c r="G261" s="0" t="n">
        <f aca="false">ROUNDUP(F261/75,0)</f>
        <v>1</v>
      </c>
    </row>
    <row r="262" customFormat="false" ht="15" hidden="false" customHeight="false" outlineLevel="0" collapsed="false">
      <c r="A262" s="0" t="s">
        <v>33</v>
      </c>
      <c r="B262" s="0" t="s">
        <v>122</v>
      </c>
      <c r="C262" s="0" t="s">
        <v>757</v>
      </c>
      <c r="D262" s="0" t="n">
        <v>6</v>
      </c>
      <c r="E262" s="0" t="n">
        <v>1</v>
      </c>
      <c r="F262" s="0" t="n">
        <f aca="false">D262*E262</f>
        <v>6</v>
      </c>
      <c r="G262" s="0" t="n">
        <f aca="false">ROUNDUP(F262/75,0)</f>
        <v>1</v>
      </c>
    </row>
    <row r="263" customFormat="false" ht="15" hidden="false" customHeight="false" outlineLevel="0" collapsed="false">
      <c r="A263" s="0" t="s">
        <v>33</v>
      </c>
      <c r="B263" s="0" t="s">
        <v>122</v>
      </c>
      <c r="C263" s="0" t="s">
        <v>753</v>
      </c>
      <c r="D263" s="0" t="n">
        <v>6</v>
      </c>
      <c r="E263" s="0" t="n">
        <v>8</v>
      </c>
      <c r="F263" s="0" t="n">
        <f aca="false">D263*E263</f>
        <v>48</v>
      </c>
      <c r="G263" s="0" t="n">
        <f aca="false">ROUNDUP(F263/75,0)</f>
        <v>1</v>
      </c>
    </row>
    <row r="264" customFormat="false" ht="15" hidden="false" customHeight="false" outlineLevel="0" collapsed="false">
      <c r="A264" s="0" t="s">
        <v>33</v>
      </c>
      <c r="B264" s="0" t="s">
        <v>122</v>
      </c>
      <c r="C264" s="0" t="s">
        <v>755</v>
      </c>
      <c r="D264" s="0" t="n">
        <v>6</v>
      </c>
      <c r="E264" s="0" t="n">
        <v>3</v>
      </c>
      <c r="F264" s="0" t="n">
        <f aca="false">D264*E264</f>
        <v>18</v>
      </c>
      <c r="G264" s="0" t="n">
        <f aca="false">ROUNDUP(F264/75,0)</f>
        <v>1</v>
      </c>
    </row>
    <row r="265" customFormat="false" ht="15" hidden="false" customHeight="false" outlineLevel="0" collapsed="false">
      <c r="A265" s="0" t="s">
        <v>33</v>
      </c>
      <c r="B265" s="0" t="s">
        <v>123</v>
      </c>
      <c r="C265" s="0" t="s">
        <v>753</v>
      </c>
      <c r="D265" s="0" t="n">
        <v>6</v>
      </c>
      <c r="E265" s="0" t="n">
        <v>3</v>
      </c>
      <c r="F265" s="0" t="n">
        <f aca="false">D265*E265</f>
        <v>18</v>
      </c>
      <c r="G265" s="0" t="n">
        <f aca="false">ROUNDUP(F265/75,0)</f>
        <v>1</v>
      </c>
    </row>
    <row r="266" customFormat="false" ht="15" hidden="false" customHeight="false" outlineLevel="0" collapsed="false">
      <c r="A266" s="0" t="s">
        <v>33</v>
      </c>
      <c r="B266" s="0" t="s">
        <v>123</v>
      </c>
      <c r="C266" s="0" t="s">
        <v>755</v>
      </c>
      <c r="D266" s="0" t="n">
        <v>6</v>
      </c>
      <c r="E266" s="0" t="n">
        <v>1</v>
      </c>
      <c r="F266" s="0" t="n">
        <f aca="false">D266*E266</f>
        <v>6</v>
      </c>
      <c r="G266" s="0" t="n">
        <f aca="false">ROUNDUP(F266/75,0)</f>
        <v>1</v>
      </c>
    </row>
    <row r="267" customFormat="false" ht="15" hidden="false" customHeight="false" outlineLevel="0" collapsed="false">
      <c r="A267" s="0" t="s">
        <v>33</v>
      </c>
      <c r="B267" s="0" t="s">
        <v>124</v>
      </c>
      <c r="C267" s="0" t="s">
        <v>756</v>
      </c>
      <c r="D267" s="0" t="n">
        <v>12</v>
      </c>
      <c r="E267" s="0" t="n">
        <v>4</v>
      </c>
      <c r="F267" s="0" t="n">
        <f aca="false">D267*E267</f>
        <v>48</v>
      </c>
      <c r="G267" s="0" t="n">
        <f aca="false">ROUNDUP(F267/75,0)</f>
        <v>1</v>
      </c>
    </row>
    <row r="268" customFormat="false" ht="15" hidden="false" customHeight="false" outlineLevel="0" collapsed="false">
      <c r="A268" s="0" t="s">
        <v>33</v>
      </c>
      <c r="B268" s="0" t="s">
        <v>124</v>
      </c>
      <c r="C268" s="0" t="s">
        <v>757</v>
      </c>
      <c r="D268" s="0" t="n">
        <v>6</v>
      </c>
      <c r="E268" s="0" t="n">
        <v>5</v>
      </c>
      <c r="F268" s="0" t="n">
        <f aca="false">D268*E268</f>
        <v>30</v>
      </c>
      <c r="G268" s="0" t="n">
        <f aca="false">ROUNDUP(F268/75,0)</f>
        <v>1</v>
      </c>
    </row>
    <row r="269" customFormat="false" ht="15" hidden="false" customHeight="false" outlineLevel="0" collapsed="false">
      <c r="A269" s="0" t="s">
        <v>33</v>
      </c>
      <c r="B269" s="0" t="s">
        <v>124</v>
      </c>
      <c r="C269" s="0" t="s">
        <v>753</v>
      </c>
      <c r="D269" s="0" t="n">
        <v>6</v>
      </c>
      <c r="E269" s="0" t="n">
        <v>5</v>
      </c>
      <c r="F269" s="0" t="n">
        <f aca="false">D269*E269</f>
        <v>30</v>
      </c>
      <c r="G269" s="0" t="n">
        <f aca="false">ROUNDUP(F269/75,0)</f>
        <v>1</v>
      </c>
    </row>
    <row r="270" customFormat="false" ht="15" hidden="false" customHeight="false" outlineLevel="0" collapsed="false">
      <c r="A270" s="0" t="s">
        <v>33</v>
      </c>
      <c r="B270" s="0" t="s">
        <v>124</v>
      </c>
      <c r="C270" s="0" t="s">
        <v>755</v>
      </c>
      <c r="D270" s="0" t="n">
        <v>6</v>
      </c>
      <c r="E270" s="0" t="n">
        <v>3</v>
      </c>
      <c r="F270" s="0" t="n">
        <f aca="false">D270*E270</f>
        <v>18</v>
      </c>
      <c r="G270" s="0" t="n">
        <f aca="false">ROUNDUP(F270/75,0)</f>
        <v>1</v>
      </c>
    </row>
    <row r="271" customFormat="false" ht="15" hidden="false" customHeight="false" outlineLevel="0" collapsed="false">
      <c r="A271" s="0" t="s">
        <v>33</v>
      </c>
      <c r="B271" s="0" t="s">
        <v>125</v>
      </c>
      <c r="C271" s="0" t="s">
        <v>756</v>
      </c>
      <c r="D271" s="0" t="n">
        <v>12</v>
      </c>
      <c r="E271" s="0" t="n">
        <v>1</v>
      </c>
      <c r="F271" s="0" t="n">
        <f aca="false">D271*E271</f>
        <v>12</v>
      </c>
      <c r="G271" s="0" t="n">
        <f aca="false">ROUNDUP(F271/75,0)</f>
        <v>1</v>
      </c>
    </row>
    <row r="272" customFormat="false" ht="15" hidden="false" customHeight="false" outlineLevel="0" collapsed="false">
      <c r="A272" s="0" t="s">
        <v>33</v>
      </c>
      <c r="B272" s="0" t="s">
        <v>125</v>
      </c>
      <c r="C272" s="0" t="s">
        <v>757</v>
      </c>
      <c r="D272" s="0" t="n">
        <v>6</v>
      </c>
      <c r="E272" s="0" t="n">
        <v>2</v>
      </c>
      <c r="F272" s="0" t="n">
        <f aca="false">D272*E272</f>
        <v>12</v>
      </c>
      <c r="G272" s="0" t="n">
        <f aca="false">ROUNDUP(F272/75,0)</f>
        <v>1</v>
      </c>
    </row>
    <row r="273" customFormat="false" ht="15" hidden="false" customHeight="false" outlineLevel="0" collapsed="false">
      <c r="A273" s="0" t="s">
        <v>33</v>
      </c>
      <c r="B273" s="0" t="s">
        <v>125</v>
      </c>
      <c r="C273" s="0" t="s">
        <v>753</v>
      </c>
      <c r="D273" s="0" t="n">
        <v>6</v>
      </c>
      <c r="E273" s="0" t="n">
        <v>5</v>
      </c>
      <c r="F273" s="0" t="n">
        <f aca="false">D273*E273</f>
        <v>30</v>
      </c>
      <c r="G273" s="0" t="n">
        <f aca="false">ROUNDUP(F273/75,0)</f>
        <v>1</v>
      </c>
    </row>
    <row r="274" customFormat="false" ht="15" hidden="false" customHeight="false" outlineLevel="0" collapsed="false">
      <c r="A274" s="0" t="s">
        <v>33</v>
      </c>
      <c r="B274" s="0" t="s">
        <v>125</v>
      </c>
      <c r="C274" s="0" t="s">
        <v>755</v>
      </c>
      <c r="D274" s="0" t="n">
        <v>6</v>
      </c>
      <c r="E274" s="0" t="n">
        <v>1</v>
      </c>
      <c r="F274" s="0" t="n">
        <f aca="false">D274*E274</f>
        <v>6</v>
      </c>
      <c r="G274" s="0" t="n">
        <f aca="false">ROUNDUP(F274/75,0)</f>
        <v>1</v>
      </c>
    </row>
    <row r="275" customFormat="false" ht="15" hidden="false" customHeight="false" outlineLevel="0" collapsed="false">
      <c r="A275" s="0" t="s">
        <v>33</v>
      </c>
      <c r="B275" s="0" t="s">
        <v>126</v>
      </c>
      <c r="C275" s="0" t="s">
        <v>757</v>
      </c>
      <c r="D275" s="0" t="n">
        <v>6</v>
      </c>
      <c r="E275" s="0" t="n">
        <v>1</v>
      </c>
      <c r="F275" s="0" t="n">
        <f aca="false">D275*E275</f>
        <v>6</v>
      </c>
      <c r="G275" s="0" t="n">
        <f aca="false">ROUNDUP(F275/75,0)</f>
        <v>1</v>
      </c>
    </row>
    <row r="276" customFormat="false" ht="15" hidden="false" customHeight="false" outlineLevel="0" collapsed="false">
      <c r="A276" s="0" t="s">
        <v>33</v>
      </c>
      <c r="B276" s="0" t="s">
        <v>126</v>
      </c>
      <c r="C276" s="0" t="s">
        <v>753</v>
      </c>
      <c r="D276" s="0" t="n">
        <v>6</v>
      </c>
      <c r="E276" s="0" t="n">
        <v>1</v>
      </c>
      <c r="F276" s="0" t="n">
        <f aca="false">D276*E276</f>
        <v>6</v>
      </c>
      <c r="G276" s="0" t="n">
        <f aca="false">ROUNDUP(F276/75,0)</f>
        <v>1</v>
      </c>
    </row>
    <row r="277" customFormat="false" ht="15" hidden="false" customHeight="false" outlineLevel="0" collapsed="false">
      <c r="A277" s="0" t="s">
        <v>33</v>
      </c>
      <c r="B277" s="0" t="s">
        <v>126</v>
      </c>
      <c r="C277" s="0" t="s">
        <v>755</v>
      </c>
      <c r="D277" s="0" t="n">
        <v>6</v>
      </c>
      <c r="E277" s="0" t="n">
        <v>7</v>
      </c>
      <c r="F277" s="0" t="n">
        <f aca="false">D277*E277</f>
        <v>42</v>
      </c>
      <c r="G277" s="0" t="n">
        <f aca="false">ROUNDUP(F277/75,0)</f>
        <v>1</v>
      </c>
    </row>
    <row r="278" customFormat="false" ht="15" hidden="false" customHeight="false" outlineLevel="0" collapsed="false">
      <c r="A278" s="0" t="s">
        <v>33</v>
      </c>
      <c r="B278" s="0" t="s">
        <v>127</v>
      </c>
      <c r="C278" s="0" t="s">
        <v>757</v>
      </c>
      <c r="D278" s="0" t="n">
        <v>6</v>
      </c>
      <c r="E278" s="0" t="n">
        <v>1</v>
      </c>
      <c r="F278" s="0" t="n">
        <f aca="false">D278*E278</f>
        <v>6</v>
      </c>
      <c r="G278" s="0" t="n">
        <f aca="false">ROUNDUP(F278/75,0)</f>
        <v>1</v>
      </c>
    </row>
    <row r="279" customFormat="false" ht="15" hidden="false" customHeight="false" outlineLevel="0" collapsed="false">
      <c r="A279" s="0" t="s">
        <v>33</v>
      </c>
      <c r="B279" s="0" t="s">
        <v>127</v>
      </c>
      <c r="C279" s="0" t="s">
        <v>755</v>
      </c>
      <c r="D279" s="0" t="n">
        <v>6</v>
      </c>
      <c r="E279" s="0" t="n">
        <v>3</v>
      </c>
      <c r="F279" s="0" t="n">
        <f aca="false">D279*E279</f>
        <v>18</v>
      </c>
      <c r="G279" s="0" t="n">
        <f aca="false">ROUNDUP(F279/75,0)</f>
        <v>1</v>
      </c>
    </row>
    <row r="280" customFormat="false" ht="15" hidden="false" customHeight="false" outlineLevel="0" collapsed="false">
      <c r="A280" s="0" t="s">
        <v>33</v>
      </c>
      <c r="B280" s="0" t="s">
        <v>128</v>
      </c>
      <c r="C280" s="0" t="s">
        <v>756</v>
      </c>
      <c r="D280" s="0" t="n">
        <v>12</v>
      </c>
      <c r="E280" s="0" t="n">
        <v>2</v>
      </c>
      <c r="F280" s="0" t="n">
        <f aca="false">D280*E280</f>
        <v>24</v>
      </c>
      <c r="G280" s="0" t="n">
        <f aca="false">ROUNDUP(F280/75,0)</f>
        <v>1</v>
      </c>
    </row>
    <row r="281" customFormat="false" ht="15" hidden="false" customHeight="false" outlineLevel="0" collapsed="false">
      <c r="A281" s="0" t="s">
        <v>33</v>
      </c>
      <c r="B281" s="0" t="s">
        <v>128</v>
      </c>
      <c r="C281" s="0" t="s">
        <v>757</v>
      </c>
      <c r="D281" s="0" t="n">
        <v>6</v>
      </c>
      <c r="E281" s="0" t="n">
        <v>4</v>
      </c>
      <c r="F281" s="0" t="n">
        <f aca="false">D281*E281</f>
        <v>24</v>
      </c>
      <c r="G281" s="0" t="n">
        <f aca="false">ROUNDUP(F281/75,0)</f>
        <v>1</v>
      </c>
    </row>
    <row r="282" customFormat="false" ht="15" hidden="false" customHeight="false" outlineLevel="0" collapsed="false">
      <c r="A282" s="0" t="s">
        <v>33</v>
      </c>
      <c r="B282" s="0" t="s">
        <v>128</v>
      </c>
      <c r="C282" s="0" t="s">
        <v>753</v>
      </c>
      <c r="D282" s="0" t="n">
        <v>6</v>
      </c>
      <c r="E282" s="0" t="n">
        <v>3</v>
      </c>
      <c r="F282" s="0" t="n">
        <f aca="false">D282*E282</f>
        <v>18</v>
      </c>
      <c r="G282" s="0" t="n">
        <f aca="false">ROUNDUP(F282/75,0)</f>
        <v>1</v>
      </c>
    </row>
    <row r="283" customFormat="false" ht="15" hidden="false" customHeight="false" outlineLevel="0" collapsed="false">
      <c r="A283" s="0" t="s">
        <v>33</v>
      </c>
      <c r="B283" s="0" t="s">
        <v>128</v>
      </c>
      <c r="C283" s="0" t="s">
        <v>755</v>
      </c>
      <c r="D283" s="0" t="n">
        <v>6</v>
      </c>
      <c r="E283" s="0" t="n">
        <v>7</v>
      </c>
      <c r="F283" s="0" t="n">
        <f aca="false">D283*E283</f>
        <v>42</v>
      </c>
      <c r="G283" s="0" t="n">
        <f aca="false">ROUNDUP(F283/75,0)</f>
        <v>1</v>
      </c>
    </row>
    <row r="284" customFormat="false" ht="15" hidden="false" customHeight="false" outlineLevel="0" collapsed="false">
      <c r="A284" s="0" t="s">
        <v>33</v>
      </c>
      <c r="B284" s="0" t="s">
        <v>129</v>
      </c>
      <c r="C284" s="0" t="s">
        <v>756</v>
      </c>
      <c r="D284" s="0" t="n">
        <v>12</v>
      </c>
      <c r="E284" s="0" t="n">
        <v>4</v>
      </c>
      <c r="F284" s="0" t="n">
        <f aca="false">D284*E284</f>
        <v>48</v>
      </c>
      <c r="G284" s="0" t="n">
        <f aca="false">ROUNDUP(F284/75,0)</f>
        <v>1</v>
      </c>
    </row>
    <row r="285" customFormat="false" ht="15" hidden="false" customHeight="false" outlineLevel="0" collapsed="false">
      <c r="A285" s="0" t="s">
        <v>33</v>
      </c>
      <c r="B285" s="0" t="s">
        <v>129</v>
      </c>
      <c r="C285" s="0" t="s">
        <v>753</v>
      </c>
      <c r="D285" s="0" t="n">
        <v>6</v>
      </c>
      <c r="E285" s="0" t="n">
        <v>3</v>
      </c>
      <c r="F285" s="0" t="n">
        <f aca="false">D285*E285</f>
        <v>18</v>
      </c>
      <c r="G285" s="0" t="n">
        <f aca="false">ROUNDUP(F285/75,0)</f>
        <v>1</v>
      </c>
    </row>
    <row r="286" customFormat="false" ht="15" hidden="false" customHeight="false" outlineLevel="0" collapsed="false">
      <c r="A286" s="0" t="s">
        <v>33</v>
      </c>
      <c r="B286" s="0" t="s">
        <v>130</v>
      </c>
      <c r="C286" s="0" t="s">
        <v>756</v>
      </c>
      <c r="D286" s="0" t="n">
        <v>12</v>
      </c>
      <c r="E286" s="0" t="n">
        <v>3</v>
      </c>
      <c r="F286" s="0" t="n">
        <f aca="false">D286*E286</f>
        <v>36</v>
      </c>
      <c r="G286" s="0" t="n">
        <f aca="false">ROUNDUP(F286/75,0)</f>
        <v>1</v>
      </c>
    </row>
    <row r="287" customFormat="false" ht="15" hidden="false" customHeight="false" outlineLevel="0" collapsed="false">
      <c r="A287" s="0" t="s">
        <v>33</v>
      </c>
      <c r="B287" s="0" t="s">
        <v>130</v>
      </c>
      <c r="C287" s="0" t="s">
        <v>753</v>
      </c>
      <c r="D287" s="0" t="n">
        <v>6</v>
      </c>
      <c r="E287" s="0" t="n">
        <v>5</v>
      </c>
      <c r="F287" s="0" t="n">
        <f aca="false">D287*E287</f>
        <v>30</v>
      </c>
      <c r="G287" s="0" t="n">
        <f aca="false">ROUNDUP(F287/75,0)</f>
        <v>1</v>
      </c>
    </row>
    <row r="288" customFormat="false" ht="15" hidden="false" customHeight="false" outlineLevel="0" collapsed="false">
      <c r="A288" s="0" t="s">
        <v>33</v>
      </c>
      <c r="B288" s="0" t="s">
        <v>130</v>
      </c>
      <c r="C288" s="0" t="s">
        <v>755</v>
      </c>
      <c r="D288" s="0" t="n">
        <v>6</v>
      </c>
      <c r="E288" s="0" t="n">
        <v>1</v>
      </c>
      <c r="F288" s="0" t="n">
        <f aca="false">D288*E288</f>
        <v>6</v>
      </c>
      <c r="G288" s="0" t="n">
        <f aca="false">ROUNDUP(F288/75,0)</f>
        <v>1</v>
      </c>
    </row>
    <row r="289" customFormat="false" ht="15" hidden="false" customHeight="false" outlineLevel="0" collapsed="false">
      <c r="A289" s="0" t="s">
        <v>33</v>
      </c>
      <c r="B289" s="0" t="s">
        <v>131</v>
      </c>
      <c r="C289" s="0" t="s">
        <v>753</v>
      </c>
      <c r="D289" s="0" t="n">
        <v>6</v>
      </c>
      <c r="E289" s="0" t="n">
        <v>2</v>
      </c>
      <c r="F289" s="0" t="n">
        <f aca="false">D289*E289</f>
        <v>12</v>
      </c>
      <c r="G289" s="0" t="n">
        <f aca="false">ROUNDUP(F289/75,0)</f>
        <v>1</v>
      </c>
    </row>
    <row r="290" customFormat="false" ht="15" hidden="false" customHeight="false" outlineLevel="0" collapsed="false">
      <c r="A290" s="0" t="s">
        <v>33</v>
      </c>
      <c r="B290" s="0" t="s">
        <v>131</v>
      </c>
      <c r="C290" s="0" t="s">
        <v>755</v>
      </c>
      <c r="D290" s="0" t="n">
        <v>6</v>
      </c>
      <c r="E290" s="0" t="n">
        <v>3</v>
      </c>
      <c r="F290" s="0" t="n">
        <f aca="false">D290*E290</f>
        <v>18</v>
      </c>
      <c r="G290" s="0" t="n">
        <f aca="false">ROUNDUP(F290/75,0)</f>
        <v>1</v>
      </c>
    </row>
    <row r="291" customFormat="false" ht="15" hidden="false" customHeight="false" outlineLevel="0" collapsed="false">
      <c r="A291" s="0" t="s">
        <v>33</v>
      </c>
      <c r="B291" s="0" t="s">
        <v>132</v>
      </c>
      <c r="C291" s="0" t="s">
        <v>756</v>
      </c>
      <c r="D291" s="0" t="n">
        <v>12</v>
      </c>
      <c r="E291" s="0" t="n">
        <v>1</v>
      </c>
      <c r="F291" s="0" t="n">
        <f aca="false">D291*E291</f>
        <v>12</v>
      </c>
      <c r="G291" s="0" t="n">
        <f aca="false">ROUNDUP(F291/75,0)</f>
        <v>1</v>
      </c>
    </row>
    <row r="292" customFormat="false" ht="15" hidden="false" customHeight="false" outlineLevel="0" collapsed="false">
      <c r="A292" s="0" t="s">
        <v>33</v>
      </c>
      <c r="B292" s="0" t="s">
        <v>132</v>
      </c>
      <c r="C292" s="0" t="s">
        <v>757</v>
      </c>
      <c r="D292" s="0" t="n">
        <v>6</v>
      </c>
      <c r="E292" s="0" t="n">
        <v>1</v>
      </c>
      <c r="F292" s="0" t="n">
        <f aca="false">D292*E292</f>
        <v>6</v>
      </c>
      <c r="G292" s="0" t="n">
        <f aca="false">ROUNDUP(F292/75,0)</f>
        <v>1</v>
      </c>
    </row>
    <row r="293" customFormat="false" ht="15" hidden="false" customHeight="false" outlineLevel="0" collapsed="false">
      <c r="A293" s="0" t="s">
        <v>33</v>
      </c>
      <c r="B293" s="0" t="s">
        <v>132</v>
      </c>
      <c r="C293" s="0" t="s">
        <v>753</v>
      </c>
      <c r="D293" s="0" t="n">
        <v>6</v>
      </c>
      <c r="E293" s="0" t="n">
        <v>7</v>
      </c>
      <c r="F293" s="0" t="n">
        <f aca="false">D293*E293</f>
        <v>42</v>
      </c>
      <c r="G293" s="0" t="n">
        <f aca="false">ROUNDUP(F293/75,0)</f>
        <v>1</v>
      </c>
    </row>
    <row r="294" customFormat="false" ht="15" hidden="false" customHeight="false" outlineLevel="0" collapsed="false">
      <c r="A294" s="0" t="s">
        <v>33</v>
      </c>
      <c r="B294" s="0" t="s">
        <v>132</v>
      </c>
      <c r="C294" s="0" t="s">
        <v>755</v>
      </c>
      <c r="D294" s="0" t="n">
        <v>6</v>
      </c>
      <c r="E294" s="0" t="n">
        <v>9</v>
      </c>
      <c r="F294" s="0" t="n">
        <f aca="false">D294*E294</f>
        <v>54</v>
      </c>
      <c r="G294" s="0" t="n">
        <f aca="false">ROUNDUP(F294/75,0)</f>
        <v>1</v>
      </c>
    </row>
    <row r="295" customFormat="false" ht="15" hidden="false" customHeight="false" outlineLevel="0" collapsed="false">
      <c r="A295" s="0" t="s">
        <v>33</v>
      </c>
      <c r="B295" s="0" t="s">
        <v>133</v>
      </c>
      <c r="C295" s="0" t="s">
        <v>756</v>
      </c>
      <c r="D295" s="0" t="n">
        <v>12</v>
      </c>
      <c r="E295" s="0" t="n">
        <v>3</v>
      </c>
      <c r="F295" s="0" t="n">
        <f aca="false">D295*E295</f>
        <v>36</v>
      </c>
      <c r="G295" s="0" t="n">
        <f aca="false">ROUNDUP(F295/75,0)</f>
        <v>1</v>
      </c>
    </row>
    <row r="296" customFormat="false" ht="15" hidden="false" customHeight="false" outlineLevel="0" collapsed="false">
      <c r="A296" s="0" t="s">
        <v>33</v>
      </c>
      <c r="B296" s="0" t="s">
        <v>133</v>
      </c>
      <c r="C296" s="0" t="s">
        <v>757</v>
      </c>
      <c r="D296" s="0" t="n">
        <v>6</v>
      </c>
      <c r="E296" s="0" t="n">
        <v>1</v>
      </c>
      <c r="F296" s="0" t="n">
        <f aca="false">D296*E296</f>
        <v>6</v>
      </c>
      <c r="G296" s="0" t="n">
        <f aca="false">ROUNDUP(F296/75,0)</f>
        <v>1</v>
      </c>
    </row>
    <row r="297" customFormat="false" ht="15" hidden="false" customHeight="false" outlineLevel="0" collapsed="false">
      <c r="A297" s="0" t="s">
        <v>33</v>
      </c>
      <c r="B297" s="0" t="s">
        <v>133</v>
      </c>
      <c r="C297" s="0" t="s">
        <v>753</v>
      </c>
      <c r="D297" s="0" t="n">
        <v>6</v>
      </c>
      <c r="E297" s="0" t="n">
        <v>4</v>
      </c>
      <c r="F297" s="0" t="n">
        <f aca="false">D297*E297</f>
        <v>24</v>
      </c>
      <c r="G297" s="0" t="n">
        <f aca="false">ROUNDUP(F297/75,0)</f>
        <v>1</v>
      </c>
    </row>
    <row r="298" customFormat="false" ht="15" hidden="false" customHeight="false" outlineLevel="0" collapsed="false">
      <c r="A298" s="0" t="s">
        <v>33</v>
      </c>
      <c r="B298" s="0" t="s">
        <v>133</v>
      </c>
      <c r="C298" s="0" t="s">
        <v>755</v>
      </c>
      <c r="D298" s="0" t="n">
        <v>6</v>
      </c>
      <c r="E298" s="0" t="n">
        <v>1</v>
      </c>
      <c r="F298" s="0" t="n">
        <f aca="false">D298*E298</f>
        <v>6</v>
      </c>
      <c r="G298" s="0" t="n">
        <f aca="false">ROUNDUP(F298/75,0)</f>
        <v>1</v>
      </c>
    </row>
    <row r="299" customFormat="false" ht="15" hidden="false" customHeight="false" outlineLevel="0" collapsed="false">
      <c r="A299" s="0" t="s">
        <v>33</v>
      </c>
      <c r="B299" s="0" t="s">
        <v>134</v>
      </c>
      <c r="C299" s="0" t="s">
        <v>756</v>
      </c>
      <c r="D299" s="0" t="n">
        <v>12</v>
      </c>
      <c r="E299" s="0" t="n">
        <v>2</v>
      </c>
      <c r="F299" s="0" t="n">
        <f aca="false">D299*E299</f>
        <v>24</v>
      </c>
      <c r="G299" s="0" t="n">
        <f aca="false">ROUNDUP(F299/75,0)</f>
        <v>1</v>
      </c>
    </row>
    <row r="300" customFormat="false" ht="15" hidden="false" customHeight="false" outlineLevel="0" collapsed="false">
      <c r="A300" s="0" t="s">
        <v>33</v>
      </c>
      <c r="B300" s="0" t="s">
        <v>134</v>
      </c>
      <c r="C300" s="0" t="s">
        <v>753</v>
      </c>
      <c r="D300" s="0" t="n">
        <v>6</v>
      </c>
      <c r="E300" s="0" t="n">
        <v>9</v>
      </c>
      <c r="F300" s="0" t="n">
        <f aca="false">D300*E300</f>
        <v>54</v>
      </c>
      <c r="G300" s="0" t="n">
        <f aca="false">ROUNDUP(F300/75,0)</f>
        <v>1</v>
      </c>
    </row>
    <row r="301" customFormat="false" ht="15" hidden="false" customHeight="false" outlineLevel="0" collapsed="false">
      <c r="A301" s="0" t="s">
        <v>33</v>
      </c>
      <c r="B301" s="0" t="s">
        <v>134</v>
      </c>
      <c r="C301" s="0" t="s">
        <v>755</v>
      </c>
      <c r="D301" s="0" t="n">
        <v>6</v>
      </c>
      <c r="E301" s="0" t="n">
        <v>5</v>
      </c>
      <c r="F301" s="0" t="n">
        <f aca="false">D301*E301</f>
        <v>30</v>
      </c>
      <c r="G301" s="0" t="n">
        <f aca="false">ROUNDUP(F301/75,0)</f>
        <v>1</v>
      </c>
    </row>
    <row r="302" customFormat="false" ht="15" hidden="false" customHeight="false" outlineLevel="0" collapsed="false">
      <c r="A302" s="0" t="s">
        <v>33</v>
      </c>
      <c r="B302" s="0" t="s">
        <v>135</v>
      </c>
      <c r="C302" s="0" t="s">
        <v>755</v>
      </c>
      <c r="D302" s="0" t="n">
        <v>6</v>
      </c>
      <c r="E302" s="0" t="n">
        <v>2</v>
      </c>
      <c r="F302" s="0" t="n">
        <f aca="false">D302*E302</f>
        <v>12</v>
      </c>
      <c r="G302" s="0" t="n">
        <f aca="false">ROUNDUP(F302/75,0)</f>
        <v>1</v>
      </c>
    </row>
    <row r="303" customFormat="false" ht="15" hidden="false" customHeight="false" outlineLevel="0" collapsed="false">
      <c r="A303" s="0" t="s">
        <v>33</v>
      </c>
      <c r="B303" s="0" t="s">
        <v>136</v>
      </c>
      <c r="C303" s="0" t="s">
        <v>756</v>
      </c>
      <c r="D303" s="0" t="n">
        <v>12</v>
      </c>
      <c r="E303" s="0" t="n">
        <v>2</v>
      </c>
      <c r="F303" s="0" t="n">
        <f aca="false">D303*E303</f>
        <v>24</v>
      </c>
      <c r="G303" s="0" t="n">
        <f aca="false">ROUNDUP(F303/75,0)</f>
        <v>1</v>
      </c>
    </row>
    <row r="304" customFormat="false" ht="15" hidden="false" customHeight="false" outlineLevel="0" collapsed="false">
      <c r="A304" s="0" t="s">
        <v>33</v>
      </c>
      <c r="B304" s="0" t="s">
        <v>136</v>
      </c>
      <c r="C304" s="0" t="s">
        <v>753</v>
      </c>
      <c r="D304" s="0" t="n">
        <v>6</v>
      </c>
      <c r="E304" s="0" t="n">
        <v>7</v>
      </c>
      <c r="F304" s="0" t="n">
        <f aca="false">D304*E304</f>
        <v>42</v>
      </c>
      <c r="G304" s="0" t="n">
        <f aca="false">ROUNDUP(F304/75,0)</f>
        <v>1</v>
      </c>
    </row>
    <row r="305" customFormat="false" ht="15" hidden="false" customHeight="false" outlineLevel="0" collapsed="false">
      <c r="A305" s="0" t="s">
        <v>33</v>
      </c>
      <c r="B305" s="0" t="s">
        <v>136</v>
      </c>
      <c r="C305" s="0" t="s">
        <v>755</v>
      </c>
      <c r="D305" s="0" t="n">
        <v>6</v>
      </c>
      <c r="E305" s="0" t="n">
        <v>1</v>
      </c>
      <c r="F305" s="0" t="n">
        <f aca="false">D305*E305</f>
        <v>6</v>
      </c>
      <c r="G305" s="0" t="n">
        <f aca="false">ROUNDUP(F305/75,0)</f>
        <v>1</v>
      </c>
    </row>
    <row r="306" customFormat="false" ht="15" hidden="false" customHeight="false" outlineLevel="0" collapsed="false">
      <c r="A306" s="0" t="s">
        <v>33</v>
      </c>
      <c r="B306" s="0" t="s">
        <v>137</v>
      </c>
      <c r="C306" s="0" t="s">
        <v>753</v>
      </c>
      <c r="D306" s="0" t="n">
        <v>6</v>
      </c>
      <c r="E306" s="0" t="n">
        <v>5</v>
      </c>
      <c r="F306" s="0" t="n">
        <f aca="false">D306*E306</f>
        <v>30</v>
      </c>
      <c r="G306" s="0" t="n">
        <f aca="false">ROUNDUP(F306/75,0)</f>
        <v>1</v>
      </c>
    </row>
    <row r="307" customFormat="false" ht="15" hidden="false" customHeight="false" outlineLevel="0" collapsed="false">
      <c r="A307" s="0" t="s">
        <v>33</v>
      </c>
      <c r="B307" s="0" t="s">
        <v>137</v>
      </c>
      <c r="C307" s="0" t="s">
        <v>755</v>
      </c>
      <c r="D307" s="0" t="n">
        <v>6</v>
      </c>
      <c r="E307" s="0" t="n">
        <v>3</v>
      </c>
      <c r="F307" s="0" t="n">
        <f aca="false">D307*E307</f>
        <v>18</v>
      </c>
      <c r="G307" s="0" t="n">
        <f aca="false">ROUNDUP(F307/75,0)</f>
        <v>1</v>
      </c>
    </row>
    <row r="308" customFormat="false" ht="15" hidden="false" customHeight="false" outlineLevel="0" collapsed="false">
      <c r="A308" s="0" t="s">
        <v>33</v>
      </c>
      <c r="B308" s="0" t="s">
        <v>138</v>
      </c>
      <c r="C308" s="0" t="s">
        <v>756</v>
      </c>
      <c r="D308" s="0" t="n">
        <v>12</v>
      </c>
      <c r="E308" s="0" t="n">
        <v>2</v>
      </c>
      <c r="F308" s="0" t="n">
        <f aca="false">D308*E308</f>
        <v>24</v>
      </c>
      <c r="G308" s="0" t="n">
        <f aca="false">ROUNDUP(F308/75,0)</f>
        <v>1</v>
      </c>
    </row>
    <row r="309" customFormat="false" ht="15" hidden="false" customHeight="false" outlineLevel="0" collapsed="false">
      <c r="A309" s="0" t="s">
        <v>33</v>
      </c>
      <c r="B309" s="0" t="s">
        <v>138</v>
      </c>
      <c r="C309" s="0" t="s">
        <v>757</v>
      </c>
      <c r="D309" s="0" t="n">
        <v>6</v>
      </c>
      <c r="E309" s="0" t="n">
        <v>6</v>
      </c>
      <c r="F309" s="0" t="n">
        <f aca="false">D309*E309</f>
        <v>36</v>
      </c>
      <c r="G309" s="0" t="n">
        <f aca="false">ROUNDUP(F309/75,0)</f>
        <v>1</v>
      </c>
    </row>
    <row r="310" customFormat="false" ht="15" hidden="false" customHeight="false" outlineLevel="0" collapsed="false">
      <c r="A310" s="0" t="s">
        <v>33</v>
      </c>
      <c r="B310" s="0" t="s">
        <v>138</v>
      </c>
      <c r="C310" s="0" t="s">
        <v>753</v>
      </c>
      <c r="D310" s="0" t="n">
        <v>6</v>
      </c>
      <c r="E310" s="0" t="n">
        <v>4</v>
      </c>
      <c r="F310" s="0" t="n">
        <f aca="false">D310*E310</f>
        <v>24</v>
      </c>
      <c r="G310" s="0" t="n">
        <f aca="false">ROUNDUP(F310/75,0)</f>
        <v>1</v>
      </c>
    </row>
    <row r="311" customFormat="false" ht="15" hidden="false" customHeight="false" outlineLevel="0" collapsed="false">
      <c r="A311" s="0" t="s">
        <v>33</v>
      </c>
      <c r="B311" s="0" t="s">
        <v>138</v>
      </c>
      <c r="C311" s="0" t="s">
        <v>755</v>
      </c>
      <c r="D311" s="0" t="n">
        <v>6</v>
      </c>
      <c r="E311" s="0" t="n">
        <v>1</v>
      </c>
      <c r="F311" s="0" t="n">
        <f aca="false">D311*E311</f>
        <v>6</v>
      </c>
      <c r="G311" s="0" t="n">
        <f aca="false">ROUNDUP(F311/75,0)</f>
        <v>1</v>
      </c>
    </row>
    <row r="312" customFormat="false" ht="15" hidden="false" customHeight="false" outlineLevel="0" collapsed="false">
      <c r="A312" s="0" t="s">
        <v>33</v>
      </c>
      <c r="B312" s="0" t="s">
        <v>139</v>
      </c>
      <c r="C312" s="0" t="s">
        <v>757</v>
      </c>
      <c r="D312" s="0" t="n">
        <v>6</v>
      </c>
      <c r="E312" s="0" t="n">
        <v>2</v>
      </c>
      <c r="F312" s="0" t="n">
        <f aca="false">D312*E312</f>
        <v>12</v>
      </c>
      <c r="G312" s="0" t="n">
        <f aca="false">ROUNDUP(F312/75,0)</f>
        <v>1</v>
      </c>
    </row>
    <row r="313" customFormat="false" ht="15" hidden="false" customHeight="false" outlineLevel="0" collapsed="false">
      <c r="A313" s="0" t="s">
        <v>33</v>
      </c>
      <c r="B313" s="0" t="s">
        <v>139</v>
      </c>
      <c r="C313" s="0" t="s">
        <v>753</v>
      </c>
      <c r="D313" s="0" t="n">
        <v>6</v>
      </c>
      <c r="E313" s="0" t="n">
        <v>2</v>
      </c>
      <c r="F313" s="0" t="n">
        <f aca="false">D313*E313</f>
        <v>12</v>
      </c>
      <c r="G313" s="0" t="n">
        <f aca="false">ROUNDUP(F313/75,0)</f>
        <v>1</v>
      </c>
    </row>
    <row r="314" customFormat="false" ht="15" hidden="false" customHeight="false" outlineLevel="0" collapsed="false">
      <c r="A314" s="0" t="s">
        <v>33</v>
      </c>
      <c r="B314" s="0" t="s">
        <v>139</v>
      </c>
      <c r="C314" s="0" t="s">
        <v>755</v>
      </c>
      <c r="D314" s="0" t="n">
        <v>6</v>
      </c>
      <c r="E314" s="0" t="n">
        <v>5</v>
      </c>
      <c r="F314" s="0" t="n">
        <f aca="false">D314*E314</f>
        <v>30</v>
      </c>
      <c r="G314" s="0" t="n">
        <f aca="false">ROUNDUP(F314/75,0)</f>
        <v>1</v>
      </c>
    </row>
    <row r="315" customFormat="false" ht="15" hidden="false" customHeight="false" outlineLevel="0" collapsed="false">
      <c r="A315" s="0" t="s">
        <v>33</v>
      </c>
      <c r="B315" s="0" t="s">
        <v>140</v>
      </c>
      <c r="C315" s="0" t="s">
        <v>756</v>
      </c>
      <c r="D315" s="0" t="n">
        <v>12</v>
      </c>
      <c r="E315" s="0" t="n">
        <v>3</v>
      </c>
      <c r="F315" s="0" t="n">
        <f aca="false">D315*E315</f>
        <v>36</v>
      </c>
      <c r="G315" s="0" t="n">
        <f aca="false">ROUNDUP(F315/75,0)</f>
        <v>1</v>
      </c>
    </row>
    <row r="316" customFormat="false" ht="15" hidden="false" customHeight="false" outlineLevel="0" collapsed="false">
      <c r="A316" s="0" t="s">
        <v>33</v>
      </c>
      <c r="B316" s="0" t="s">
        <v>140</v>
      </c>
      <c r="C316" s="0" t="s">
        <v>757</v>
      </c>
      <c r="D316" s="0" t="n">
        <v>6</v>
      </c>
      <c r="E316" s="0" t="n">
        <v>1</v>
      </c>
      <c r="F316" s="0" t="n">
        <f aca="false">D316*E316</f>
        <v>6</v>
      </c>
      <c r="G316" s="0" t="n">
        <f aca="false">ROUNDUP(F316/75,0)</f>
        <v>1</v>
      </c>
    </row>
    <row r="317" customFormat="false" ht="15" hidden="false" customHeight="false" outlineLevel="0" collapsed="false">
      <c r="A317" s="0" t="s">
        <v>33</v>
      </c>
      <c r="B317" s="0" t="s">
        <v>140</v>
      </c>
      <c r="C317" s="0" t="s">
        <v>753</v>
      </c>
      <c r="D317" s="0" t="n">
        <v>6</v>
      </c>
      <c r="E317" s="0" t="n">
        <v>1</v>
      </c>
      <c r="F317" s="0" t="n">
        <f aca="false">D317*E317</f>
        <v>6</v>
      </c>
      <c r="G317" s="0" t="n">
        <f aca="false">ROUNDUP(F317/75,0)</f>
        <v>1</v>
      </c>
    </row>
    <row r="318" customFormat="false" ht="15" hidden="false" customHeight="false" outlineLevel="0" collapsed="false">
      <c r="A318" s="0" t="s">
        <v>33</v>
      </c>
      <c r="B318" s="0" t="s">
        <v>140</v>
      </c>
      <c r="C318" s="0" t="s">
        <v>755</v>
      </c>
      <c r="D318" s="0" t="n">
        <v>6</v>
      </c>
      <c r="E318" s="0" t="n">
        <v>3</v>
      </c>
      <c r="F318" s="0" t="n">
        <f aca="false">D318*E318</f>
        <v>18</v>
      </c>
      <c r="G318" s="0" t="n">
        <f aca="false">ROUNDUP(F318/75,0)</f>
        <v>1</v>
      </c>
    </row>
    <row r="319" customFormat="false" ht="15" hidden="false" customHeight="false" outlineLevel="0" collapsed="false">
      <c r="A319" s="0" t="s">
        <v>33</v>
      </c>
      <c r="B319" s="0" t="s">
        <v>141</v>
      </c>
      <c r="C319" s="0" t="s">
        <v>756</v>
      </c>
      <c r="D319" s="0" t="n">
        <v>12</v>
      </c>
      <c r="E319" s="0" t="n">
        <v>1</v>
      </c>
      <c r="F319" s="0" t="n">
        <f aca="false">D319*E319</f>
        <v>12</v>
      </c>
      <c r="G319" s="0" t="n">
        <f aca="false">ROUNDUP(F319/75,0)</f>
        <v>1</v>
      </c>
    </row>
    <row r="320" customFormat="false" ht="15" hidden="false" customHeight="false" outlineLevel="0" collapsed="false">
      <c r="A320" s="0" t="s">
        <v>33</v>
      </c>
      <c r="B320" s="0" t="s">
        <v>141</v>
      </c>
      <c r="C320" s="0" t="s">
        <v>757</v>
      </c>
      <c r="D320" s="0" t="n">
        <v>6</v>
      </c>
      <c r="E320" s="0" t="n">
        <v>1</v>
      </c>
      <c r="F320" s="0" t="n">
        <f aca="false">D320*E320</f>
        <v>6</v>
      </c>
      <c r="G320" s="0" t="n">
        <f aca="false">ROUNDUP(F320/75,0)</f>
        <v>1</v>
      </c>
    </row>
    <row r="321" customFormat="false" ht="15" hidden="false" customHeight="false" outlineLevel="0" collapsed="false">
      <c r="A321" s="0" t="s">
        <v>33</v>
      </c>
      <c r="B321" s="0" t="s">
        <v>141</v>
      </c>
      <c r="C321" s="0" t="s">
        <v>753</v>
      </c>
      <c r="D321" s="0" t="n">
        <v>6</v>
      </c>
      <c r="E321" s="0" t="n">
        <v>3</v>
      </c>
      <c r="F321" s="0" t="n">
        <f aca="false">D321*E321</f>
        <v>18</v>
      </c>
      <c r="G321" s="0" t="n">
        <f aca="false">ROUNDUP(F321/75,0)</f>
        <v>1</v>
      </c>
    </row>
    <row r="322" customFormat="false" ht="15" hidden="false" customHeight="false" outlineLevel="0" collapsed="false">
      <c r="A322" s="0" t="s">
        <v>33</v>
      </c>
      <c r="B322" s="0" t="s">
        <v>141</v>
      </c>
      <c r="C322" s="0" t="s">
        <v>755</v>
      </c>
      <c r="D322" s="0" t="n">
        <v>6</v>
      </c>
      <c r="E322" s="0" t="n">
        <v>3</v>
      </c>
      <c r="F322" s="0" t="n">
        <f aca="false">D322*E322</f>
        <v>18</v>
      </c>
      <c r="G322" s="0" t="n">
        <f aca="false">ROUNDUP(F322/75,0)</f>
        <v>1</v>
      </c>
    </row>
    <row r="323" customFormat="false" ht="15" hidden="false" customHeight="false" outlineLevel="0" collapsed="false">
      <c r="A323" s="0" t="s">
        <v>33</v>
      </c>
      <c r="B323" s="0" t="s">
        <v>142</v>
      </c>
      <c r="C323" s="0" t="s">
        <v>756</v>
      </c>
      <c r="D323" s="0" t="n">
        <v>12</v>
      </c>
      <c r="E323" s="0" t="n">
        <v>3</v>
      </c>
      <c r="F323" s="0" t="n">
        <f aca="false">D323*E323</f>
        <v>36</v>
      </c>
      <c r="G323" s="0" t="n">
        <f aca="false">ROUNDUP(F323/75,0)</f>
        <v>1</v>
      </c>
    </row>
    <row r="324" customFormat="false" ht="15" hidden="false" customHeight="false" outlineLevel="0" collapsed="false">
      <c r="A324" s="0" t="s">
        <v>33</v>
      </c>
      <c r="B324" s="0" t="s">
        <v>142</v>
      </c>
      <c r="C324" s="0" t="s">
        <v>757</v>
      </c>
      <c r="D324" s="0" t="n">
        <v>6</v>
      </c>
      <c r="E324" s="0" t="n">
        <v>3</v>
      </c>
      <c r="F324" s="0" t="n">
        <f aca="false">D324*E324</f>
        <v>18</v>
      </c>
      <c r="G324" s="0" t="n">
        <f aca="false">ROUNDUP(F324/75,0)</f>
        <v>1</v>
      </c>
    </row>
    <row r="325" customFormat="false" ht="15" hidden="false" customHeight="false" outlineLevel="0" collapsed="false">
      <c r="A325" s="0" t="s">
        <v>33</v>
      </c>
      <c r="B325" s="0" t="s">
        <v>142</v>
      </c>
      <c r="C325" s="0" t="s">
        <v>753</v>
      </c>
      <c r="D325" s="0" t="n">
        <v>6</v>
      </c>
      <c r="E325" s="0" t="n">
        <v>1</v>
      </c>
      <c r="F325" s="0" t="n">
        <f aca="false">D325*E325</f>
        <v>6</v>
      </c>
      <c r="G325" s="0" t="n">
        <f aca="false">ROUNDUP(F325/75,0)</f>
        <v>1</v>
      </c>
    </row>
    <row r="326" customFormat="false" ht="15" hidden="false" customHeight="false" outlineLevel="0" collapsed="false">
      <c r="A326" s="0" t="s">
        <v>33</v>
      </c>
      <c r="B326" s="0" t="s">
        <v>142</v>
      </c>
      <c r="C326" s="0" t="s">
        <v>755</v>
      </c>
      <c r="D326" s="0" t="n">
        <v>6</v>
      </c>
      <c r="E326" s="0" t="n">
        <v>1</v>
      </c>
      <c r="F326" s="0" t="n">
        <f aca="false">D326*E326</f>
        <v>6</v>
      </c>
      <c r="G326" s="0" t="n">
        <f aca="false">ROUNDUP(F326/75,0)</f>
        <v>1</v>
      </c>
    </row>
    <row r="327" customFormat="false" ht="15" hidden="false" customHeight="false" outlineLevel="0" collapsed="false">
      <c r="A327" s="0" t="s">
        <v>33</v>
      </c>
      <c r="B327" s="0" t="s">
        <v>143</v>
      </c>
      <c r="C327" s="0" t="s">
        <v>757</v>
      </c>
      <c r="D327" s="0" t="n">
        <v>6</v>
      </c>
      <c r="E327" s="0" t="n">
        <v>1</v>
      </c>
      <c r="F327" s="0" t="n">
        <f aca="false">D327*E327</f>
        <v>6</v>
      </c>
      <c r="G327" s="0" t="n">
        <f aca="false">ROUNDUP(F327/75,0)</f>
        <v>1</v>
      </c>
    </row>
    <row r="328" customFormat="false" ht="15" hidden="false" customHeight="false" outlineLevel="0" collapsed="false">
      <c r="A328" s="0" t="s">
        <v>33</v>
      </c>
      <c r="B328" s="0" t="s">
        <v>143</v>
      </c>
      <c r="C328" s="0" t="s">
        <v>753</v>
      </c>
      <c r="D328" s="0" t="n">
        <v>6</v>
      </c>
      <c r="E328" s="0" t="n">
        <v>6</v>
      </c>
      <c r="F328" s="0" t="n">
        <f aca="false">D328*E328</f>
        <v>36</v>
      </c>
      <c r="G328" s="0" t="n">
        <f aca="false">ROUNDUP(F328/75,0)</f>
        <v>1</v>
      </c>
    </row>
    <row r="329" customFormat="false" ht="15" hidden="false" customHeight="false" outlineLevel="0" collapsed="false">
      <c r="A329" s="0" t="s">
        <v>33</v>
      </c>
      <c r="B329" s="0" t="s">
        <v>143</v>
      </c>
      <c r="C329" s="0" t="s">
        <v>755</v>
      </c>
      <c r="D329" s="0" t="n">
        <v>6</v>
      </c>
      <c r="E329" s="0" t="n">
        <v>4</v>
      </c>
      <c r="F329" s="0" t="n">
        <f aca="false">D329*E329</f>
        <v>24</v>
      </c>
      <c r="G329" s="0" t="n">
        <f aca="false">ROUNDUP(F329/75,0)</f>
        <v>1</v>
      </c>
    </row>
    <row r="330" customFormat="false" ht="15" hidden="false" customHeight="false" outlineLevel="0" collapsed="false">
      <c r="A330" s="0" t="s">
        <v>33</v>
      </c>
      <c r="B330" s="0" t="s">
        <v>144</v>
      </c>
      <c r="C330" s="0" t="s">
        <v>757</v>
      </c>
      <c r="D330" s="0" t="n">
        <v>6</v>
      </c>
      <c r="E330" s="0" t="n">
        <v>3</v>
      </c>
      <c r="F330" s="0" t="n">
        <f aca="false">D330*E330</f>
        <v>18</v>
      </c>
      <c r="G330" s="0" t="n">
        <f aca="false">ROUNDUP(F330/75,0)</f>
        <v>1</v>
      </c>
    </row>
    <row r="331" customFormat="false" ht="15" hidden="false" customHeight="false" outlineLevel="0" collapsed="false">
      <c r="A331" s="0" t="s">
        <v>33</v>
      </c>
      <c r="B331" s="0" t="s">
        <v>144</v>
      </c>
      <c r="C331" s="0" t="s">
        <v>753</v>
      </c>
      <c r="D331" s="0" t="n">
        <v>6</v>
      </c>
      <c r="E331" s="0" t="n">
        <v>4</v>
      </c>
      <c r="F331" s="0" t="n">
        <f aca="false">D331*E331</f>
        <v>24</v>
      </c>
      <c r="G331" s="0" t="n">
        <f aca="false">ROUNDUP(F331/75,0)</f>
        <v>1</v>
      </c>
    </row>
    <row r="332" customFormat="false" ht="15" hidden="false" customHeight="false" outlineLevel="0" collapsed="false">
      <c r="A332" s="0" t="s">
        <v>33</v>
      </c>
      <c r="B332" s="0" t="s">
        <v>144</v>
      </c>
      <c r="C332" s="0" t="s">
        <v>755</v>
      </c>
      <c r="D332" s="0" t="n">
        <v>6</v>
      </c>
      <c r="E332" s="0" t="n">
        <v>9</v>
      </c>
      <c r="F332" s="0" t="n">
        <f aca="false">D332*E332</f>
        <v>54</v>
      </c>
      <c r="G332" s="0" t="n">
        <f aca="false">ROUNDUP(F332/75,0)</f>
        <v>1</v>
      </c>
    </row>
    <row r="333" customFormat="false" ht="15" hidden="false" customHeight="false" outlineLevel="0" collapsed="false">
      <c r="A333" s="0" t="s">
        <v>33</v>
      </c>
      <c r="B333" s="0" t="s">
        <v>145</v>
      </c>
      <c r="C333" s="0" t="s">
        <v>756</v>
      </c>
      <c r="D333" s="0" t="n">
        <v>12</v>
      </c>
      <c r="E333" s="0" t="n">
        <v>1</v>
      </c>
      <c r="F333" s="0" t="n">
        <f aca="false">D333*E333</f>
        <v>12</v>
      </c>
      <c r="G333" s="0" t="n">
        <f aca="false">ROUNDUP(F333/75,0)</f>
        <v>1</v>
      </c>
    </row>
    <row r="334" customFormat="false" ht="15" hidden="false" customHeight="false" outlineLevel="0" collapsed="false">
      <c r="A334" s="0" t="s">
        <v>33</v>
      </c>
      <c r="B334" s="0" t="s">
        <v>145</v>
      </c>
      <c r="C334" s="0" t="s">
        <v>753</v>
      </c>
      <c r="D334" s="0" t="n">
        <v>6</v>
      </c>
      <c r="E334" s="0" t="n">
        <v>5</v>
      </c>
      <c r="F334" s="0" t="n">
        <f aca="false">D334*E334</f>
        <v>30</v>
      </c>
      <c r="G334" s="0" t="n">
        <f aca="false">ROUNDUP(F334/75,0)</f>
        <v>1</v>
      </c>
    </row>
    <row r="335" customFormat="false" ht="15" hidden="false" customHeight="false" outlineLevel="0" collapsed="false">
      <c r="A335" s="0" t="s">
        <v>33</v>
      </c>
      <c r="B335" s="0" t="s">
        <v>145</v>
      </c>
      <c r="C335" s="0" t="s">
        <v>755</v>
      </c>
      <c r="D335" s="0" t="n">
        <v>6</v>
      </c>
      <c r="E335" s="0" t="n">
        <v>2</v>
      </c>
      <c r="F335" s="0" t="n">
        <f aca="false">D335*E335</f>
        <v>12</v>
      </c>
      <c r="G335" s="0" t="n">
        <f aca="false">ROUNDUP(F335/75,0)</f>
        <v>1</v>
      </c>
    </row>
    <row r="336" customFormat="false" ht="15" hidden="false" customHeight="false" outlineLevel="0" collapsed="false">
      <c r="A336" s="0" t="s">
        <v>33</v>
      </c>
      <c r="B336" s="0" t="s">
        <v>146</v>
      </c>
      <c r="C336" s="0" t="s">
        <v>756</v>
      </c>
      <c r="D336" s="0" t="n">
        <v>12</v>
      </c>
      <c r="E336" s="0" t="n">
        <v>3</v>
      </c>
      <c r="F336" s="0" t="n">
        <f aca="false">D336*E336</f>
        <v>36</v>
      </c>
      <c r="G336" s="0" t="n">
        <f aca="false">ROUNDUP(F336/75,0)</f>
        <v>1</v>
      </c>
    </row>
    <row r="337" customFormat="false" ht="15" hidden="false" customHeight="false" outlineLevel="0" collapsed="false">
      <c r="A337" s="0" t="s">
        <v>33</v>
      </c>
      <c r="B337" s="0" t="s">
        <v>146</v>
      </c>
      <c r="C337" s="0" t="s">
        <v>753</v>
      </c>
      <c r="D337" s="0" t="n">
        <v>6</v>
      </c>
      <c r="E337" s="0" t="n">
        <v>4</v>
      </c>
      <c r="F337" s="0" t="n">
        <f aca="false">D337*E337</f>
        <v>24</v>
      </c>
      <c r="G337" s="0" t="n">
        <f aca="false">ROUNDUP(F337/75,0)</f>
        <v>1</v>
      </c>
    </row>
    <row r="338" customFormat="false" ht="15" hidden="false" customHeight="false" outlineLevel="0" collapsed="false">
      <c r="A338" s="0" t="s">
        <v>33</v>
      </c>
      <c r="B338" s="0" t="s">
        <v>147</v>
      </c>
      <c r="C338" s="0" t="s">
        <v>757</v>
      </c>
      <c r="D338" s="0" t="n">
        <v>6</v>
      </c>
      <c r="E338" s="0" t="n">
        <v>2</v>
      </c>
      <c r="F338" s="0" t="n">
        <f aca="false">D338*E338</f>
        <v>12</v>
      </c>
      <c r="G338" s="0" t="n">
        <f aca="false">ROUNDUP(F338/75,0)</f>
        <v>1</v>
      </c>
    </row>
    <row r="339" customFormat="false" ht="15" hidden="false" customHeight="false" outlineLevel="0" collapsed="false">
      <c r="A339" s="0" t="s">
        <v>33</v>
      </c>
      <c r="B339" s="0" t="s">
        <v>147</v>
      </c>
      <c r="C339" s="0" t="s">
        <v>753</v>
      </c>
      <c r="D339" s="0" t="n">
        <v>6</v>
      </c>
      <c r="E339" s="0" t="n">
        <v>6</v>
      </c>
      <c r="F339" s="0" t="n">
        <f aca="false">D339*E339</f>
        <v>36</v>
      </c>
      <c r="G339" s="0" t="n">
        <f aca="false">ROUNDUP(F339/75,0)</f>
        <v>1</v>
      </c>
    </row>
    <row r="340" customFormat="false" ht="15" hidden="false" customHeight="false" outlineLevel="0" collapsed="false">
      <c r="A340" s="0" t="s">
        <v>33</v>
      </c>
      <c r="B340" s="0" t="s">
        <v>147</v>
      </c>
      <c r="C340" s="0" t="s">
        <v>755</v>
      </c>
      <c r="D340" s="0" t="n">
        <v>6</v>
      </c>
      <c r="E340" s="0" t="n">
        <v>3</v>
      </c>
      <c r="F340" s="0" t="n">
        <f aca="false">D340*E340</f>
        <v>18</v>
      </c>
      <c r="G340" s="0" t="n">
        <f aca="false">ROUNDUP(F340/75,0)</f>
        <v>1</v>
      </c>
    </row>
    <row r="341" customFormat="false" ht="15" hidden="false" customHeight="false" outlineLevel="0" collapsed="false">
      <c r="A341" s="0" t="s">
        <v>33</v>
      </c>
      <c r="B341" s="0" t="s">
        <v>148</v>
      </c>
      <c r="C341" s="0" t="s">
        <v>753</v>
      </c>
      <c r="D341" s="0" t="n">
        <v>6</v>
      </c>
      <c r="E341" s="0" t="n">
        <v>2</v>
      </c>
      <c r="F341" s="0" t="n">
        <f aca="false">D341*E341</f>
        <v>12</v>
      </c>
      <c r="G341" s="0" t="n">
        <f aca="false">ROUNDUP(F341/75,0)</f>
        <v>1</v>
      </c>
    </row>
    <row r="342" customFormat="false" ht="15" hidden="false" customHeight="false" outlineLevel="0" collapsed="false">
      <c r="A342" s="0" t="s">
        <v>33</v>
      </c>
      <c r="B342" s="0" t="s">
        <v>148</v>
      </c>
      <c r="C342" s="0" t="s">
        <v>755</v>
      </c>
      <c r="D342" s="0" t="n">
        <v>6</v>
      </c>
      <c r="E342" s="0" t="n">
        <v>3</v>
      </c>
      <c r="F342" s="0" t="n">
        <f aca="false">D342*E342</f>
        <v>18</v>
      </c>
      <c r="G342" s="0" t="n">
        <f aca="false">ROUNDUP(F342/75,0)</f>
        <v>1</v>
      </c>
    </row>
    <row r="343" customFormat="false" ht="15" hidden="false" customHeight="false" outlineLevel="0" collapsed="false">
      <c r="A343" s="0" t="s">
        <v>33</v>
      </c>
      <c r="B343" s="0" t="s">
        <v>149</v>
      </c>
      <c r="C343" s="0" t="s">
        <v>757</v>
      </c>
      <c r="D343" s="0" t="n">
        <v>6</v>
      </c>
      <c r="E343" s="0" t="n">
        <v>1</v>
      </c>
      <c r="F343" s="0" t="n">
        <f aca="false">D343*E343</f>
        <v>6</v>
      </c>
      <c r="G343" s="0" t="n">
        <f aca="false">ROUNDUP(F343/75,0)</f>
        <v>1</v>
      </c>
    </row>
    <row r="344" customFormat="false" ht="15" hidden="false" customHeight="false" outlineLevel="0" collapsed="false">
      <c r="A344" s="0" t="s">
        <v>33</v>
      </c>
      <c r="B344" s="0" t="s">
        <v>149</v>
      </c>
      <c r="C344" s="0" t="s">
        <v>753</v>
      </c>
      <c r="D344" s="0" t="n">
        <v>6</v>
      </c>
      <c r="E344" s="0" t="n">
        <v>2</v>
      </c>
      <c r="F344" s="0" t="n">
        <f aca="false">D344*E344</f>
        <v>12</v>
      </c>
      <c r="G344" s="0" t="n">
        <f aca="false">ROUNDUP(F344/75,0)</f>
        <v>1</v>
      </c>
    </row>
    <row r="345" customFormat="false" ht="15" hidden="false" customHeight="false" outlineLevel="0" collapsed="false">
      <c r="A345" s="0" t="s">
        <v>33</v>
      </c>
      <c r="B345" s="0" t="s">
        <v>149</v>
      </c>
      <c r="C345" s="0" t="s">
        <v>755</v>
      </c>
      <c r="D345" s="0" t="n">
        <v>6</v>
      </c>
      <c r="E345" s="0" t="n">
        <v>4</v>
      </c>
      <c r="F345" s="0" t="n">
        <f aca="false">D345*E345</f>
        <v>24</v>
      </c>
      <c r="G345" s="0" t="n">
        <f aca="false">ROUNDUP(F345/75,0)</f>
        <v>1</v>
      </c>
    </row>
    <row r="346" customFormat="false" ht="15" hidden="false" customHeight="false" outlineLevel="0" collapsed="false">
      <c r="A346" s="0" t="s">
        <v>33</v>
      </c>
      <c r="B346" s="0" t="s">
        <v>150</v>
      </c>
      <c r="C346" s="0" t="s">
        <v>756</v>
      </c>
      <c r="D346" s="0" t="n">
        <v>12</v>
      </c>
      <c r="E346" s="0" t="n">
        <v>1</v>
      </c>
      <c r="F346" s="0" t="n">
        <f aca="false">D346*E346</f>
        <v>12</v>
      </c>
      <c r="G346" s="0" t="n">
        <f aca="false">ROUNDUP(F346/75,0)</f>
        <v>1</v>
      </c>
    </row>
    <row r="347" customFormat="false" ht="15" hidden="false" customHeight="false" outlineLevel="0" collapsed="false">
      <c r="A347" s="0" t="s">
        <v>33</v>
      </c>
      <c r="B347" s="0" t="s">
        <v>150</v>
      </c>
      <c r="C347" s="0" t="s">
        <v>753</v>
      </c>
      <c r="D347" s="0" t="n">
        <v>6</v>
      </c>
      <c r="E347" s="0" t="n">
        <v>15</v>
      </c>
      <c r="F347" s="0" t="n">
        <f aca="false">D347*E347</f>
        <v>90</v>
      </c>
      <c r="G347" s="0" t="n">
        <f aca="false">ROUNDUP(F347/75,0)</f>
        <v>2</v>
      </c>
    </row>
    <row r="348" customFormat="false" ht="15" hidden="false" customHeight="false" outlineLevel="0" collapsed="false">
      <c r="A348" s="0" t="s">
        <v>33</v>
      </c>
      <c r="B348" s="0" t="s">
        <v>150</v>
      </c>
      <c r="C348" s="0" t="s">
        <v>755</v>
      </c>
      <c r="D348" s="0" t="n">
        <v>6</v>
      </c>
      <c r="E348" s="0" t="n">
        <v>1</v>
      </c>
      <c r="F348" s="0" t="n">
        <f aca="false">D348*E348</f>
        <v>6</v>
      </c>
      <c r="G348" s="0" t="n">
        <f aca="false">ROUNDUP(F348/75,0)</f>
        <v>1</v>
      </c>
    </row>
    <row r="349" customFormat="false" ht="15" hidden="false" customHeight="false" outlineLevel="0" collapsed="false">
      <c r="A349" s="0" t="s">
        <v>33</v>
      </c>
      <c r="B349" s="0" t="s">
        <v>151</v>
      </c>
      <c r="C349" s="0" t="s">
        <v>753</v>
      </c>
      <c r="D349" s="0" t="n">
        <v>6</v>
      </c>
      <c r="E349" s="0" t="n">
        <v>3</v>
      </c>
      <c r="F349" s="0" t="n">
        <f aca="false">D349*E349</f>
        <v>18</v>
      </c>
      <c r="G349" s="0" t="n">
        <f aca="false">ROUNDUP(F349/75,0)</f>
        <v>1</v>
      </c>
    </row>
    <row r="350" customFormat="false" ht="15" hidden="false" customHeight="false" outlineLevel="0" collapsed="false">
      <c r="A350" s="0" t="s">
        <v>33</v>
      </c>
      <c r="B350" s="0" t="s">
        <v>152</v>
      </c>
      <c r="C350" s="0" t="s">
        <v>757</v>
      </c>
      <c r="D350" s="0" t="n">
        <v>6</v>
      </c>
      <c r="E350" s="0" t="n">
        <v>1.5</v>
      </c>
      <c r="F350" s="0" t="n">
        <f aca="false">D350*E350</f>
        <v>9</v>
      </c>
      <c r="G350" s="0" t="n">
        <f aca="false">ROUNDUP(F350/75,0)</f>
        <v>1</v>
      </c>
    </row>
    <row r="351" customFormat="false" ht="15" hidden="false" customHeight="false" outlineLevel="0" collapsed="false">
      <c r="A351" s="0" t="s">
        <v>33</v>
      </c>
      <c r="B351" s="0" t="s">
        <v>152</v>
      </c>
      <c r="C351" s="0" t="s">
        <v>753</v>
      </c>
      <c r="D351" s="0" t="n">
        <v>6</v>
      </c>
      <c r="E351" s="0" t="n">
        <v>2</v>
      </c>
      <c r="F351" s="0" t="n">
        <f aca="false">D351*E351</f>
        <v>12</v>
      </c>
      <c r="G351" s="0" t="n">
        <f aca="false">ROUNDUP(F351/75,0)</f>
        <v>1</v>
      </c>
    </row>
    <row r="352" customFormat="false" ht="15" hidden="false" customHeight="false" outlineLevel="0" collapsed="false">
      <c r="A352" s="0" t="s">
        <v>33</v>
      </c>
      <c r="B352" s="0" t="s">
        <v>153</v>
      </c>
      <c r="C352" s="0" t="s">
        <v>757</v>
      </c>
      <c r="D352" s="0" t="n">
        <v>6</v>
      </c>
      <c r="E352" s="0" t="n">
        <v>2</v>
      </c>
      <c r="F352" s="0" t="n">
        <f aca="false">D352*E352</f>
        <v>12</v>
      </c>
      <c r="G352" s="0" t="n">
        <f aca="false">ROUNDUP(F352/75,0)</f>
        <v>1</v>
      </c>
    </row>
    <row r="353" customFormat="false" ht="15" hidden="false" customHeight="false" outlineLevel="0" collapsed="false">
      <c r="A353" s="0" t="s">
        <v>33</v>
      </c>
      <c r="B353" s="0" t="s">
        <v>153</v>
      </c>
      <c r="C353" s="0" t="s">
        <v>753</v>
      </c>
      <c r="D353" s="0" t="n">
        <v>6</v>
      </c>
      <c r="E353" s="0" t="n">
        <v>1</v>
      </c>
      <c r="F353" s="0" t="n">
        <f aca="false">D353*E353</f>
        <v>6</v>
      </c>
      <c r="G353" s="0" t="n">
        <f aca="false">ROUNDUP(F353/75,0)</f>
        <v>1</v>
      </c>
    </row>
    <row r="354" customFormat="false" ht="15" hidden="false" customHeight="false" outlineLevel="0" collapsed="false">
      <c r="A354" s="0" t="s">
        <v>33</v>
      </c>
      <c r="B354" s="0" t="s">
        <v>153</v>
      </c>
      <c r="C354" s="0" t="s">
        <v>755</v>
      </c>
      <c r="D354" s="0" t="n">
        <v>6</v>
      </c>
      <c r="E354" s="0" t="n">
        <v>1</v>
      </c>
      <c r="F354" s="0" t="n">
        <f aca="false">D354*E354</f>
        <v>6</v>
      </c>
      <c r="G354" s="0" t="n">
        <f aca="false">ROUNDUP(F354/75,0)</f>
        <v>1</v>
      </c>
    </row>
    <row r="355" customFormat="false" ht="15" hidden="false" customHeight="false" outlineLevel="0" collapsed="false">
      <c r="A355" s="0" t="s">
        <v>33</v>
      </c>
      <c r="B355" s="0" t="s">
        <v>154</v>
      </c>
      <c r="C355" s="0" t="s">
        <v>757</v>
      </c>
      <c r="D355" s="0" t="n">
        <v>6</v>
      </c>
      <c r="E355" s="0" t="n">
        <v>1</v>
      </c>
      <c r="F355" s="0" t="n">
        <f aca="false">D355*E355</f>
        <v>6</v>
      </c>
      <c r="G355" s="0" t="n">
        <f aca="false">ROUNDUP(F355/75,0)</f>
        <v>1</v>
      </c>
    </row>
    <row r="356" customFormat="false" ht="15" hidden="false" customHeight="false" outlineLevel="0" collapsed="false">
      <c r="A356" s="0" t="s">
        <v>33</v>
      </c>
      <c r="B356" s="0" t="s">
        <v>154</v>
      </c>
      <c r="C356" s="0" t="s">
        <v>753</v>
      </c>
      <c r="D356" s="0" t="n">
        <v>6</v>
      </c>
      <c r="E356" s="0" t="n">
        <v>1</v>
      </c>
      <c r="F356" s="0" t="n">
        <f aca="false">D356*E356</f>
        <v>6</v>
      </c>
      <c r="G356" s="0" t="n">
        <f aca="false">ROUNDUP(F356/75,0)</f>
        <v>1</v>
      </c>
    </row>
    <row r="357" customFormat="false" ht="15" hidden="false" customHeight="false" outlineLevel="0" collapsed="false">
      <c r="A357" s="0" t="s">
        <v>33</v>
      </c>
      <c r="B357" s="0" t="s">
        <v>154</v>
      </c>
      <c r="C357" s="0" t="s">
        <v>755</v>
      </c>
      <c r="D357" s="0" t="n">
        <v>6</v>
      </c>
      <c r="E357" s="0" t="n">
        <v>3</v>
      </c>
      <c r="F357" s="0" t="n">
        <f aca="false">D357*E357</f>
        <v>18</v>
      </c>
      <c r="G357" s="0" t="n">
        <f aca="false">ROUNDUP(F357/75,0)</f>
        <v>1</v>
      </c>
    </row>
    <row r="358" customFormat="false" ht="15" hidden="false" customHeight="false" outlineLevel="0" collapsed="false">
      <c r="A358" s="0" t="s">
        <v>33</v>
      </c>
      <c r="B358" s="0" t="s">
        <v>155</v>
      </c>
      <c r="C358" s="0" t="s">
        <v>757</v>
      </c>
      <c r="D358" s="0" t="n">
        <v>6</v>
      </c>
      <c r="E358" s="0" t="n">
        <v>1</v>
      </c>
      <c r="F358" s="0" t="n">
        <f aca="false">D358*E358</f>
        <v>6</v>
      </c>
      <c r="G358" s="0" t="n">
        <f aca="false">ROUNDUP(F358/75,0)</f>
        <v>1</v>
      </c>
    </row>
    <row r="359" customFormat="false" ht="15" hidden="false" customHeight="false" outlineLevel="0" collapsed="false">
      <c r="A359" s="0" t="s">
        <v>33</v>
      </c>
      <c r="B359" s="0" t="s">
        <v>155</v>
      </c>
      <c r="C359" s="0" t="s">
        <v>753</v>
      </c>
      <c r="D359" s="0" t="n">
        <v>6</v>
      </c>
      <c r="E359" s="0" t="n">
        <v>2</v>
      </c>
      <c r="F359" s="0" t="n">
        <f aca="false">D359*E359</f>
        <v>12</v>
      </c>
      <c r="G359" s="0" t="n">
        <f aca="false">ROUNDUP(F359/75,0)</f>
        <v>1</v>
      </c>
    </row>
    <row r="360" customFormat="false" ht="15" hidden="false" customHeight="false" outlineLevel="0" collapsed="false">
      <c r="A360" s="0" t="s">
        <v>33</v>
      </c>
      <c r="B360" s="0" t="s">
        <v>156</v>
      </c>
      <c r="C360" s="0" t="s">
        <v>757</v>
      </c>
      <c r="D360" s="0" t="n">
        <v>6</v>
      </c>
      <c r="E360" s="0" t="n">
        <v>2</v>
      </c>
      <c r="F360" s="0" t="n">
        <f aca="false">D360*E360</f>
        <v>12</v>
      </c>
      <c r="G360" s="0" t="n">
        <f aca="false">ROUNDUP(F360/75,0)</f>
        <v>1</v>
      </c>
    </row>
    <row r="361" customFormat="false" ht="15" hidden="false" customHeight="false" outlineLevel="0" collapsed="false">
      <c r="A361" s="0" t="s">
        <v>33</v>
      </c>
      <c r="B361" s="0" t="s">
        <v>156</v>
      </c>
      <c r="C361" s="0" t="s">
        <v>753</v>
      </c>
      <c r="D361" s="0" t="n">
        <v>6</v>
      </c>
      <c r="E361" s="0" t="n">
        <v>1</v>
      </c>
      <c r="F361" s="0" t="n">
        <f aca="false">D361*E361</f>
        <v>6</v>
      </c>
      <c r="G361" s="0" t="n">
        <f aca="false">ROUNDUP(F361/75,0)</f>
        <v>1</v>
      </c>
    </row>
    <row r="362" customFormat="false" ht="15" hidden="false" customHeight="false" outlineLevel="0" collapsed="false">
      <c r="A362" s="0" t="s">
        <v>33</v>
      </c>
      <c r="B362" s="0" t="s">
        <v>157</v>
      </c>
      <c r="C362" s="0" t="s">
        <v>757</v>
      </c>
      <c r="D362" s="0" t="n">
        <v>6</v>
      </c>
      <c r="E362" s="0" t="n">
        <v>2</v>
      </c>
      <c r="F362" s="0" t="n">
        <f aca="false">D362*E362</f>
        <v>12</v>
      </c>
      <c r="G362" s="0" t="n">
        <f aca="false">ROUNDUP(F362/75,0)</f>
        <v>1</v>
      </c>
    </row>
    <row r="363" customFormat="false" ht="15" hidden="false" customHeight="false" outlineLevel="0" collapsed="false">
      <c r="A363" s="0" t="s">
        <v>33</v>
      </c>
      <c r="B363" s="0" t="s">
        <v>157</v>
      </c>
      <c r="C363" s="0" t="s">
        <v>753</v>
      </c>
      <c r="D363" s="0" t="n">
        <v>6</v>
      </c>
      <c r="E363" s="0" t="n">
        <v>5</v>
      </c>
      <c r="F363" s="0" t="n">
        <f aca="false">D363*E363</f>
        <v>30</v>
      </c>
      <c r="G363" s="0" t="n">
        <f aca="false">ROUNDUP(F363/75,0)</f>
        <v>1</v>
      </c>
    </row>
    <row r="364" customFormat="false" ht="15" hidden="false" customHeight="false" outlineLevel="0" collapsed="false">
      <c r="A364" s="0" t="s">
        <v>33</v>
      </c>
      <c r="B364" s="0" t="s">
        <v>157</v>
      </c>
      <c r="C364" s="0" t="s">
        <v>755</v>
      </c>
      <c r="D364" s="0" t="n">
        <v>6</v>
      </c>
      <c r="E364" s="0" t="n">
        <v>10</v>
      </c>
      <c r="F364" s="0" t="n">
        <f aca="false">D364*E364</f>
        <v>60</v>
      </c>
      <c r="G364" s="0" t="n">
        <f aca="false">ROUNDUP(F364/75,0)</f>
        <v>1</v>
      </c>
    </row>
    <row r="365" customFormat="false" ht="15" hidden="false" customHeight="false" outlineLevel="0" collapsed="false">
      <c r="A365" s="0" t="s">
        <v>33</v>
      </c>
      <c r="B365" s="0" t="s">
        <v>158</v>
      </c>
      <c r="C365" s="0" t="s">
        <v>756</v>
      </c>
      <c r="D365" s="0" t="n">
        <v>12</v>
      </c>
      <c r="E365" s="0" t="n">
        <v>2</v>
      </c>
      <c r="F365" s="0" t="n">
        <f aca="false">D365*E365</f>
        <v>24</v>
      </c>
      <c r="G365" s="0" t="n">
        <f aca="false">ROUNDUP(F365/75,0)</f>
        <v>1</v>
      </c>
    </row>
    <row r="366" customFormat="false" ht="15" hidden="false" customHeight="false" outlineLevel="0" collapsed="false">
      <c r="A366" s="0" t="s">
        <v>33</v>
      </c>
      <c r="B366" s="0" t="s">
        <v>158</v>
      </c>
      <c r="C366" s="0" t="s">
        <v>757</v>
      </c>
      <c r="D366" s="0" t="n">
        <v>6</v>
      </c>
      <c r="E366" s="0" t="n">
        <v>3</v>
      </c>
      <c r="F366" s="0" t="n">
        <f aca="false">D366*E366</f>
        <v>18</v>
      </c>
      <c r="G366" s="0" t="n">
        <f aca="false">ROUNDUP(F366/75,0)</f>
        <v>1</v>
      </c>
    </row>
    <row r="367" customFormat="false" ht="15" hidden="false" customHeight="false" outlineLevel="0" collapsed="false">
      <c r="A367" s="0" t="s">
        <v>33</v>
      </c>
      <c r="B367" s="0" t="s">
        <v>158</v>
      </c>
      <c r="C367" s="0" t="s">
        <v>753</v>
      </c>
      <c r="D367" s="0" t="n">
        <v>6</v>
      </c>
      <c r="E367" s="0" t="n">
        <v>6</v>
      </c>
      <c r="F367" s="0" t="n">
        <f aca="false">D367*E367</f>
        <v>36</v>
      </c>
      <c r="G367" s="0" t="n">
        <f aca="false">ROUNDUP(F367/75,0)</f>
        <v>1</v>
      </c>
    </row>
    <row r="368" customFormat="false" ht="15" hidden="false" customHeight="false" outlineLevel="0" collapsed="false">
      <c r="A368" s="0" t="s">
        <v>33</v>
      </c>
      <c r="B368" s="0" t="s">
        <v>158</v>
      </c>
      <c r="C368" s="0" t="s">
        <v>755</v>
      </c>
      <c r="D368" s="0" t="n">
        <v>6</v>
      </c>
      <c r="E368" s="0" t="n">
        <v>2</v>
      </c>
      <c r="F368" s="0" t="n">
        <f aca="false">D368*E368</f>
        <v>12</v>
      </c>
      <c r="G368" s="0" t="n">
        <f aca="false">ROUNDUP(F368/75,0)</f>
        <v>1</v>
      </c>
    </row>
    <row r="369" customFormat="false" ht="15" hidden="false" customHeight="false" outlineLevel="0" collapsed="false">
      <c r="A369" s="0" t="s">
        <v>33</v>
      </c>
      <c r="B369" s="0" t="s">
        <v>159</v>
      </c>
      <c r="C369" s="0" t="s">
        <v>756</v>
      </c>
      <c r="D369" s="0" t="n">
        <v>12</v>
      </c>
      <c r="E369" s="0" t="n">
        <v>3</v>
      </c>
      <c r="F369" s="0" t="n">
        <f aca="false">D369*E369</f>
        <v>36</v>
      </c>
      <c r="G369" s="0" t="n">
        <f aca="false">ROUNDUP(F369/75,0)</f>
        <v>1</v>
      </c>
    </row>
    <row r="370" customFormat="false" ht="15" hidden="false" customHeight="false" outlineLevel="0" collapsed="false">
      <c r="A370" s="0" t="s">
        <v>33</v>
      </c>
      <c r="B370" s="0" t="s">
        <v>159</v>
      </c>
      <c r="C370" s="0" t="s">
        <v>757</v>
      </c>
      <c r="D370" s="0" t="n">
        <v>6</v>
      </c>
      <c r="E370" s="0" t="n">
        <v>1</v>
      </c>
      <c r="F370" s="0" t="n">
        <f aca="false">D370*E370</f>
        <v>6</v>
      </c>
      <c r="G370" s="0" t="n">
        <f aca="false">ROUNDUP(F370/75,0)</f>
        <v>1</v>
      </c>
    </row>
    <row r="371" customFormat="false" ht="15" hidden="false" customHeight="false" outlineLevel="0" collapsed="false">
      <c r="A371" s="0" t="s">
        <v>33</v>
      </c>
      <c r="B371" s="0" t="s">
        <v>159</v>
      </c>
      <c r="C371" s="0" t="s">
        <v>753</v>
      </c>
      <c r="D371" s="0" t="n">
        <v>6</v>
      </c>
      <c r="E371" s="0" t="n">
        <v>5</v>
      </c>
      <c r="F371" s="0" t="n">
        <f aca="false">D371*E371</f>
        <v>30</v>
      </c>
      <c r="G371" s="0" t="n">
        <f aca="false">ROUNDUP(F371/75,0)</f>
        <v>1</v>
      </c>
    </row>
    <row r="372" customFormat="false" ht="15" hidden="false" customHeight="false" outlineLevel="0" collapsed="false">
      <c r="A372" s="0" t="s">
        <v>33</v>
      </c>
      <c r="B372" s="0" t="s">
        <v>159</v>
      </c>
      <c r="C372" s="0" t="s">
        <v>755</v>
      </c>
      <c r="D372" s="0" t="n">
        <v>6</v>
      </c>
      <c r="E372" s="0" t="n">
        <v>7</v>
      </c>
      <c r="F372" s="0" t="n">
        <f aca="false">D372*E372</f>
        <v>42</v>
      </c>
      <c r="G372" s="0" t="n">
        <f aca="false">ROUNDUP(F372/75,0)</f>
        <v>1</v>
      </c>
    </row>
    <row r="373" customFormat="false" ht="15" hidden="false" customHeight="false" outlineLevel="0" collapsed="false">
      <c r="A373" s="0" t="s">
        <v>33</v>
      </c>
      <c r="B373" s="0" t="s">
        <v>160</v>
      </c>
      <c r="C373" s="0" t="s">
        <v>756</v>
      </c>
      <c r="D373" s="0" t="n">
        <v>12</v>
      </c>
      <c r="E373" s="0" t="n">
        <v>4</v>
      </c>
      <c r="F373" s="0" t="n">
        <f aca="false">D373*E373</f>
        <v>48</v>
      </c>
      <c r="G373" s="0" t="n">
        <f aca="false">ROUNDUP(F373/75,0)</f>
        <v>1</v>
      </c>
    </row>
    <row r="374" customFormat="false" ht="15" hidden="false" customHeight="false" outlineLevel="0" collapsed="false">
      <c r="A374" s="0" t="s">
        <v>33</v>
      </c>
      <c r="B374" s="0" t="s">
        <v>160</v>
      </c>
      <c r="C374" s="0" t="s">
        <v>757</v>
      </c>
      <c r="D374" s="0" t="n">
        <v>6</v>
      </c>
      <c r="E374" s="0" t="n">
        <v>1</v>
      </c>
      <c r="F374" s="0" t="n">
        <f aca="false">D374*E374</f>
        <v>6</v>
      </c>
      <c r="G374" s="0" t="n">
        <f aca="false">ROUNDUP(F374/75,0)</f>
        <v>1</v>
      </c>
    </row>
    <row r="375" customFormat="false" ht="15" hidden="false" customHeight="false" outlineLevel="0" collapsed="false">
      <c r="A375" s="0" t="s">
        <v>33</v>
      </c>
      <c r="B375" s="0" t="s">
        <v>160</v>
      </c>
      <c r="C375" s="0" t="s">
        <v>753</v>
      </c>
      <c r="D375" s="0" t="n">
        <v>6</v>
      </c>
      <c r="E375" s="0" t="n">
        <v>3</v>
      </c>
      <c r="F375" s="0" t="n">
        <f aca="false">D375*E375</f>
        <v>18</v>
      </c>
      <c r="G375" s="0" t="n">
        <f aca="false">ROUNDUP(F375/75,0)</f>
        <v>1</v>
      </c>
    </row>
    <row r="376" customFormat="false" ht="15" hidden="false" customHeight="false" outlineLevel="0" collapsed="false">
      <c r="A376" s="0" t="s">
        <v>33</v>
      </c>
      <c r="B376" s="0" t="s">
        <v>160</v>
      </c>
      <c r="C376" s="0" t="s">
        <v>755</v>
      </c>
      <c r="D376" s="0" t="n">
        <v>6</v>
      </c>
      <c r="E376" s="0" t="n">
        <v>1</v>
      </c>
      <c r="F376" s="0" t="n">
        <f aca="false">D376*E376</f>
        <v>6</v>
      </c>
      <c r="G376" s="0" t="n">
        <f aca="false">ROUNDUP(F376/75,0)</f>
        <v>1</v>
      </c>
    </row>
    <row r="377" customFormat="false" ht="15" hidden="false" customHeight="false" outlineLevel="0" collapsed="false">
      <c r="A377" s="0" t="s">
        <v>33</v>
      </c>
      <c r="B377" s="0" t="s">
        <v>161</v>
      </c>
      <c r="C377" s="0" t="s">
        <v>757</v>
      </c>
      <c r="D377" s="0" t="n">
        <v>6</v>
      </c>
      <c r="E377" s="0" t="n">
        <v>5</v>
      </c>
      <c r="F377" s="0" t="n">
        <f aca="false">D377*E377</f>
        <v>30</v>
      </c>
      <c r="G377" s="0" t="n">
        <f aca="false">ROUNDUP(F377/75,0)</f>
        <v>1</v>
      </c>
    </row>
    <row r="378" customFormat="false" ht="15" hidden="false" customHeight="false" outlineLevel="0" collapsed="false">
      <c r="A378" s="0" t="s">
        <v>33</v>
      </c>
      <c r="B378" s="0" t="s">
        <v>161</v>
      </c>
      <c r="C378" s="0" t="s">
        <v>753</v>
      </c>
      <c r="D378" s="0" t="n">
        <v>6</v>
      </c>
      <c r="E378" s="0" t="n">
        <v>8</v>
      </c>
      <c r="F378" s="0" t="n">
        <f aca="false">D378*E378</f>
        <v>48</v>
      </c>
      <c r="G378" s="0" t="n">
        <f aca="false">ROUNDUP(F378/75,0)</f>
        <v>1</v>
      </c>
    </row>
    <row r="379" customFormat="false" ht="15" hidden="false" customHeight="false" outlineLevel="0" collapsed="false">
      <c r="A379" s="0" t="s">
        <v>33</v>
      </c>
      <c r="B379" s="0" t="s">
        <v>161</v>
      </c>
      <c r="C379" s="0" t="s">
        <v>755</v>
      </c>
      <c r="D379" s="0" t="n">
        <v>6</v>
      </c>
      <c r="E379" s="0" t="n">
        <v>3</v>
      </c>
      <c r="F379" s="0" t="n">
        <f aca="false">D379*E379</f>
        <v>18</v>
      </c>
      <c r="G379" s="0" t="n">
        <f aca="false">ROUNDUP(F379/75,0)</f>
        <v>1</v>
      </c>
    </row>
    <row r="380" customFormat="false" ht="15" hidden="false" customHeight="false" outlineLevel="0" collapsed="false">
      <c r="A380" s="0" t="s">
        <v>33</v>
      </c>
      <c r="B380" s="0" t="s">
        <v>162</v>
      </c>
      <c r="C380" s="0" t="s">
        <v>756</v>
      </c>
      <c r="D380" s="0" t="n">
        <v>12</v>
      </c>
      <c r="E380" s="0" t="n">
        <v>1</v>
      </c>
      <c r="F380" s="0" t="n">
        <f aca="false">D380*E380</f>
        <v>12</v>
      </c>
      <c r="G380" s="0" t="n">
        <f aca="false">ROUNDUP(F380/75,0)</f>
        <v>1</v>
      </c>
    </row>
    <row r="381" customFormat="false" ht="15" hidden="false" customHeight="false" outlineLevel="0" collapsed="false">
      <c r="A381" s="0" t="s">
        <v>33</v>
      </c>
      <c r="B381" s="0" t="s">
        <v>162</v>
      </c>
      <c r="C381" s="0" t="s">
        <v>757</v>
      </c>
      <c r="D381" s="0" t="n">
        <v>6</v>
      </c>
      <c r="E381" s="0" t="n">
        <v>1</v>
      </c>
      <c r="F381" s="0" t="n">
        <f aca="false">D381*E381</f>
        <v>6</v>
      </c>
      <c r="G381" s="0" t="n">
        <f aca="false">ROUNDUP(F381/75,0)</f>
        <v>1</v>
      </c>
    </row>
    <row r="382" customFormat="false" ht="15" hidden="false" customHeight="false" outlineLevel="0" collapsed="false">
      <c r="A382" s="0" t="s">
        <v>33</v>
      </c>
      <c r="B382" s="0" t="s">
        <v>162</v>
      </c>
      <c r="C382" s="0" t="s">
        <v>753</v>
      </c>
      <c r="D382" s="0" t="n">
        <v>6</v>
      </c>
      <c r="E382" s="0" t="n">
        <v>2</v>
      </c>
      <c r="F382" s="0" t="n">
        <f aca="false">D382*E382</f>
        <v>12</v>
      </c>
      <c r="G382" s="0" t="n">
        <f aca="false">ROUNDUP(F382/75,0)</f>
        <v>1</v>
      </c>
    </row>
    <row r="383" customFormat="false" ht="15" hidden="false" customHeight="false" outlineLevel="0" collapsed="false">
      <c r="A383" s="0" t="s">
        <v>33</v>
      </c>
      <c r="B383" s="0" t="s">
        <v>162</v>
      </c>
      <c r="C383" s="0" t="s">
        <v>755</v>
      </c>
      <c r="D383" s="0" t="n">
        <v>6</v>
      </c>
      <c r="E383" s="0" t="n">
        <v>1</v>
      </c>
      <c r="F383" s="0" t="n">
        <f aca="false">D383*E383</f>
        <v>6</v>
      </c>
      <c r="G383" s="0" t="n">
        <f aca="false">ROUNDUP(F383/75,0)</f>
        <v>1</v>
      </c>
    </row>
    <row r="384" customFormat="false" ht="15" hidden="false" customHeight="false" outlineLevel="0" collapsed="false">
      <c r="A384" s="0" t="s">
        <v>33</v>
      </c>
      <c r="B384" s="0" t="s">
        <v>163</v>
      </c>
      <c r="C384" s="0" t="s">
        <v>756</v>
      </c>
      <c r="D384" s="0" t="n">
        <v>12</v>
      </c>
      <c r="E384" s="0" t="n">
        <v>2</v>
      </c>
      <c r="F384" s="0" t="n">
        <f aca="false">D384*E384</f>
        <v>24</v>
      </c>
      <c r="G384" s="0" t="n">
        <f aca="false">ROUNDUP(F384/75,0)</f>
        <v>1</v>
      </c>
    </row>
    <row r="385" customFormat="false" ht="15" hidden="false" customHeight="false" outlineLevel="0" collapsed="false">
      <c r="A385" s="0" t="s">
        <v>33</v>
      </c>
      <c r="B385" s="0" t="s">
        <v>163</v>
      </c>
      <c r="C385" s="0" t="s">
        <v>753</v>
      </c>
      <c r="D385" s="0" t="n">
        <v>6</v>
      </c>
      <c r="E385" s="0" t="n">
        <v>5</v>
      </c>
      <c r="F385" s="0" t="n">
        <f aca="false">D385*E385</f>
        <v>30</v>
      </c>
      <c r="G385" s="0" t="n">
        <f aca="false">ROUNDUP(F385/75,0)</f>
        <v>1</v>
      </c>
    </row>
    <row r="386" customFormat="false" ht="15" hidden="false" customHeight="false" outlineLevel="0" collapsed="false">
      <c r="A386" s="0" t="s">
        <v>33</v>
      </c>
      <c r="B386" s="0" t="s">
        <v>163</v>
      </c>
      <c r="C386" s="0" t="s">
        <v>755</v>
      </c>
      <c r="D386" s="0" t="n">
        <v>6</v>
      </c>
      <c r="E386" s="0" t="n">
        <v>4</v>
      </c>
      <c r="F386" s="0" t="n">
        <f aca="false">D386*E386</f>
        <v>24</v>
      </c>
      <c r="G386" s="0" t="n">
        <f aca="false">ROUNDUP(F386/75,0)</f>
        <v>1</v>
      </c>
    </row>
    <row r="387" customFormat="false" ht="15" hidden="false" customHeight="false" outlineLevel="0" collapsed="false">
      <c r="A387" s="0" t="s">
        <v>33</v>
      </c>
      <c r="B387" s="0" t="s">
        <v>164</v>
      </c>
      <c r="C387" s="0" t="s">
        <v>756</v>
      </c>
      <c r="D387" s="0" t="n">
        <v>12</v>
      </c>
      <c r="E387" s="0" t="n">
        <v>10</v>
      </c>
      <c r="F387" s="0" t="n">
        <f aca="false">D387*E387</f>
        <v>120</v>
      </c>
      <c r="G387" s="0" t="n">
        <f aca="false">ROUNDUP(F387/75,0)</f>
        <v>2</v>
      </c>
    </row>
    <row r="388" customFormat="false" ht="15" hidden="false" customHeight="false" outlineLevel="0" collapsed="false">
      <c r="A388" s="0" t="s">
        <v>33</v>
      </c>
      <c r="B388" s="0" t="s">
        <v>164</v>
      </c>
      <c r="C388" s="0" t="s">
        <v>753</v>
      </c>
      <c r="D388" s="0" t="n">
        <v>6</v>
      </c>
      <c r="E388" s="0" t="n">
        <v>6</v>
      </c>
      <c r="F388" s="0" t="n">
        <f aca="false">D388*E388</f>
        <v>36</v>
      </c>
      <c r="G388" s="0" t="n">
        <f aca="false">ROUNDUP(F388/75,0)</f>
        <v>1</v>
      </c>
    </row>
    <row r="389" customFormat="false" ht="15" hidden="false" customHeight="false" outlineLevel="0" collapsed="false">
      <c r="A389" s="0" t="s">
        <v>33</v>
      </c>
      <c r="B389" s="0" t="s">
        <v>164</v>
      </c>
      <c r="C389" s="0" t="s">
        <v>755</v>
      </c>
      <c r="D389" s="0" t="n">
        <v>6</v>
      </c>
      <c r="E389" s="0" t="n">
        <v>6</v>
      </c>
      <c r="F389" s="0" t="n">
        <f aca="false">D389*E389</f>
        <v>36</v>
      </c>
      <c r="G389" s="0" t="n">
        <f aca="false">ROUNDUP(F389/75,0)</f>
        <v>1</v>
      </c>
    </row>
    <row r="390" customFormat="false" ht="15" hidden="false" customHeight="false" outlineLevel="0" collapsed="false">
      <c r="A390" s="0" t="s">
        <v>33</v>
      </c>
      <c r="B390" s="0" t="s">
        <v>165</v>
      </c>
      <c r="C390" s="0" t="s">
        <v>753</v>
      </c>
      <c r="D390" s="0" t="n">
        <v>6</v>
      </c>
      <c r="E390" s="0" t="n">
        <v>5</v>
      </c>
      <c r="F390" s="0" t="n">
        <f aca="false">D390*E390</f>
        <v>30</v>
      </c>
      <c r="G390" s="0" t="n">
        <f aca="false">ROUNDUP(F390/75,0)</f>
        <v>1</v>
      </c>
    </row>
    <row r="391" customFormat="false" ht="15" hidden="false" customHeight="false" outlineLevel="0" collapsed="false">
      <c r="A391" s="0" t="s">
        <v>33</v>
      </c>
      <c r="B391" s="0" t="s">
        <v>165</v>
      </c>
      <c r="C391" s="0" t="s">
        <v>755</v>
      </c>
      <c r="D391" s="0" t="n">
        <v>6</v>
      </c>
      <c r="E391" s="0" t="n">
        <v>1</v>
      </c>
      <c r="F391" s="0" t="n">
        <f aca="false">D391*E391</f>
        <v>6</v>
      </c>
      <c r="G391" s="0" t="n">
        <f aca="false">ROUNDUP(F391/75,0)</f>
        <v>1</v>
      </c>
    </row>
    <row r="392" customFormat="false" ht="15" hidden="false" customHeight="false" outlineLevel="0" collapsed="false">
      <c r="A392" s="0" t="s">
        <v>33</v>
      </c>
      <c r="B392" s="0" t="s">
        <v>166</v>
      </c>
      <c r="C392" s="0" t="s">
        <v>757</v>
      </c>
      <c r="D392" s="0" t="n">
        <v>6</v>
      </c>
      <c r="E392" s="0" t="n">
        <v>0.5</v>
      </c>
      <c r="F392" s="0" t="n">
        <f aca="false">D392*E392</f>
        <v>3</v>
      </c>
      <c r="G392" s="0" t="n">
        <f aca="false">ROUNDUP(F392/75,0)</f>
        <v>1</v>
      </c>
    </row>
    <row r="393" customFormat="false" ht="15" hidden="false" customHeight="false" outlineLevel="0" collapsed="false">
      <c r="A393" s="0" t="s">
        <v>33</v>
      </c>
      <c r="B393" s="0" t="s">
        <v>166</v>
      </c>
      <c r="C393" s="0" t="s">
        <v>753</v>
      </c>
      <c r="D393" s="0" t="n">
        <v>6</v>
      </c>
      <c r="E393" s="0" t="n">
        <v>2</v>
      </c>
      <c r="F393" s="0" t="n">
        <f aca="false">D393*E393</f>
        <v>12</v>
      </c>
      <c r="G393" s="0" t="n">
        <f aca="false">ROUNDUP(F393/75,0)</f>
        <v>1</v>
      </c>
    </row>
    <row r="394" customFormat="false" ht="15" hidden="false" customHeight="false" outlineLevel="0" collapsed="false">
      <c r="A394" s="0" t="s">
        <v>33</v>
      </c>
      <c r="B394" s="0" t="s">
        <v>166</v>
      </c>
      <c r="C394" s="0" t="s">
        <v>755</v>
      </c>
      <c r="D394" s="0" t="n">
        <v>6</v>
      </c>
      <c r="E394" s="0" t="n">
        <v>1</v>
      </c>
      <c r="F394" s="0" t="n">
        <f aca="false">D394*E394</f>
        <v>6</v>
      </c>
      <c r="G394" s="0" t="n">
        <f aca="false">ROUNDUP(F394/75,0)</f>
        <v>1</v>
      </c>
    </row>
    <row r="395" customFormat="false" ht="15" hidden="false" customHeight="false" outlineLevel="0" collapsed="false">
      <c r="A395" s="0" t="s">
        <v>33</v>
      </c>
      <c r="B395" s="0" t="s">
        <v>167</v>
      </c>
      <c r="C395" s="0" t="s">
        <v>756</v>
      </c>
      <c r="D395" s="0" t="n">
        <v>12</v>
      </c>
      <c r="E395" s="0" t="n">
        <v>1</v>
      </c>
      <c r="F395" s="0" t="n">
        <f aca="false">D395*E395</f>
        <v>12</v>
      </c>
      <c r="G395" s="0" t="n">
        <f aca="false">ROUNDUP(F395/75,0)</f>
        <v>1</v>
      </c>
    </row>
    <row r="396" customFormat="false" ht="15" hidden="false" customHeight="false" outlineLevel="0" collapsed="false">
      <c r="A396" s="0" t="s">
        <v>33</v>
      </c>
      <c r="B396" s="0" t="s">
        <v>167</v>
      </c>
      <c r="C396" s="0" t="s">
        <v>753</v>
      </c>
      <c r="D396" s="0" t="n">
        <v>6</v>
      </c>
      <c r="E396" s="0" t="n">
        <v>3</v>
      </c>
      <c r="F396" s="0" t="n">
        <f aca="false">D396*E396</f>
        <v>18</v>
      </c>
      <c r="G396" s="0" t="n">
        <f aca="false">ROUNDUP(F396/75,0)</f>
        <v>1</v>
      </c>
    </row>
    <row r="397" customFormat="false" ht="15" hidden="false" customHeight="false" outlineLevel="0" collapsed="false">
      <c r="A397" s="0" t="s">
        <v>33</v>
      </c>
      <c r="B397" s="0" t="s">
        <v>167</v>
      </c>
      <c r="C397" s="0" t="s">
        <v>755</v>
      </c>
      <c r="D397" s="0" t="n">
        <v>6</v>
      </c>
      <c r="E397" s="0" t="n">
        <v>1</v>
      </c>
      <c r="F397" s="0" t="n">
        <f aca="false">D397*E397</f>
        <v>6</v>
      </c>
      <c r="G397" s="0" t="n">
        <f aca="false">ROUNDUP(F397/75,0)</f>
        <v>1</v>
      </c>
    </row>
    <row r="398" customFormat="false" ht="15" hidden="false" customHeight="false" outlineLevel="0" collapsed="false">
      <c r="A398" s="0" t="s">
        <v>33</v>
      </c>
      <c r="B398" s="0" t="s">
        <v>168</v>
      </c>
      <c r="C398" s="0" t="s">
        <v>756</v>
      </c>
      <c r="D398" s="0" t="n">
        <v>12</v>
      </c>
      <c r="E398" s="0" t="n">
        <v>1</v>
      </c>
      <c r="F398" s="0" t="n">
        <f aca="false">D398*E398</f>
        <v>12</v>
      </c>
      <c r="G398" s="0" t="n">
        <f aca="false">ROUNDUP(F398/75,0)</f>
        <v>1</v>
      </c>
    </row>
    <row r="399" customFormat="false" ht="15" hidden="false" customHeight="false" outlineLevel="0" collapsed="false">
      <c r="A399" s="0" t="s">
        <v>33</v>
      </c>
      <c r="B399" s="0" t="s">
        <v>168</v>
      </c>
      <c r="C399" s="0" t="s">
        <v>757</v>
      </c>
      <c r="D399" s="0" t="n">
        <v>6</v>
      </c>
      <c r="E399" s="0" t="n">
        <v>1</v>
      </c>
      <c r="F399" s="0" t="n">
        <f aca="false">D399*E399</f>
        <v>6</v>
      </c>
      <c r="G399" s="0" t="n">
        <f aca="false">ROUNDUP(F399/75,0)</f>
        <v>1</v>
      </c>
    </row>
    <row r="400" customFormat="false" ht="15" hidden="false" customHeight="false" outlineLevel="0" collapsed="false">
      <c r="A400" s="0" t="s">
        <v>33</v>
      </c>
      <c r="B400" s="0" t="s">
        <v>168</v>
      </c>
      <c r="C400" s="0" t="s">
        <v>753</v>
      </c>
      <c r="D400" s="0" t="n">
        <v>6</v>
      </c>
      <c r="E400" s="0" t="n">
        <v>3</v>
      </c>
      <c r="F400" s="0" t="n">
        <f aca="false">D400*E400</f>
        <v>18</v>
      </c>
      <c r="G400" s="0" t="n">
        <f aca="false">ROUNDUP(F400/75,0)</f>
        <v>1</v>
      </c>
    </row>
    <row r="401" customFormat="false" ht="15" hidden="false" customHeight="false" outlineLevel="0" collapsed="false">
      <c r="A401" s="0" t="s">
        <v>33</v>
      </c>
      <c r="B401" s="0" t="s">
        <v>169</v>
      </c>
      <c r="C401" s="0" t="s">
        <v>756</v>
      </c>
      <c r="D401" s="0" t="n">
        <v>12</v>
      </c>
      <c r="E401" s="0" t="n">
        <v>1</v>
      </c>
      <c r="F401" s="0" t="n">
        <f aca="false">D401*E401</f>
        <v>12</v>
      </c>
      <c r="G401" s="0" t="n">
        <f aca="false">ROUNDUP(F401/75,0)</f>
        <v>1</v>
      </c>
    </row>
    <row r="402" customFormat="false" ht="15" hidden="false" customHeight="false" outlineLevel="0" collapsed="false">
      <c r="A402" s="0" t="s">
        <v>33</v>
      </c>
      <c r="B402" s="0" t="s">
        <v>169</v>
      </c>
      <c r="C402" s="0" t="s">
        <v>753</v>
      </c>
      <c r="D402" s="0" t="n">
        <v>6</v>
      </c>
      <c r="E402" s="0" t="n">
        <v>3</v>
      </c>
      <c r="F402" s="0" t="n">
        <f aca="false">D402*E402</f>
        <v>18</v>
      </c>
      <c r="G402" s="0" t="n">
        <f aca="false">ROUNDUP(F402/75,0)</f>
        <v>1</v>
      </c>
    </row>
    <row r="403" customFormat="false" ht="15" hidden="false" customHeight="false" outlineLevel="0" collapsed="false">
      <c r="A403" s="0" t="s">
        <v>33</v>
      </c>
      <c r="B403" s="0" t="s">
        <v>169</v>
      </c>
      <c r="C403" s="0" t="s">
        <v>755</v>
      </c>
      <c r="D403" s="0" t="n">
        <v>6</v>
      </c>
      <c r="E403" s="0" t="n">
        <v>4</v>
      </c>
      <c r="F403" s="0" t="n">
        <f aca="false">D403*E403</f>
        <v>24</v>
      </c>
      <c r="G403" s="0" t="n">
        <f aca="false">ROUNDUP(F403/75,0)</f>
        <v>1</v>
      </c>
    </row>
    <row r="404" customFormat="false" ht="15" hidden="false" customHeight="false" outlineLevel="0" collapsed="false">
      <c r="A404" s="0" t="s">
        <v>33</v>
      </c>
      <c r="B404" s="0" t="s">
        <v>170</v>
      </c>
      <c r="C404" s="0" t="s">
        <v>753</v>
      </c>
      <c r="D404" s="0" t="n">
        <v>6</v>
      </c>
      <c r="E404" s="0" t="n">
        <v>6</v>
      </c>
      <c r="F404" s="0" t="n">
        <f aca="false">D404*E404</f>
        <v>36</v>
      </c>
      <c r="G404" s="0" t="n">
        <f aca="false">ROUNDUP(F404/75,0)</f>
        <v>1</v>
      </c>
    </row>
    <row r="405" customFormat="false" ht="15" hidden="false" customHeight="false" outlineLevel="0" collapsed="false">
      <c r="A405" s="0" t="s">
        <v>33</v>
      </c>
      <c r="B405" s="0" t="s">
        <v>170</v>
      </c>
      <c r="C405" s="0" t="s">
        <v>755</v>
      </c>
      <c r="D405" s="0" t="n">
        <v>6</v>
      </c>
      <c r="E405" s="0" t="n">
        <v>4</v>
      </c>
      <c r="F405" s="0" t="n">
        <f aca="false">D405*E405</f>
        <v>24</v>
      </c>
      <c r="G405" s="0" t="n">
        <f aca="false">ROUNDUP(F405/75,0)</f>
        <v>1</v>
      </c>
    </row>
    <row r="406" customFormat="false" ht="15" hidden="false" customHeight="false" outlineLevel="0" collapsed="false">
      <c r="A406" s="0" t="s">
        <v>33</v>
      </c>
      <c r="B406" s="0" t="s">
        <v>171</v>
      </c>
      <c r="C406" s="0" t="s">
        <v>753</v>
      </c>
      <c r="D406" s="0" t="n">
        <v>6</v>
      </c>
      <c r="E406" s="0" t="n">
        <v>5</v>
      </c>
      <c r="F406" s="0" t="n">
        <f aca="false">D406*E406</f>
        <v>30</v>
      </c>
      <c r="G406" s="0" t="n">
        <f aca="false">ROUNDUP(F406/75,0)</f>
        <v>1</v>
      </c>
    </row>
    <row r="407" customFormat="false" ht="15" hidden="false" customHeight="false" outlineLevel="0" collapsed="false">
      <c r="A407" s="0" t="s">
        <v>33</v>
      </c>
      <c r="B407" s="0" t="s">
        <v>172</v>
      </c>
      <c r="C407" s="0" t="s">
        <v>757</v>
      </c>
      <c r="D407" s="0" t="n">
        <v>6</v>
      </c>
      <c r="E407" s="0" t="n">
        <v>1</v>
      </c>
      <c r="F407" s="0" t="n">
        <f aca="false">D407*E407</f>
        <v>6</v>
      </c>
      <c r="G407" s="0" t="n">
        <f aca="false">ROUNDUP(F407/75,0)</f>
        <v>1</v>
      </c>
    </row>
    <row r="408" customFormat="false" ht="15" hidden="false" customHeight="false" outlineLevel="0" collapsed="false">
      <c r="A408" s="0" t="s">
        <v>33</v>
      </c>
      <c r="B408" s="0" t="s">
        <v>172</v>
      </c>
      <c r="C408" s="0" t="s">
        <v>753</v>
      </c>
      <c r="D408" s="0" t="n">
        <v>6</v>
      </c>
      <c r="E408" s="0" t="n">
        <v>1</v>
      </c>
      <c r="F408" s="0" t="n">
        <f aca="false">D408*E408</f>
        <v>6</v>
      </c>
      <c r="G408" s="0" t="n">
        <f aca="false">ROUNDUP(F408/75,0)</f>
        <v>1</v>
      </c>
    </row>
    <row r="409" customFormat="false" ht="15" hidden="false" customHeight="false" outlineLevel="0" collapsed="false">
      <c r="A409" s="0" t="s">
        <v>33</v>
      </c>
      <c r="B409" s="0" t="s">
        <v>172</v>
      </c>
      <c r="C409" s="0" t="s">
        <v>755</v>
      </c>
      <c r="D409" s="0" t="n">
        <v>6</v>
      </c>
      <c r="E409" s="0" t="n">
        <v>2</v>
      </c>
      <c r="F409" s="0" t="n">
        <f aca="false">D409*E409</f>
        <v>12</v>
      </c>
      <c r="G409" s="0" t="n">
        <f aca="false">ROUNDUP(F409/75,0)</f>
        <v>1</v>
      </c>
    </row>
    <row r="410" customFormat="false" ht="15" hidden="false" customHeight="false" outlineLevel="0" collapsed="false">
      <c r="A410" s="0" t="s">
        <v>33</v>
      </c>
      <c r="B410" s="0" t="s">
        <v>173</v>
      </c>
      <c r="C410" s="0" t="s">
        <v>753</v>
      </c>
      <c r="D410" s="0" t="n">
        <v>6</v>
      </c>
      <c r="E410" s="0" t="n">
        <v>2</v>
      </c>
      <c r="F410" s="0" t="n">
        <f aca="false">D410*E410</f>
        <v>12</v>
      </c>
      <c r="G410" s="0" t="n">
        <f aca="false">ROUNDUP(F410/75,0)</f>
        <v>1</v>
      </c>
    </row>
    <row r="411" customFormat="false" ht="15" hidden="false" customHeight="false" outlineLevel="0" collapsed="false">
      <c r="A411" s="0" t="s">
        <v>33</v>
      </c>
      <c r="B411" s="0" t="s">
        <v>173</v>
      </c>
      <c r="C411" s="0" t="s">
        <v>755</v>
      </c>
      <c r="D411" s="0" t="n">
        <v>6</v>
      </c>
      <c r="E411" s="0" t="n">
        <v>2</v>
      </c>
      <c r="F411" s="0" t="n">
        <f aca="false">D411*E411</f>
        <v>12</v>
      </c>
      <c r="G411" s="0" t="n">
        <f aca="false">ROUNDUP(F411/75,0)</f>
        <v>1</v>
      </c>
    </row>
    <row r="412" customFormat="false" ht="15" hidden="false" customHeight="false" outlineLevel="0" collapsed="false">
      <c r="A412" s="0" t="s">
        <v>33</v>
      </c>
      <c r="B412" s="0" t="s">
        <v>174</v>
      </c>
      <c r="C412" s="0" t="s">
        <v>756</v>
      </c>
      <c r="D412" s="0" t="n">
        <v>12</v>
      </c>
      <c r="E412" s="0" t="n">
        <v>1.5</v>
      </c>
      <c r="F412" s="0" t="n">
        <f aca="false">D412*E412</f>
        <v>18</v>
      </c>
      <c r="G412" s="0" t="n">
        <f aca="false">ROUNDUP(F412/75,0)</f>
        <v>1</v>
      </c>
    </row>
    <row r="413" customFormat="false" ht="15" hidden="false" customHeight="false" outlineLevel="0" collapsed="false">
      <c r="A413" s="0" t="s">
        <v>33</v>
      </c>
      <c r="B413" s="0" t="s">
        <v>174</v>
      </c>
      <c r="C413" s="0" t="s">
        <v>757</v>
      </c>
      <c r="D413" s="0" t="n">
        <v>6</v>
      </c>
      <c r="E413" s="0" t="n">
        <v>2</v>
      </c>
      <c r="F413" s="0" t="n">
        <f aca="false">D413*E413</f>
        <v>12</v>
      </c>
      <c r="G413" s="0" t="n">
        <f aca="false">ROUNDUP(F413/75,0)</f>
        <v>1</v>
      </c>
    </row>
    <row r="414" customFormat="false" ht="15" hidden="false" customHeight="false" outlineLevel="0" collapsed="false">
      <c r="A414" s="0" t="s">
        <v>33</v>
      </c>
      <c r="B414" s="0" t="s">
        <v>174</v>
      </c>
      <c r="C414" s="0" t="s">
        <v>753</v>
      </c>
      <c r="D414" s="0" t="n">
        <v>6</v>
      </c>
      <c r="E414" s="0" t="n">
        <v>7</v>
      </c>
      <c r="F414" s="0" t="n">
        <f aca="false">D414*E414</f>
        <v>42</v>
      </c>
      <c r="G414" s="0" t="n">
        <f aca="false">ROUNDUP(F414/75,0)</f>
        <v>1</v>
      </c>
    </row>
    <row r="415" customFormat="false" ht="15" hidden="false" customHeight="false" outlineLevel="0" collapsed="false">
      <c r="A415" s="0" t="s">
        <v>33</v>
      </c>
      <c r="B415" s="0" t="s">
        <v>175</v>
      </c>
      <c r="C415" s="0" t="s">
        <v>756</v>
      </c>
      <c r="D415" s="0" t="n">
        <v>12</v>
      </c>
      <c r="E415" s="0" t="n">
        <v>1</v>
      </c>
      <c r="F415" s="0" t="n">
        <f aca="false">D415*E415</f>
        <v>12</v>
      </c>
      <c r="G415" s="0" t="n">
        <f aca="false">ROUNDUP(F415/75,0)</f>
        <v>1</v>
      </c>
    </row>
    <row r="416" customFormat="false" ht="15" hidden="false" customHeight="false" outlineLevel="0" collapsed="false">
      <c r="A416" s="0" t="s">
        <v>33</v>
      </c>
      <c r="B416" s="0" t="s">
        <v>175</v>
      </c>
      <c r="C416" s="0" t="s">
        <v>757</v>
      </c>
      <c r="D416" s="0" t="n">
        <v>6</v>
      </c>
      <c r="E416" s="0" t="n">
        <v>1</v>
      </c>
      <c r="F416" s="0" t="n">
        <f aca="false">D416*E416</f>
        <v>6</v>
      </c>
      <c r="G416" s="0" t="n">
        <f aca="false">ROUNDUP(F416/75,0)</f>
        <v>1</v>
      </c>
    </row>
    <row r="417" customFormat="false" ht="15" hidden="false" customHeight="false" outlineLevel="0" collapsed="false">
      <c r="A417" s="0" t="s">
        <v>33</v>
      </c>
      <c r="B417" s="0" t="s">
        <v>175</v>
      </c>
      <c r="C417" s="0" t="s">
        <v>753</v>
      </c>
      <c r="D417" s="0" t="n">
        <v>6</v>
      </c>
      <c r="E417" s="0" t="n">
        <v>1</v>
      </c>
      <c r="F417" s="0" t="n">
        <f aca="false">D417*E417</f>
        <v>6</v>
      </c>
      <c r="G417" s="0" t="n">
        <f aca="false">ROUNDUP(F417/75,0)</f>
        <v>1</v>
      </c>
    </row>
    <row r="418" customFormat="false" ht="15" hidden="false" customHeight="false" outlineLevel="0" collapsed="false">
      <c r="A418" s="0" t="s">
        <v>33</v>
      </c>
      <c r="B418" s="0" t="s">
        <v>175</v>
      </c>
      <c r="C418" s="0" t="s">
        <v>755</v>
      </c>
      <c r="D418" s="0" t="n">
        <v>6</v>
      </c>
      <c r="E418" s="0" t="n">
        <v>2</v>
      </c>
      <c r="F418" s="0" t="n">
        <f aca="false">D418*E418</f>
        <v>12</v>
      </c>
      <c r="G418" s="0" t="n">
        <f aca="false">ROUNDUP(F418/75,0)</f>
        <v>1</v>
      </c>
    </row>
    <row r="419" customFormat="false" ht="15" hidden="false" customHeight="false" outlineLevel="0" collapsed="false">
      <c r="A419" s="0" t="s">
        <v>33</v>
      </c>
      <c r="B419" s="0" t="s">
        <v>176</v>
      </c>
      <c r="C419" s="0" t="s">
        <v>753</v>
      </c>
      <c r="D419" s="0" t="n">
        <v>6</v>
      </c>
      <c r="E419" s="0" t="n">
        <v>1</v>
      </c>
      <c r="F419" s="0" t="n">
        <f aca="false">D419*E419</f>
        <v>6</v>
      </c>
      <c r="G419" s="0" t="n">
        <f aca="false">ROUNDUP(F419/75,0)</f>
        <v>1</v>
      </c>
    </row>
    <row r="420" customFormat="false" ht="15" hidden="false" customHeight="false" outlineLevel="0" collapsed="false">
      <c r="A420" s="0" t="s">
        <v>33</v>
      </c>
      <c r="B420" s="0" t="s">
        <v>177</v>
      </c>
      <c r="C420" s="0" t="s">
        <v>756</v>
      </c>
      <c r="D420" s="0" t="n">
        <v>12</v>
      </c>
      <c r="E420" s="0" t="n">
        <v>1</v>
      </c>
      <c r="F420" s="0" t="n">
        <f aca="false">D420*E420</f>
        <v>12</v>
      </c>
      <c r="G420" s="0" t="n">
        <f aca="false">ROUNDUP(F420/75,0)</f>
        <v>1</v>
      </c>
    </row>
    <row r="421" customFormat="false" ht="15" hidden="false" customHeight="false" outlineLevel="0" collapsed="false">
      <c r="A421" s="0" t="s">
        <v>33</v>
      </c>
      <c r="B421" s="0" t="s">
        <v>178</v>
      </c>
      <c r="C421" s="0" t="s">
        <v>753</v>
      </c>
      <c r="D421" s="0" t="n">
        <v>6</v>
      </c>
      <c r="E421" s="0" t="n">
        <v>1</v>
      </c>
      <c r="F421" s="0" t="n">
        <f aca="false">D421*E421</f>
        <v>6</v>
      </c>
      <c r="G421" s="0" t="n">
        <f aca="false">ROUNDUP(F421/75,0)</f>
        <v>1</v>
      </c>
    </row>
    <row r="422" customFormat="false" ht="15" hidden="false" customHeight="false" outlineLevel="0" collapsed="false">
      <c r="A422" s="0" t="s">
        <v>33</v>
      </c>
      <c r="B422" s="0" t="s">
        <v>178</v>
      </c>
      <c r="C422" s="0" t="s">
        <v>755</v>
      </c>
      <c r="D422" s="0" t="n">
        <v>6</v>
      </c>
      <c r="E422" s="0" t="n">
        <v>1</v>
      </c>
      <c r="F422" s="0" t="n">
        <f aca="false">D422*E422</f>
        <v>6</v>
      </c>
      <c r="G422" s="0" t="n">
        <f aca="false">ROUNDUP(F422/75,0)</f>
        <v>1</v>
      </c>
    </row>
    <row r="423" customFormat="false" ht="15" hidden="false" customHeight="false" outlineLevel="0" collapsed="false">
      <c r="A423" s="0" t="s">
        <v>33</v>
      </c>
      <c r="B423" s="0" t="s">
        <v>179</v>
      </c>
      <c r="C423" s="0" t="s">
        <v>756</v>
      </c>
      <c r="D423" s="0" t="n">
        <v>12</v>
      </c>
      <c r="E423" s="0" t="n">
        <v>4</v>
      </c>
      <c r="F423" s="0" t="n">
        <f aca="false">D423*E423</f>
        <v>48</v>
      </c>
      <c r="G423" s="0" t="n">
        <f aca="false">ROUNDUP(F423/75,0)</f>
        <v>1</v>
      </c>
    </row>
    <row r="424" customFormat="false" ht="15" hidden="false" customHeight="false" outlineLevel="0" collapsed="false">
      <c r="A424" s="0" t="s">
        <v>33</v>
      </c>
      <c r="B424" s="0" t="s">
        <v>179</v>
      </c>
      <c r="C424" s="0" t="s">
        <v>757</v>
      </c>
      <c r="D424" s="0" t="n">
        <v>6</v>
      </c>
      <c r="E424" s="0" t="n">
        <v>3</v>
      </c>
      <c r="F424" s="0" t="n">
        <f aca="false">D424*E424</f>
        <v>18</v>
      </c>
      <c r="G424" s="0" t="n">
        <f aca="false">ROUNDUP(F424/75,0)</f>
        <v>1</v>
      </c>
    </row>
    <row r="425" customFormat="false" ht="15" hidden="false" customHeight="false" outlineLevel="0" collapsed="false">
      <c r="A425" s="0" t="s">
        <v>33</v>
      </c>
      <c r="B425" s="0" t="s">
        <v>179</v>
      </c>
      <c r="C425" s="0" t="s">
        <v>753</v>
      </c>
      <c r="D425" s="0" t="n">
        <v>6</v>
      </c>
      <c r="E425" s="0" t="n">
        <v>2</v>
      </c>
      <c r="F425" s="0" t="n">
        <f aca="false">D425*E425</f>
        <v>12</v>
      </c>
      <c r="G425" s="0" t="n">
        <f aca="false">ROUNDUP(F425/75,0)</f>
        <v>1</v>
      </c>
    </row>
    <row r="426" customFormat="false" ht="15" hidden="false" customHeight="false" outlineLevel="0" collapsed="false">
      <c r="A426" s="0" t="s">
        <v>33</v>
      </c>
      <c r="B426" s="0" t="s">
        <v>179</v>
      </c>
      <c r="C426" s="0" t="s">
        <v>755</v>
      </c>
      <c r="D426" s="0" t="n">
        <v>6</v>
      </c>
      <c r="E426" s="0" t="n">
        <v>3</v>
      </c>
      <c r="F426" s="0" t="n">
        <f aca="false">D426*E426</f>
        <v>18</v>
      </c>
      <c r="G426" s="0" t="n">
        <f aca="false">ROUNDUP(F426/75,0)</f>
        <v>1</v>
      </c>
    </row>
    <row r="427" customFormat="false" ht="15" hidden="false" customHeight="false" outlineLevel="0" collapsed="false">
      <c r="A427" s="0" t="s">
        <v>33</v>
      </c>
      <c r="B427" s="0" t="s">
        <v>180</v>
      </c>
      <c r="C427" s="0" t="s">
        <v>756</v>
      </c>
      <c r="D427" s="0" t="n">
        <v>12</v>
      </c>
      <c r="E427" s="0" t="n">
        <v>3</v>
      </c>
      <c r="F427" s="0" t="n">
        <f aca="false">D427*E427</f>
        <v>36</v>
      </c>
      <c r="G427" s="0" t="n">
        <f aca="false">ROUNDUP(F427/75,0)</f>
        <v>1</v>
      </c>
    </row>
    <row r="428" customFormat="false" ht="15" hidden="false" customHeight="false" outlineLevel="0" collapsed="false">
      <c r="A428" s="0" t="s">
        <v>33</v>
      </c>
      <c r="B428" s="0" t="s">
        <v>180</v>
      </c>
      <c r="C428" s="0" t="s">
        <v>753</v>
      </c>
      <c r="D428" s="0" t="n">
        <v>6</v>
      </c>
      <c r="E428" s="0" t="n">
        <v>1</v>
      </c>
      <c r="F428" s="0" t="n">
        <f aca="false">D428*E428</f>
        <v>6</v>
      </c>
      <c r="G428" s="0" t="n">
        <f aca="false">ROUNDUP(F428/75,0)</f>
        <v>1</v>
      </c>
    </row>
    <row r="429" customFormat="false" ht="15" hidden="false" customHeight="false" outlineLevel="0" collapsed="false">
      <c r="A429" s="0" t="s">
        <v>33</v>
      </c>
      <c r="B429" s="0" t="s">
        <v>180</v>
      </c>
      <c r="C429" s="0" t="s">
        <v>755</v>
      </c>
      <c r="D429" s="0" t="n">
        <v>6</v>
      </c>
      <c r="E429" s="0" t="n">
        <v>5</v>
      </c>
      <c r="F429" s="0" t="n">
        <f aca="false">D429*E429</f>
        <v>30</v>
      </c>
      <c r="G429" s="0" t="n">
        <f aca="false">ROUNDUP(F429/75,0)</f>
        <v>1</v>
      </c>
    </row>
    <row r="430" customFormat="false" ht="15" hidden="false" customHeight="false" outlineLevel="0" collapsed="false">
      <c r="A430" s="0" t="s">
        <v>33</v>
      </c>
      <c r="B430" s="0" t="s">
        <v>181</v>
      </c>
      <c r="C430" s="0" t="s">
        <v>756</v>
      </c>
      <c r="D430" s="0" t="n">
        <v>12</v>
      </c>
      <c r="E430" s="0" t="n">
        <v>2</v>
      </c>
      <c r="F430" s="0" t="n">
        <f aca="false">D430*E430</f>
        <v>24</v>
      </c>
      <c r="G430" s="0" t="n">
        <f aca="false">ROUNDUP(F430/75,0)</f>
        <v>1</v>
      </c>
    </row>
    <row r="431" customFormat="false" ht="15" hidden="false" customHeight="false" outlineLevel="0" collapsed="false">
      <c r="A431" s="0" t="s">
        <v>33</v>
      </c>
      <c r="B431" s="0" t="s">
        <v>181</v>
      </c>
      <c r="C431" s="0" t="s">
        <v>753</v>
      </c>
      <c r="D431" s="0" t="n">
        <v>6</v>
      </c>
      <c r="E431" s="0" t="n">
        <v>5</v>
      </c>
      <c r="F431" s="0" t="n">
        <f aca="false">D431*E431</f>
        <v>30</v>
      </c>
      <c r="G431" s="0" t="n">
        <f aca="false">ROUNDUP(F431/75,0)</f>
        <v>1</v>
      </c>
    </row>
    <row r="432" customFormat="false" ht="15" hidden="false" customHeight="false" outlineLevel="0" collapsed="false">
      <c r="A432" s="0" t="s">
        <v>33</v>
      </c>
      <c r="B432" s="0" t="s">
        <v>181</v>
      </c>
      <c r="C432" s="0" t="s">
        <v>755</v>
      </c>
      <c r="D432" s="0" t="n">
        <v>6</v>
      </c>
      <c r="E432" s="0" t="n">
        <v>5</v>
      </c>
      <c r="F432" s="0" t="n">
        <f aca="false">D432*E432</f>
        <v>30</v>
      </c>
      <c r="G432" s="0" t="n">
        <f aca="false">ROUNDUP(F432/75,0)</f>
        <v>1</v>
      </c>
    </row>
    <row r="433" customFormat="false" ht="15" hidden="false" customHeight="false" outlineLevel="0" collapsed="false">
      <c r="A433" s="0" t="s">
        <v>33</v>
      </c>
      <c r="B433" s="0" t="s">
        <v>182</v>
      </c>
      <c r="C433" s="0" t="s">
        <v>756</v>
      </c>
      <c r="D433" s="0" t="n">
        <v>12</v>
      </c>
      <c r="E433" s="0" t="n">
        <v>2</v>
      </c>
      <c r="F433" s="0" t="n">
        <f aca="false">D433*E433</f>
        <v>24</v>
      </c>
      <c r="G433" s="0" t="n">
        <f aca="false">ROUNDUP(F433/75,0)</f>
        <v>1</v>
      </c>
    </row>
    <row r="434" customFormat="false" ht="15" hidden="false" customHeight="false" outlineLevel="0" collapsed="false">
      <c r="A434" s="0" t="s">
        <v>33</v>
      </c>
      <c r="B434" s="0" t="s">
        <v>182</v>
      </c>
      <c r="C434" s="0" t="s">
        <v>753</v>
      </c>
      <c r="D434" s="0" t="n">
        <v>6</v>
      </c>
      <c r="E434" s="0" t="n">
        <v>3</v>
      </c>
      <c r="F434" s="0" t="n">
        <f aca="false">D434*E434</f>
        <v>18</v>
      </c>
      <c r="G434" s="0" t="n">
        <f aca="false">ROUNDUP(F434/75,0)</f>
        <v>1</v>
      </c>
    </row>
    <row r="435" customFormat="false" ht="15" hidden="false" customHeight="false" outlineLevel="0" collapsed="false">
      <c r="A435" s="0" t="s">
        <v>33</v>
      </c>
      <c r="B435" s="0" t="s">
        <v>183</v>
      </c>
      <c r="C435" s="0" t="s">
        <v>756</v>
      </c>
      <c r="D435" s="0" t="n">
        <v>12</v>
      </c>
      <c r="E435" s="0" t="n">
        <v>2</v>
      </c>
      <c r="F435" s="0" t="n">
        <f aca="false">D435*E435</f>
        <v>24</v>
      </c>
      <c r="G435" s="0" t="n">
        <f aca="false">ROUNDUP(F435/75,0)</f>
        <v>1</v>
      </c>
    </row>
    <row r="436" customFormat="false" ht="15" hidden="false" customHeight="false" outlineLevel="0" collapsed="false">
      <c r="A436" s="0" t="s">
        <v>33</v>
      </c>
      <c r="B436" s="0" t="s">
        <v>183</v>
      </c>
      <c r="C436" s="0" t="s">
        <v>757</v>
      </c>
      <c r="D436" s="0" t="n">
        <v>6</v>
      </c>
      <c r="E436" s="0" t="n">
        <v>1</v>
      </c>
      <c r="F436" s="0" t="n">
        <f aca="false">D436*E436</f>
        <v>6</v>
      </c>
      <c r="G436" s="0" t="n">
        <f aca="false">ROUNDUP(F436/75,0)</f>
        <v>1</v>
      </c>
    </row>
    <row r="437" customFormat="false" ht="15" hidden="false" customHeight="false" outlineLevel="0" collapsed="false">
      <c r="A437" s="0" t="s">
        <v>33</v>
      </c>
      <c r="B437" s="0" t="s">
        <v>183</v>
      </c>
      <c r="C437" s="0" t="s">
        <v>753</v>
      </c>
      <c r="D437" s="0" t="n">
        <v>6</v>
      </c>
      <c r="E437" s="0" t="n">
        <v>2</v>
      </c>
      <c r="F437" s="0" t="n">
        <f aca="false">D437*E437</f>
        <v>12</v>
      </c>
      <c r="G437" s="0" t="n">
        <f aca="false">ROUNDUP(F437/75,0)</f>
        <v>1</v>
      </c>
    </row>
    <row r="438" customFormat="false" ht="15" hidden="false" customHeight="false" outlineLevel="0" collapsed="false">
      <c r="A438" s="0" t="s">
        <v>33</v>
      </c>
      <c r="B438" s="0" t="s">
        <v>183</v>
      </c>
      <c r="C438" s="0" t="s">
        <v>755</v>
      </c>
      <c r="D438" s="0" t="n">
        <v>6</v>
      </c>
      <c r="E438" s="0" t="n">
        <v>5</v>
      </c>
      <c r="F438" s="0" t="n">
        <f aca="false">D438*E438</f>
        <v>30</v>
      </c>
      <c r="G438" s="0" t="n">
        <f aca="false">ROUNDUP(F438/75,0)</f>
        <v>1</v>
      </c>
    </row>
    <row r="439" customFormat="false" ht="15" hidden="false" customHeight="false" outlineLevel="0" collapsed="false">
      <c r="A439" s="0" t="s">
        <v>33</v>
      </c>
      <c r="B439" s="0" t="s">
        <v>184</v>
      </c>
      <c r="C439" s="0" t="s">
        <v>753</v>
      </c>
      <c r="D439" s="0" t="n">
        <v>6</v>
      </c>
      <c r="E439" s="0" t="n">
        <v>7</v>
      </c>
      <c r="F439" s="0" t="n">
        <f aca="false">D439*E439</f>
        <v>42</v>
      </c>
      <c r="G439" s="0" t="n">
        <f aca="false">ROUNDUP(F439/75,0)</f>
        <v>1</v>
      </c>
    </row>
    <row r="440" customFormat="false" ht="15" hidden="false" customHeight="false" outlineLevel="0" collapsed="false">
      <c r="A440" s="0" t="s">
        <v>33</v>
      </c>
      <c r="B440" s="0" t="s">
        <v>184</v>
      </c>
      <c r="C440" s="0" t="s">
        <v>755</v>
      </c>
      <c r="D440" s="0" t="n">
        <v>6</v>
      </c>
      <c r="E440" s="0" t="n">
        <v>2</v>
      </c>
      <c r="F440" s="0" t="n">
        <f aca="false">D440*E440</f>
        <v>12</v>
      </c>
      <c r="G440" s="0" t="n">
        <f aca="false">ROUNDUP(F440/75,0)</f>
        <v>1</v>
      </c>
    </row>
    <row r="441" customFormat="false" ht="15" hidden="false" customHeight="false" outlineLevel="0" collapsed="false">
      <c r="A441" s="0" t="s">
        <v>33</v>
      </c>
      <c r="B441" s="0" t="s">
        <v>185</v>
      </c>
      <c r="C441" s="0" t="s">
        <v>756</v>
      </c>
      <c r="D441" s="0" t="n">
        <v>12</v>
      </c>
      <c r="E441" s="0" t="n">
        <v>3</v>
      </c>
      <c r="F441" s="0" t="n">
        <f aca="false">D441*E441</f>
        <v>36</v>
      </c>
      <c r="G441" s="0" t="n">
        <f aca="false">ROUNDUP(F441/75,0)</f>
        <v>1</v>
      </c>
    </row>
    <row r="442" customFormat="false" ht="15" hidden="false" customHeight="false" outlineLevel="0" collapsed="false">
      <c r="A442" s="0" t="s">
        <v>33</v>
      </c>
      <c r="B442" s="0" t="s">
        <v>185</v>
      </c>
      <c r="C442" s="0" t="s">
        <v>757</v>
      </c>
      <c r="D442" s="0" t="n">
        <v>6</v>
      </c>
      <c r="E442" s="0" t="n">
        <v>2</v>
      </c>
      <c r="F442" s="0" t="n">
        <f aca="false">D442*E442</f>
        <v>12</v>
      </c>
      <c r="G442" s="0" t="n">
        <f aca="false">ROUNDUP(F442/75,0)</f>
        <v>1</v>
      </c>
    </row>
    <row r="443" customFormat="false" ht="15" hidden="false" customHeight="false" outlineLevel="0" collapsed="false">
      <c r="A443" s="0" t="s">
        <v>33</v>
      </c>
      <c r="B443" s="0" t="s">
        <v>185</v>
      </c>
      <c r="C443" s="0" t="s">
        <v>753</v>
      </c>
      <c r="D443" s="0" t="n">
        <v>6</v>
      </c>
      <c r="E443" s="0" t="n">
        <v>2</v>
      </c>
      <c r="F443" s="0" t="n">
        <f aca="false">D443*E443</f>
        <v>12</v>
      </c>
      <c r="G443" s="0" t="n">
        <f aca="false">ROUNDUP(F443/75,0)</f>
        <v>1</v>
      </c>
    </row>
    <row r="444" customFormat="false" ht="15" hidden="false" customHeight="false" outlineLevel="0" collapsed="false">
      <c r="A444" s="0" t="s">
        <v>33</v>
      </c>
      <c r="B444" s="0" t="s">
        <v>185</v>
      </c>
      <c r="C444" s="0" t="s">
        <v>755</v>
      </c>
      <c r="D444" s="0" t="n">
        <v>6</v>
      </c>
      <c r="E444" s="0" t="n">
        <v>3</v>
      </c>
      <c r="F444" s="0" t="n">
        <f aca="false">D444*E444</f>
        <v>18</v>
      </c>
      <c r="G444" s="0" t="n">
        <f aca="false">ROUNDUP(F444/75,0)</f>
        <v>1</v>
      </c>
    </row>
    <row r="445" customFormat="false" ht="15" hidden="false" customHeight="false" outlineLevel="0" collapsed="false">
      <c r="A445" s="0" t="s">
        <v>33</v>
      </c>
      <c r="B445" s="0" t="s">
        <v>186</v>
      </c>
      <c r="C445" s="0" t="s">
        <v>756</v>
      </c>
      <c r="D445" s="0" t="n">
        <v>12</v>
      </c>
      <c r="E445" s="0" t="n">
        <v>3</v>
      </c>
      <c r="F445" s="0" t="n">
        <f aca="false">D445*E445</f>
        <v>36</v>
      </c>
      <c r="G445" s="0" t="n">
        <f aca="false">ROUNDUP(F445/75,0)</f>
        <v>1</v>
      </c>
    </row>
    <row r="446" customFormat="false" ht="15" hidden="false" customHeight="false" outlineLevel="0" collapsed="false">
      <c r="A446" s="0" t="s">
        <v>33</v>
      </c>
      <c r="B446" s="0" t="s">
        <v>186</v>
      </c>
      <c r="C446" s="0" t="s">
        <v>757</v>
      </c>
      <c r="D446" s="0" t="n">
        <v>6</v>
      </c>
      <c r="E446" s="0" t="n">
        <v>3</v>
      </c>
      <c r="F446" s="0" t="n">
        <f aca="false">D446*E446</f>
        <v>18</v>
      </c>
      <c r="G446" s="0" t="n">
        <f aca="false">ROUNDUP(F446/75,0)</f>
        <v>1</v>
      </c>
    </row>
    <row r="447" customFormat="false" ht="15" hidden="false" customHeight="false" outlineLevel="0" collapsed="false">
      <c r="A447" s="0" t="s">
        <v>33</v>
      </c>
      <c r="B447" s="0" t="s">
        <v>186</v>
      </c>
      <c r="C447" s="0" t="s">
        <v>753</v>
      </c>
      <c r="D447" s="0" t="n">
        <v>6</v>
      </c>
      <c r="E447" s="0" t="n">
        <v>1</v>
      </c>
      <c r="F447" s="0" t="n">
        <f aca="false">D447*E447</f>
        <v>6</v>
      </c>
      <c r="G447" s="0" t="n">
        <f aca="false">ROUNDUP(F447/75,0)</f>
        <v>1</v>
      </c>
    </row>
    <row r="448" customFormat="false" ht="15" hidden="false" customHeight="false" outlineLevel="0" collapsed="false">
      <c r="A448" s="0" t="s">
        <v>33</v>
      </c>
      <c r="B448" s="0" t="s">
        <v>187</v>
      </c>
      <c r="C448" s="0" t="s">
        <v>753</v>
      </c>
      <c r="D448" s="0" t="n">
        <v>6</v>
      </c>
      <c r="E448" s="0" t="n">
        <v>1</v>
      </c>
      <c r="F448" s="0" t="n">
        <f aca="false">D448*E448</f>
        <v>6</v>
      </c>
      <c r="G448" s="0" t="n">
        <f aca="false">ROUNDUP(F448/75,0)</f>
        <v>1</v>
      </c>
    </row>
    <row r="449" customFormat="false" ht="15" hidden="false" customHeight="false" outlineLevel="0" collapsed="false">
      <c r="A449" s="0" t="s">
        <v>33</v>
      </c>
      <c r="B449" s="0" t="s">
        <v>187</v>
      </c>
      <c r="C449" s="0" t="s">
        <v>755</v>
      </c>
      <c r="D449" s="0" t="n">
        <v>6</v>
      </c>
      <c r="E449" s="0" t="n">
        <v>3</v>
      </c>
      <c r="F449" s="0" t="n">
        <f aca="false">D449*E449</f>
        <v>18</v>
      </c>
      <c r="G449" s="0" t="n">
        <f aca="false">ROUNDUP(F449/75,0)</f>
        <v>1</v>
      </c>
    </row>
    <row r="450" customFormat="false" ht="15" hidden="false" customHeight="false" outlineLevel="0" collapsed="false">
      <c r="A450" s="0" t="s">
        <v>33</v>
      </c>
      <c r="B450" s="0" t="s">
        <v>188</v>
      </c>
      <c r="C450" s="0" t="s">
        <v>755</v>
      </c>
      <c r="D450" s="0" t="n">
        <v>6</v>
      </c>
      <c r="E450" s="0" t="n">
        <v>3</v>
      </c>
      <c r="F450" s="0" t="n">
        <f aca="false">D450*E450</f>
        <v>18</v>
      </c>
      <c r="G450" s="0" t="n">
        <f aca="false">ROUNDUP(F450/75,0)</f>
        <v>1</v>
      </c>
    </row>
    <row r="451" customFormat="false" ht="15" hidden="false" customHeight="false" outlineLevel="0" collapsed="false">
      <c r="A451" s="0" t="s">
        <v>33</v>
      </c>
      <c r="B451" s="0" t="s">
        <v>189</v>
      </c>
      <c r="C451" s="0" t="s">
        <v>756</v>
      </c>
      <c r="D451" s="0" t="n">
        <v>12</v>
      </c>
      <c r="E451" s="0" t="n">
        <v>5</v>
      </c>
      <c r="F451" s="0" t="n">
        <f aca="false">D451*E451</f>
        <v>60</v>
      </c>
      <c r="G451" s="0" t="n">
        <f aca="false">ROUNDUP(F451/75,0)</f>
        <v>1</v>
      </c>
    </row>
    <row r="452" customFormat="false" ht="15" hidden="false" customHeight="false" outlineLevel="0" collapsed="false">
      <c r="A452" s="0" t="s">
        <v>33</v>
      </c>
      <c r="B452" s="0" t="s">
        <v>189</v>
      </c>
      <c r="C452" s="0" t="s">
        <v>757</v>
      </c>
      <c r="D452" s="0" t="n">
        <v>6</v>
      </c>
      <c r="E452" s="0" t="n">
        <v>1</v>
      </c>
      <c r="F452" s="0" t="n">
        <f aca="false">D452*E452</f>
        <v>6</v>
      </c>
      <c r="G452" s="0" t="n">
        <f aca="false">ROUNDUP(F452/75,0)</f>
        <v>1</v>
      </c>
    </row>
    <row r="453" customFormat="false" ht="15" hidden="false" customHeight="false" outlineLevel="0" collapsed="false">
      <c r="A453" s="0" t="s">
        <v>33</v>
      </c>
      <c r="B453" s="0" t="s">
        <v>189</v>
      </c>
      <c r="C453" s="0" t="s">
        <v>753</v>
      </c>
      <c r="D453" s="0" t="n">
        <v>6</v>
      </c>
      <c r="E453" s="0" t="n">
        <v>4</v>
      </c>
      <c r="F453" s="0" t="n">
        <f aca="false">D453*E453</f>
        <v>24</v>
      </c>
      <c r="G453" s="0" t="n">
        <f aca="false">ROUNDUP(F453/75,0)</f>
        <v>1</v>
      </c>
    </row>
    <row r="454" customFormat="false" ht="15" hidden="false" customHeight="false" outlineLevel="0" collapsed="false">
      <c r="A454" s="0" t="s">
        <v>33</v>
      </c>
      <c r="B454" s="0" t="s">
        <v>189</v>
      </c>
      <c r="C454" s="0" t="s">
        <v>755</v>
      </c>
      <c r="D454" s="0" t="n">
        <v>6</v>
      </c>
      <c r="E454" s="0" t="n">
        <v>3</v>
      </c>
      <c r="F454" s="0" t="n">
        <f aca="false">D454*E454</f>
        <v>18</v>
      </c>
      <c r="G454" s="0" t="n">
        <f aca="false">ROUNDUP(F454/75,0)</f>
        <v>1</v>
      </c>
    </row>
    <row r="455" customFormat="false" ht="15" hidden="false" customHeight="false" outlineLevel="0" collapsed="false">
      <c r="A455" s="0" t="s">
        <v>33</v>
      </c>
      <c r="B455" s="0" t="s">
        <v>190</v>
      </c>
      <c r="C455" s="0" t="s">
        <v>757</v>
      </c>
      <c r="D455" s="0" t="n">
        <v>6</v>
      </c>
      <c r="E455" s="0" t="n">
        <v>1</v>
      </c>
      <c r="F455" s="0" t="n">
        <f aca="false">D455*E455</f>
        <v>6</v>
      </c>
      <c r="G455" s="0" t="n">
        <f aca="false">ROUNDUP(F455/75,0)</f>
        <v>1</v>
      </c>
    </row>
    <row r="456" customFormat="false" ht="15" hidden="false" customHeight="false" outlineLevel="0" collapsed="false">
      <c r="A456" s="0" t="s">
        <v>33</v>
      </c>
      <c r="B456" s="0" t="s">
        <v>190</v>
      </c>
      <c r="C456" s="0" t="s">
        <v>753</v>
      </c>
      <c r="D456" s="0" t="n">
        <v>6</v>
      </c>
      <c r="E456" s="0" t="n">
        <v>1</v>
      </c>
      <c r="F456" s="0" t="n">
        <f aca="false">D456*E456</f>
        <v>6</v>
      </c>
      <c r="G456" s="0" t="n">
        <f aca="false">ROUNDUP(F456/75,0)</f>
        <v>1</v>
      </c>
    </row>
    <row r="457" customFormat="false" ht="15" hidden="false" customHeight="false" outlineLevel="0" collapsed="false">
      <c r="A457" s="0" t="s">
        <v>33</v>
      </c>
      <c r="B457" s="0" t="s">
        <v>190</v>
      </c>
      <c r="C457" s="0" t="s">
        <v>755</v>
      </c>
      <c r="D457" s="0" t="n">
        <v>6</v>
      </c>
      <c r="E457" s="0" t="n">
        <v>2</v>
      </c>
      <c r="F457" s="0" t="n">
        <f aca="false">D457*E457</f>
        <v>12</v>
      </c>
      <c r="G457" s="0" t="n">
        <f aca="false">ROUNDUP(F457/75,0)</f>
        <v>1</v>
      </c>
    </row>
    <row r="458" customFormat="false" ht="15" hidden="false" customHeight="false" outlineLevel="0" collapsed="false">
      <c r="A458" s="0" t="s">
        <v>33</v>
      </c>
      <c r="B458" s="0" t="s">
        <v>191</v>
      </c>
      <c r="C458" s="0" t="s">
        <v>753</v>
      </c>
      <c r="D458" s="0" t="n">
        <v>6</v>
      </c>
      <c r="E458" s="0" t="n">
        <v>2</v>
      </c>
      <c r="F458" s="0" t="n">
        <f aca="false">D458*E458</f>
        <v>12</v>
      </c>
      <c r="G458" s="0" t="n">
        <f aca="false">ROUNDUP(F458/75,0)</f>
        <v>1</v>
      </c>
    </row>
    <row r="459" customFormat="false" ht="15" hidden="false" customHeight="false" outlineLevel="0" collapsed="false">
      <c r="A459" s="0" t="s">
        <v>33</v>
      </c>
      <c r="B459" s="0" t="s">
        <v>191</v>
      </c>
      <c r="C459" s="0" t="s">
        <v>755</v>
      </c>
      <c r="D459" s="0" t="n">
        <v>6</v>
      </c>
      <c r="E459" s="0" t="n">
        <v>6</v>
      </c>
      <c r="F459" s="0" t="n">
        <f aca="false">D459*E459</f>
        <v>36</v>
      </c>
      <c r="G459" s="0" t="n">
        <f aca="false">ROUNDUP(F459/75,0)</f>
        <v>1</v>
      </c>
    </row>
    <row r="460" customFormat="false" ht="15" hidden="false" customHeight="false" outlineLevel="0" collapsed="false">
      <c r="A460" s="0" t="s">
        <v>33</v>
      </c>
      <c r="B460" s="0" t="s">
        <v>192</v>
      </c>
      <c r="C460" s="0" t="s">
        <v>756</v>
      </c>
      <c r="D460" s="0" t="n">
        <v>12</v>
      </c>
      <c r="E460" s="0" t="n">
        <v>2</v>
      </c>
      <c r="F460" s="0" t="n">
        <f aca="false">D460*E460</f>
        <v>24</v>
      </c>
      <c r="G460" s="0" t="n">
        <f aca="false">ROUNDUP(F460/75,0)</f>
        <v>1</v>
      </c>
    </row>
    <row r="461" customFormat="false" ht="15" hidden="false" customHeight="false" outlineLevel="0" collapsed="false">
      <c r="A461" s="0" t="s">
        <v>33</v>
      </c>
      <c r="B461" s="0" t="s">
        <v>192</v>
      </c>
      <c r="C461" s="0" t="s">
        <v>755</v>
      </c>
      <c r="D461" s="0" t="n">
        <v>6</v>
      </c>
      <c r="E461" s="0" t="n">
        <v>3</v>
      </c>
      <c r="F461" s="0" t="n">
        <f aca="false">D461*E461</f>
        <v>18</v>
      </c>
      <c r="G461" s="0" t="n">
        <f aca="false">ROUNDUP(F461/75,0)</f>
        <v>1</v>
      </c>
    </row>
    <row r="462" customFormat="false" ht="15" hidden="false" customHeight="false" outlineLevel="0" collapsed="false">
      <c r="A462" s="0" t="s">
        <v>33</v>
      </c>
      <c r="B462" s="0" t="s">
        <v>193</v>
      </c>
      <c r="C462" s="0" t="s">
        <v>756</v>
      </c>
      <c r="D462" s="0" t="n">
        <v>12</v>
      </c>
      <c r="E462" s="0" t="n">
        <v>2</v>
      </c>
      <c r="F462" s="0" t="n">
        <f aca="false">D462*E462</f>
        <v>24</v>
      </c>
      <c r="G462" s="0" t="n">
        <f aca="false">ROUNDUP(F462/75,0)</f>
        <v>1</v>
      </c>
    </row>
    <row r="463" customFormat="false" ht="15" hidden="false" customHeight="false" outlineLevel="0" collapsed="false">
      <c r="A463" s="0" t="s">
        <v>33</v>
      </c>
      <c r="B463" s="0" t="s">
        <v>193</v>
      </c>
      <c r="C463" s="0" t="s">
        <v>757</v>
      </c>
      <c r="D463" s="0" t="n">
        <v>6</v>
      </c>
      <c r="E463" s="0" t="n">
        <v>3</v>
      </c>
      <c r="F463" s="0" t="n">
        <f aca="false">D463*E463</f>
        <v>18</v>
      </c>
      <c r="G463" s="0" t="n">
        <f aca="false">ROUNDUP(F463/75,0)</f>
        <v>1</v>
      </c>
    </row>
    <row r="464" customFormat="false" ht="15" hidden="false" customHeight="false" outlineLevel="0" collapsed="false">
      <c r="A464" s="0" t="s">
        <v>33</v>
      </c>
      <c r="B464" s="0" t="s">
        <v>193</v>
      </c>
      <c r="C464" s="0" t="s">
        <v>753</v>
      </c>
      <c r="D464" s="0" t="n">
        <v>6</v>
      </c>
      <c r="E464" s="0" t="n">
        <v>2</v>
      </c>
      <c r="F464" s="0" t="n">
        <f aca="false">D464*E464</f>
        <v>12</v>
      </c>
      <c r="G464" s="0" t="n">
        <f aca="false">ROUNDUP(F464/75,0)</f>
        <v>1</v>
      </c>
    </row>
    <row r="465" customFormat="false" ht="15" hidden="false" customHeight="false" outlineLevel="0" collapsed="false">
      <c r="A465" s="0" t="s">
        <v>33</v>
      </c>
      <c r="B465" s="0" t="s">
        <v>193</v>
      </c>
      <c r="C465" s="0" t="s">
        <v>755</v>
      </c>
      <c r="D465" s="0" t="n">
        <v>6</v>
      </c>
      <c r="E465" s="0" t="n">
        <v>2</v>
      </c>
      <c r="F465" s="0" t="n">
        <f aca="false">D465*E465</f>
        <v>12</v>
      </c>
      <c r="G465" s="0" t="n">
        <f aca="false">ROUNDUP(F465/75,0)</f>
        <v>1</v>
      </c>
    </row>
    <row r="466" customFormat="false" ht="15" hidden="false" customHeight="false" outlineLevel="0" collapsed="false">
      <c r="A466" s="0" t="s">
        <v>33</v>
      </c>
      <c r="B466" s="0" t="s">
        <v>194</v>
      </c>
      <c r="C466" s="0" t="s">
        <v>756</v>
      </c>
      <c r="D466" s="0" t="n">
        <v>12</v>
      </c>
      <c r="E466" s="0" t="n">
        <v>5</v>
      </c>
      <c r="F466" s="0" t="n">
        <f aca="false">D466*E466</f>
        <v>60</v>
      </c>
      <c r="G466" s="0" t="n">
        <f aca="false">ROUNDUP(F466/75,0)</f>
        <v>1</v>
      </c>
    </row>
    <row r="467" customFormat="false" ht="15" hidden="false" customHeight="false" outlineLevel="0" collapsed="false">
      <c r="A467" s="0" t="s">
        <v>33</v>
      </c>
      <c r="B467" s="0" t="s">
        <v>194</v>
      </c>
      <c r="C467" s="0" t="s">
        <v>757</v>
      </c>
      <c r="D467" s="0" t="n">
        <v>6</v>
      </c>
      <c r="E467" s="0" t="n">
        <v>1</v>
      </c>
      <c r="F467" s="0" t="n">
        <f aca="false">D467*E467</f>
        <v>6</v>
      </c>
      <c r="G467" s="0" t="n">
        <f aca="false">ROUNDUP(F467/75,0)</f>
        <v>1</v>
      </c>
    </row>
    <row r="468" customFormat="false" ht="15" hidden="false" customHeight="false" outlineLevel="0" collapsed="false">
      <c r="A468" s="0" t="s">
        <v>33</v>
      </c>
      <c r="B468" s="0" t="s">
        <v>194</v>
      </c>
      <c r="C468" s="0" t="s">
        <v>753</v>
      </c>
      <c r="D468" s="0" t="n">
        <v>6</v>
      </c>
      <c r="E468" s="0" t="n">
        <v>4</v>
      </c>
      <c r="F468" s="0" t="n">
        <f aca="false">D468*E468</f>
        <v>24</v>
      </c>
      <c r="G468" s="0" t="n">
        <f aca="false">ROUNDUP(F468/75,0)</f>
        <v>1</v>
      </c>
    </row>
    <row r="469" customFormat="false" ht="15" hidden="false" customHeight="false" outlineLevel="0" collapsed="false">
      <c r="A469" s="0" t="s">
        <v>33</v>
      </c>
      <c r="B469" s="0" t="s">
        <v>194</v>
      </c>
      <c r="C469" s="0" t="s">
        <v>755</v>
      </c>
      <c r="D469" s="0" t="n">
        <v>6</v>
      </c>
      <c r="E469" s="0" t="n">
        <v>3</v>
      </c>
      <c r="F469" s="0" t="n">
        <f aca="false">D469*E469</f>
        <v>18</v>
      </c>
      <c r="G469" s="0" t="n">
        <f aca="false">ROUNDUP(F469/75,0)</f>
        <v>1</v>
      </c>
    </row>
    <row r="470" customFormat="false" ht="15" hidden="false" customHeight="false" outlineLevel="0" collapsed="false">
      <c r="A470" s="0" t="s">
        <v>33</v>
      </c>
      <c r="B470" s="0" t="s">
        <v>195</v>
      </c>
      <c r="C470" s="0" t="s">
        <v>756</v>
      </c>
      <c r="D470" s="0" t="n">
        <v>12</v>
      </c>
      <c r="E470" s="0" t="n">
        <v>1</v>
      </c>
      <c r="F470" s="0" t="n">
        <f aca="false">D470*E470</f>
        <v>12</v>
      </c>
      <c r="G470" s="0" t="n">
        <f aca="false">ROUNDUP(F470/75,0)</f>
        <v>1</v>
      </c>
    </row>
    <row r="471" customFormat="false" ht="15" hidden="false" customHeight="false" outlineLevel="0" collapsed="false">
      <c r="A471" s="0" t="s">
        <v>33</v>
      </c>
      <c r="B471" s="0" t="s">
        <v>195</v>
      </c>
      <c r="C471" s="0" t="s">
        <v>753</v>
      </c>
      <c r="D471" s="0" t="n">
        <v>6</v>
      </c>
      <c r="E471" s="0" t="n">
        <v>1</v>
      </c>
      <c r="F471" s="0" t="n">
        <f aca="false">D471*E471</f>
        <v>6</v>
      </c>
      <c r="G471" s="0" t="n">
        <f aca="false">ROUNDUP(F471/75,0)</f>
        <v>1</v>
      </c>
    </row>
    <row r="472" customFormat="false" ht="15" hidden="false" customHeight="false" outlineLevel="0" collapsed="false">
      <c r="A472" s="0" t="s">
        <v>33</v>
      </c>
      <c r="B472" s="0" t="s">
        <v>195</v>
      </c>
      <c r="C472" s="0" t="s">
        <v>755</v>
      </c>
      <c r="D472" s="0" t="n">
        <v>6</v>
      </c>
      <c r="E472" s="0" t="n">
        <v>1</v>
      </c>
      <c r="F472" s="0" t="n">
        <f aca="false">D472*E472</f>
        <v>6</v>
      </c>
      <c r="G472" s="0" t="n">
        <f aca="false">ROUNDUP(F472/75,0)</f>
        <v>1</v>
      </c>
    </row>
    <row r="473" customFormat="false" ht="15" hidden="false" customHeight="false" outlineLevel="0" collapsed="false">
      <c r="A473" s="0" t="s">
        <v>33</v>
      </c>
      <c r="B473" s="0" t="s">
        <v>196</v>
      </c>
      <c r="C473" s="0" t="s">
        <v>757</v>
      </c>
      <c r="D473" s="0" t="n">
        <v>6</v>
      </c>
      <c r="E473" s="0" t="n">
        <v>2</v>
      </c>
      <c r="F473" s="0" t="n">
        <f aca="false">D473*E473</f>
        <v>12</v>
      </c>
      <c r="G473" s="0" t="n">
        <f aca="false">ROUNDUP(F473/75,0)</f>
        <v>1</v>
      </c>
    </row>
    <row r="474" customFormat="false" ht="15" hidden="false" customHeight="false" outlineLevel="0" collapsed="false">
      <c r="A474" s="0" t="s">
        <v>33</v>
      </c>
      <c r="B474" s="0" t="s">
        <v>196</v>
      </c>
      <c r="C474" s="0" t="s">
        <v>755</v>
      </c>
      <c r="D474" s="0" t="n">
        <v>6</v>
      </c>
      <c r="E474" s="0" t="n">
        <v>1</v>
      </c>
      <c r="F474" s="0" t="n">
        <f aca="false">D474*E474</f>
        <v>6</v>
      </c>
      <c r="G474" s="0" t="n">
        <f aca="false">ROUNDUP(F474/75,0)</f>
        <v>1</v>
      </c>
    </row>
    <row r="475" customFormat="false" ht="15" hidden="false" customHeight="false" outlineLevel="0" collapsed="false">
      <c r="A475" s="0" t="s">
        <v>33</v>
      </c>
      <c r="B475" s="0" t="s">
        <v>197</v>
      </c>
      <c r="C475" s="0" t="s">
        <v>757</v>
      </c>
      <c r="D475" s="0" t="n">
        <v>6</v>
      </c>
      <c r="E475" s="0" t="n">
        <v>1</v>
      </c>
      <c r="F475" s="0" t="n">
        <f aca="false">D475*E475</f>
        <v>6</v>
      </c>
      <c r="G475" s="0" t="n">
        <f aca="false">ROUNDUP(F475/75,0)</f>
        <v>1</v>
      </c>
    </row>
    <row r="476" customFormat="false" ht="15" hidden="false" customHeight="false" outlineLevel="0" collapsed="false">
      <c r="A476" s="0" t="s">
        <v>33</v>
      </c>
      <c r="B476" s="0" t="s">
        <v>198</v>
      </c>
      <c r="C476" s="0" t="s">
        <v>757</v>
      </c>
      <c r="D476" s="0" t="n">
        <v>6</v>
      </c>
      <c r="E476" s="0" t="n">
        <v>1</v>
      </c>
      <c r="F476" s="0" t="n">
        <f aca="false">D476*E476</f>
        <v>6</v>
      </c>
      <c r="G476" s="0" t="n">
        <f aca="false">ROUNDUP(F476/75,0)</f>
        <v>1</v>
      </c>
    </row>
    <row r="477" customFormat="false" ht="15" hidden="false" customHeight="false" outlineLevel="0" collapsed="false">
      <c r="A477" s="0" t="s">
        <v>33</v>
      </c>
      <c r="B477" s="0" t="s">
        <v>198</v>
      </c>
      <c r="C477" s="0" t="s">
        <v>753</v>
      </c>
      <c r="D477" s="0" t="n">
        <v>6</v>
      </c>
      <c r="E477" s="0" t="n">
        <v>2</v>
      </c>
      <c r="F477" s="0" t="n">
        <f aca="false">D477*E477</f>
        <v>12</v>
      </c>
      <c r="G477" s="0" t="n">
        <f aca="false">ROUNDUP(F477/75,0)</f>
        <v>1</v>
      </c>
    </row>
    <row r="478" customFormat="false" ht="15" hidden="false" customHeight="false" outlineLevel="0" collapsed="false">
      <c r="A478" s="0" t="s">
        <v>33</v>
      </c>
      <c r="B478" s="0" t="s">
        <v>199</v>
      </c>
      <c r="C478" s="0" t="s">
        <v>756</v>
      </c>
      <c r="D478" s="0" t="n">
        <v>12</v>
      </c>
      <c r="E478" s="0" t="n">
        <v>2</v>
      </c>
      <c r="F478" s="0" t="n">
        <f aca="false">D478*E478</f>
        <v>24</v>
      </c>
      <c r="G478" s="0" t="n">
        <f aca="false">ROUNDUP(F478/75,0)</f>
        <v>1</v>
      </c>
    </row>
    <row r="479" customFormat="false" ht="15" hidden="false" customHeight="false" outlineLevel="0" collapsed="false">
      <c r="A479" s="0" t="s">
        <v>33</v>
      </c>
      <c r="B479" s="0" t="s">
        <v>199</v>
      </c>
      <c r="C479" s="0" t="s">
        <v>757</v>
      </c>
      <c r="D479" s="0" t="n">
        <v>6</v>
      </c>
      <c r="E479" s="0" t="n">
        <v>2</v>
      </c>
      <c r="F479" s="0" t="n">
        <f aca="false">D479*E479</f>
        <v>12</v>
      </c>
      <c r="G479" s="0" t="n">
        <f aca="false">ROUNDUP(F479/75,0)</f>
        <v>1</v>
      </c>
    </row>
    <row r="480" customFormat="false" ht="15" hidden="false" customHeight="false" outlineLevel="0" collapsed="false">
      <c r="A480" s="0" t="s">
        <v>33</v>
      </c>
      <c r="B480" s="0" t="s">
        <v>199</v>
      </c>
      <c r="C480" s="0" t="s">
        <v>753</v>
      </c>
      <c r="D480" s="0" t="n">
        <v>6</v>
      </c>
      <c r="E480" s="0" t="n">
        <v>3</v>
      </c>
      <c r="F480" s="0" t="n">
        <f aca="false">D480*E480</f>
        <v>18</v>
      </c>
      <c r="G480" s="0" t="n">
        <f aca="false">ROUNDUP(F480/75,0)</f>
        <v>1</v>
      </c>
    </row>
    <row r="481" customFormat="false" ht="15" hidden="false" customHeight="false" outlineLevel="0" collapsed="false">
      <c r="A481" s="0" t="s">
        <v>33</v>
      </c>
      <c r="B481" s="0" t="s">
        <v>199</v>
      </c>
      <c r="C481" s="0" t="s">
        <v>755</v>
      </c>
      <c r="D481" s="0" t="n">
        <v>6</v>
      </c>
      <c r="E481" s="0" t="n">
        <v>2</v>
      </c>
      <c r="F481" s="0" t="n">
        <f aca="false">D481*E481</f>
        <v>12</v>
      </c>
      <c r="G481" s="0" t="n">
        <f aca="false">ROUNDUP(F481/75,0)</f>
        <v>1</v>
      </c>
    </row>
    <row r="482" customFormat="false" ht="15" hidden="false" customHeight="false" outlineLevel="0" collapsed="false">
      <c r="A482" s="0" t="s">
        <v>33</v>
      </c>
      <c r="B482" s="0" t="s">
        <v>200</v>
      </c>
      <c r="C482" s="0" t="s">
        <v>756</v>
      </c>
      <c r="D482" s="0" t="n">
        <v>12</v>
      </c>
      <c r="E482" s="0" t="n">
        <v>4</v>
      </c>
      <c r="F482" s="0" t="n">
        <f aca="false">D482*E482</f>
        <v>48</v>
      </c>
      <c r="G482" s="0" t="n">
        <f aca="false">ROUNDUP(F482/75,0)</f>
        <v>1</v>
      </c>
    </row>
    <row r="483" customFormat="false" ht="15" hidden="false" customHeight="false" outlineLevel="0" collapsed="false">
      <c r="A483" s="0" t="s">
        <v>33</v>
      </c>
      <c r="B483" s="0" t="s">
        <v>200</v>
      </c>
      <c r="C483" s="0" t="s">
        <v>753</v>
      </c>
      <c r="D483" s="0" t="n">
        <v>6</v>
      </c>
      <c r="E483" s="0" t="n">
        <v>4</v>
      </c>
      <c r="F483" s="0" t="n">
        <f aca="false">D483*E483</f>
        <v>24</v>
      </c>
      <c r="G483" s="0" t="n">
        <f aca="false">ROUNDUP(F483/75,0)</f>
        <v>1</v>
      </c>
    </row>
    <row r="484" customFormat="false" ht="15" hidden="false" customHeight="false" outlineLevel="0" collapsed="false">
      <c r="A484" s="0" t="s">
        <v>33</v>
      </c>
      <c r="B484" s="0" t="s">
        <v>200</v>
      </c>
      <c r="C484" s="0" t="s">
        <v>755</v>
      </c>
      <c r="D484" s="0" t="n">
        <v>6</v>
      </c>
      <c r="E484" s="0" t="n">
        <v>1</v>
      </c>
      <c r="F484" s="0" t="n">
        <f aca="false">D484*E484</f>
        <v>6</v>
      </c>
      <c r="G484" s="0" t="n">
        <f aca="false">ROUNDUP(F484/75,0)</f>
        <v>1</v>
      </c>
    </row>
    <row r="485" customFormat="false" ht="15" hidden="false" customHeight="false" outlineLevel="0" collapsed="false">
      <c r="A485" s="0" t="s">
        <v>33</v>
      </c>
      <c r="B485" s="0" t="s">
        <v>201</v>
      </c>
      <c r="C485" s="0" t="s">
        <v>755</v>
      </c>
      <c r="D485" s="0" t="n">
        <v>6</v>
      </c>
      <c r="E485" s="0" t="n">
        <v>1</v>
      </c>
      <c r="F485" s="0" t="n">
        <f aca="false">D485*E485</f>
        <v>6</v>
      </c>
      <c r="G485" s="0" t="n">
        <f aca="false">ROUNDUP(F485/75,0)</f>
        <v>1</v>
      </c>
    </row>
    <row r="486" customFormat="false" ht="15" hidden="false" customHeight="false" outlineLevel="0" collapsed="false">
      <c r="A486" s="0" t="s">
        <v>33</v>
      </c>
      <c r="B486" s="0" t="s">
        <v>202</v>
      </c>
      <c r="C486" s="0" t="s">
        <v>757</v>
      </c>
      <c r="D486" s="0" t="n">
        <v>6</v>
      </c>
      <c r="E486" s="0" t="n">
        <v>1</v>
      </c>
      <c r="F486" s="0" t="n">
        <f aca="false">D486*E486</f>
        <v>6</v>
      </c>
      <c r="G486" s="0" t="n">
        <f aca="false">ROUNDUP(F486/75,0)</f>
        <v>1</v>
      </c>
    </row>
    <row r="487" customFormat="false" ht="15" hidden="false" customHeight="false" outlineLevel="0" collapsed="false">
      <c r="A487" s="0" t="s">
        <v>33</v>
      </c>
      <c r="B487" s="0" t="s">
        <v>202</v>
      </c>
      <c r="C487" s="0" t="s">
        <v>753</v>
      </c>
      <c r="D487" s="0" t="n">
        <v>6</v>
      </c>
      <c r="E487" s="0" t="n">
        <v>1</v>
      </c>
      <c r="F487" s="0" t="n">
        <f aca="false">D487*E487</f>
        <v>6</v>
      </c>
      <c r="G487" s="0" t="n">
        <f aca="false">ROUNDUP(F487/75,0)</f>
        <v>1</v>
      </c>
    </row>
    <row r="488" customFormat="false" ht="15" hidden="false" customHeight="false" outlineLevel="0" collapsed="false">
      <c r="A488" s="0" t="s">
        <v>33</v>
      </c>
      <c r="B488" s="0" t="s">
        <v>203</v>
      </c>
      <c r="C488" s="0" t="s">
        <v>756</v>
      </c>
      <c r="D488" s="0" t="n">
        <v>12</v>
      </c>
      <c r="E488" s="0" t="n">
        <v>1</v>
      </c>
      <c r="F488" s="0" t="n">
        <f aca="false">D488*E488</f>
        <v>12</v>
      </c>
      <c r="G488" s="0" t="n">
        <f aca="false">ROUNDUP(F488/75,0)</f>
        <v>1</v>
      </c>
    </row>
    <row r="489" customFormat="false" ht="15" hidden="false" customHeight="false" outlineLevel="0" collapsed="false">
      <c r="A489" s="0" t="s">
        <v>33</v>
      </c>
      <c r="B489" s="0" t="s">
        <v>203</v>
      </c>
      <c r="C489" s="0" t="s">
        <v>753</v>
      </c>
      <c r="D489" s="0" t="n">
        <v>6</v>
      </c>
      <c r="E489" s="0" t="n">
        <v>1</v>
      </c>
      <c r="F489" s="0" t="n">
        <f aca="false">D489*E489</f>
        <v>6</v>
      </c>
      <c r="G489" s="0" t="n">
        <f aca="false">ROUNDUP(F489/75,0)</f>
        <v>1</v>
      </c>
    </row>
    <row r="490" customFormat="false" ht="15" hidden="false" customHeight="false" outlineLevel="0" collapsed="false">
      <c r="A490" s="0" t="s">
        <v>33</v>
      </c>
      <c r="B490" s="0" t="s">
        <v>204</v>
      </c>
      <c r="C490" s="0" t="s">
        <v>756</v>
      </c>
      <c r="D490" s="0" t="n">
        <v>12</v>
      </c>
      <c r="E490" s="0" t="n">
        <v>1</v>
      </c>
      <c r="F490" s="0" t="n">
        <f aca="false">D490*E490</f>
        <v>12</v>
      </c>
      <c r="G490" s="0" t="n">
        <f aca="false">ROUNDUP(F490/75,0)</f>
        <v>1</v>
      </c>
    </row>
    <row r="491" customFormat="false" ht="15" hidden="false" customHeight="false" outlineLevel="0" collapsed="false">
      <c r="A491" s="0" t="s">
        <v>33</v>
      </c>
      <c r="B491" s="0" t="s">
        <v>204</v>
      </c>
      <c r="C491" s="0" t="s">
        <v>753</v>
      </c>
      <c r="D491" s="0" t="n">
        <v>6</v>
      </c>
      <c r="E491" s="0" t="n">
        <v>1</v>
      </c>
      <c r="F491" s="0" t="n">
        <f aca="false">D491*E491</f>
        <v>6</v>
      </c>
      <c r="G491" s="0" t="n">
        <f aca="false">ROUNDUP(F491/75,0)</f>
        <v>1</v>
      </c>
    </row>
    <row r="492" customFormat="false" ht="15" hidden="false" customHeight="false" outlineLevel="0" collapsed="false">
      <c r="A492" s="0" t="s">
        <v>33</v>
      </c>
      <c r="B492" s="0" t="s">
        <v>204</v>
      </c>
      <c r="C492" s="0" t="s">
        <v>755</v>
      </c>
      <c r="D492" s="0" t="n">
        <v>6</v>
      </c>
      <c r="E492" s="0" t="n">
        <v>6</v>
      </c>
      <c r="F492" s="0" t="n">
        <f aca="false">D492*E492</f>
        <v>36</v>
      </c>
      <c r="G492" s="0" t="n">
        <f aca="false">ROUNDUP(F492/75,0)</f>
        <v>1</v>
      </c>
    </row>
    <row r="493" customFormat="false" ht="15" hidden="false" customHeight="false" outlineLevel="0" collapsed="false">
      <c r="A493" s="0" t="s">
        <v>33</v>
      </c>
      <c r="B493" s="0" t="s">
        <v>205</v>
      </c>
      <c r="C493" s="0" t="s">
        <v>753</v>
      </c>
      <c r="D493" s="0" t="n">
        <v>6</v>
      </c>
      <c r="E493" s="0" t="n">
        <v>3</v>
      </c>
      <c r="F493" s="0" t="n">
        <f aca="false">D493*E493</f>
        <v>18</v>
      </c>
      <c r="G493" s="0" t="n">
        <f aca="false">ROUNDUP(F493/75,0)</f>
        <v>1</v>
      </c>
    </row>
    <row r="494" customFormat="false" ht="15" hidden="false" customHeight="false" outlineLevel="0" collapsed="false">
      <c r="A494" s="0" t="s">
        <v>33</v>
      </c>
      <c r="B494" s="0" t="s">
        <v>206</v>
      </c>
      <c r="C494" s="0" t="s">
        <v>755</v>
      </c>
      <c r="D494" s="0" t="n">
        <v>6</v>
      </c>
      <c r="E494" s="0" t="n">
        <v>1</v>
      </c>
      <c r="F494" s="0" t="n">
        <f aca="false">D494*E494</f>
        <v>6</v>
      </c>
      <c r="G494" s="0" t="n">
        <f aca="false">ROUNDUP(F494/75,0)</f>
        <v>1</v>
      </c>
    </row>
    <row r="495" customFormat="false" ht="15" hidden="false" customHeight="false" outlineLevel="0" collapsed="false">
      <c r="A495" s="0" t="s">
        <v>33</v>
      </c>
      <c r="B495" s="0" t="s">
        <v>207</v>
      </c>
      <c r="C495" s="0" t="s">
        <v>757</v>
      </c>
      <c r="D495" s="0" t="n">
        <v>6</v>
      </c>
      <c r="E495" s="0" t="n">
        <v>1</v>
      </c>
      <c r="F495" s="0" t="n">
        <f aca="false">D495*E495</f>
        <v>6</v>
      </c>
      <c r="G495" s="0" t="n">
        <f aca="false">ROUNDUP(F495/75,0)</f>
        <v>1</v>
      </c>
    </row>
    <row r="496" customFormat="false" ht="15" hidden="false" customHeight="false" outlineLevel="0" collapsed="false">
      <c r="A496" s="0" t="s">
        <v>33</v>
      </c>
      <c r="B496" s="0" t="s">
        <v>207</v>
      </c>
      <c r="C496" s="0" t="s">
        <v>755</v>
      </c>
      <c r="D496" s="0" t="n">
        <v>6</v>
      </c>
      <c r="E496" s="0" t="n">
        <v>1</v>
      </c>
      <c r="F496" s="0" t="n">
        <f aca="false">D496*E496</f>
        <v>6</v>
      </c>
      <c r="G496" s="0" t="n">
        <f aca="false">ROUNDUP(F496/75,0)</f>
        <v>1</v>
      </c>
    </row>
    <row r="497" customFormat="false" ht="15" hidden="false" customHeight="false" outlineLevel="0" collapsed="false">
      <c r="A497" s="0" t="s">
        <v>33</v>
      </c>
      <c r="B497" s="0" t="s">
        <v>208</v>
      </c>
      <c r="C497" s="0" t="s">
        <v>755</v>
      </c>
      <c r="D497" s="0" t="n">
        <v>6</v>
      </c>
      <c r="E497" s="0" t="n">
        <v>6</v>
      </c>
      <c r="F497" s="0" t="n">
        <f aca="false">D497*E497</f>
        <v>36</v>
      </c>
      <c r="G497" s="0" t="n">
        <f aca="false">ROUNDUP(F497/75,0)</f>
        <v>1</v>
      </c>
    </row>
    <row r="498" customFormat="false" ht="15" hidden="false" customHeight="false" outlineLevel="0" collapsed="false">
      <c r="A498" s="0" t="s">
        <v>33</v>
      </c>
      <c r="B498" s="0" t="s">
        <v>209</v>
      </c>
      <c r="C498" s="0" t="s">
        <v>753</v>
      </c>
      <c r="D498" s="0" t="n">
        <v>6</v>
      </c>
      <c r="E498" s="0" t="n">
        <v>4</v>
      </c>
      <c r="F498" s="0" t="n">
        <f aca="false">D498*E498</f>
        <v>24</v>
      </c>
      <c r="G498" s="0" t="n">
        <f aca="false">ROUNDUP(F498/75,0)</f>
        <v>1</v>
      </c>
    </row>
    <row r="499" customFormat="false" ht="15" hidden="false" customHeight="false" outlineLevel="0" collapsed="false">
      <c r="A499" s="0" t="s">
        <v>33</v>
      </c>
      <c r="B499" s="0" t="s">
        <v>209</v>
      </c>
      <c r="C499" s="0" t="s">
        <v>755</v>
      </c>
      <c r="D499" s="0" t="n">
        <v>6</v>
      </c>
      <c r="E499" s="0" t="n">
        <v>1</v>
      </c>
      <c r="F499" s="0" t="n">
        <f aca="false">D499*E499</f>
        <v>6</v>
      </c>
      <c r="G499" s="0" t="n">
        <f aca="false">ROUNDUP(F499/75,0)</f>
        <v>1</v>
      </c>
    </row>
    <row r="500" customFormat="false" ht="15" hidden="false" customHeight="false" outlineLevel="0" collapsed="false">
      <c r="A500" s="0" t="s">
        <v>33</v>
      </c>
      <c r="B500" s="0" t="s">
        <v>210</v>
      </c>
      <c r="C500" s="0" t="s">
        <v>753</v>
      </c>
      <c r="D500" s="0" t="n">
        <v>6</v>
      </c>
      <c r="E500" s="0" t="n">
        <v>8</v>
      </c>
      <c r="F500" s="0" t="n">
        <f aca="false">D500*E500</f>
        <v>48</v>
      </c>
      <c r="G500" s="0" t="n">
        <f aca="false">ROUNDUP(F500/75,0)</f>
        <v>1</v>
      </c>
    </row>
    <row r="501" customFormat="false" ht="15" hidden="false" customHeight="false" outlineLevel="0" collapsed="false">
      <c r="A501" s="0" t="s">
        <v>33</v>
      </c>
      <c r="B501" s="0" t="s">
        <v>211</v>
      </c>
      <c r="C501" s="0" t="s">
        <v>757</v>
      </c>
      <c r="D501" s="0" t="n">
        <v>6</v>
      </c>
      <c r="E501" s="0" t="n">
        <v>1</v>
      </c>
      <c r="F501" s="0" t="n">
        <f aca="false">D501*E501</f>
        <v>6</v>
      </c>
      <c r="G501" s="0" t="n">
        <f aca="false">ROUNDUP(F501/75,0)</f>
        <v>1</v>
      </c>
    </row>
    <row r="502" customFormat="false" ht="15" hidden="false" customHeight="false" outlineLevel="0" collapsed="false">
      <c r="A502" s="0" t="s">
        <v>33</v>
      </c>
      <c r="B502" s="0" t="s">
        <v>212</v>
      </c>
      <c r="C502" s="0" t="s">
        <v>756</v>
      </c>
      <c r="D502" s="0" t="n">
        <v>12</v>
      </c>
      <c r="E502" s="0" t="n">
        <v>0.5</v>
      </c>
      <c r="F502" s="0" t="n">
        <f aca="false">D502*E502</f>
        <v>6</v>
      </c>
      <c r="G502" s="0" t="n">
        <f aca="false">ROUNDUP(F502/75,0)</f>
        <v>1</v>
      </c>
    </row>
    <row r="503" customFormat="false" ht="15" hidden="false" customHeight="false" outlineLevel="0" collapsed="false">
      <c r="A503" s="0" t="s">
        <v>33</v>
      </c>
      <c r="B503" s="0" t="s">
        <v>212</v>
      </c>
      <c r="C503" s="0" t="s">
        <v>757</v>
      </c>
      <c r="D503" s="0" t="n">
        <v>6</v>
      </c>
      <c r="E503" s="0" t="n">
        <v>1</v>
      </c>
      <c r="F503" s="0" t="n">
        <f aca="false">D503*E503</f>
        <v>6</v>
      </c>
      <c r="G503" s="0" t="n">
        <f aca="false">ROUNDUP(F503/75,0)</f>
        <v>1</v>
      </c>
    </row>
    <row r="504" customFormat="false" ht="15" hidden="false" customHeight="false" outlineLevel="0" collapsed="false">
      <c r="A504" s="0" t="s">
        <v>33</v>
      </c>
      <c r="B504" s="0" t="s">
        <v>213</v>
      </c>
      <c r="C504" s="0" t="s">
        <v>757</v>
      </c>
      <c r="D504" s="0" t="n">
        <v>6</v>
      </c>
      <c r="E504" s="0" t="n">
        <v>1</v>
      </c>
      <c r="F504" s="0" t="n">
        <f aca="false">D504*E504</f>
        <v>6</v>
      </c>
      <c r="G504" s="0" t="n">
        <f aca="false">ROUNDUP(F504/75,0)</f>
        <v>1</v>
      </c>
    </row>
    <row r="505" customFormat="false" ht="15" hidden="false" customHeight="false" outlineLevel="0" collapsed="false">
      <c r="A505" s="0" t="s">
        <v>33</v>
      </c>
      <c r="B505" s="0" t="s">
        <v>213</v>
      </c>
      <c r="C505" s="0" t="s">
        <v>753</v>
      </c>
      <c r="D505" s="0" t="n">
        <v>6</v>
      </c>
      <c r="E505" s="0" t="n">
        <v>2</v>
      </c>
      <c r="F505" s="0" t="n">
        <f aca="false">D505*E505</f>
        <v>12</v>
      </c>
      <c r="G505" s="0" t="n">
        <f aca="false">ROUNDUP(F505/75,0)</f>
        <v>1</v>
      </c>
    </row>
    <row r="506" customFormat="false" ht="15" hidden="false" customHeight="false" outlineLevel="0" collapsed="false">
      <c r="A506" s="0" t="s">
        <v>33</v>
      </c>
      <c r="B506" s="0" t="s">
        <v>214</v>
      </c>
      <c r="C506" s="0" t="s">
        <v>757</v>
      </c>
      <c r="D506" s="0" t="n">
        <v>6</v>
      </c>
      <c r="E506" s="0" t="n">
        <v>2</v>
      </c>
      <c r="F506" s="0" t="n">
        <f aca="false">D506*E506</f>
        <v>12</v>
      </c>
      <c r="G506" s="0" t="n">
        <f aca="false">ROUNDUP(F506/75,0)</f>
        <v>1</v>
      </c>
    </row>
    <row r="507" customFormat="false" ht="15" hidden="false" customHeight="false" outlineLevel="0" collapsed="false">
      <c r="A507" s="0" t="s">
        <v>33</v>
      </c>
      <c r="B507" s="0" t="s">
        <v>214</v>
      </c>
      <c r="C507" s="0" t="s">
        <v>753</v>
      </c>
      <c r="D507" s="0" t="n">
        <v>6</v>
      </c>
      <c r="E507" s="0" t="n">
        <v>1</v>
      </c>
      <c r="F507" s="0" t="n">
        <f aca="false">D507*E507</f>
        <v>6</v>
      </c>
      <c r="G507" s="0" t="n">
        <f aca="false">ROUNDUP(F507/75,0)</f>
        <v>1</v>
      </c>
    </row>
    <row r="508" customFormat="false" ht="15" hidden="false" customHeight="false" outlineLevel="0" collapsed="false">
      <c r="A508" s="0" t="s">
        <v>33</v>
      </c>
      <c r="B508" s="0" t="s">
        <v>214</v>
      </c>
      <c r="C508" s="0" t="s">
        <v>755</v>
      </c>
      <c r="D508" s="0" t="n">
        <v>6</v>
      </c>
      <c r="E508" s="0" t="n">
        <v>2</v>
      </c>
      <c r="F508" s="0" t="n">
        <f aca="false">D508*E508</f>
        <v>12</v>
      </c>
      <c r="G508" s="0" t="n">
        <f aca="false">ROUNDUP(F508/75,0)</f>
        <v>1</v>
      </c>
    </row>
    <row r="509" customFormat="false" ht="15" hidden="false" customHeight="false" outlineLevel="0" collapsed="false">
      <c r="A509" s="0" t="s">
        <v>33</v>
      </c>
      <c r="B509" s="0" t="s">
        <v>215</v>
      </c>
      <c r="C509" s="0" t="s">
        <v>753</v>
      </c>
      <c r="D509" s="0" t="n">
        <v>6</v>
      </c>
      <c r="E509" s="0" t="n">
        <v>2</v>
      </c>
      <c r="F509" s="0" t="n">
        <f aca="false">D509*E509</f>
        <v>12</v>
      </c>
      <c r="G509" s="0" t="n">
        <f aca="false">ROUNDUP(F509/75,0)</f>
        <v>1</v>
      </c>
    </row>
    <row r="510" customFormat="false" ht="15" hidden="false" customHeight="false" outlineLevel="0" collapsed="false">
      <c r="A510" s="0" t="s">
        <v>33</v>
      </c>
      <c r="B510" s="0" t="s">
        <v>215</v>
      </c>
      <c r="C510" s="0" t="s">
        <v>755</v>
      </c>
      <c r="D510" s="0" t="n">
        <v>6</v>
      </c>
      <c r="E510" s="0" t="n">
        <v>1</v>
      </c>
      <c r="F510" s="0" t="n">
        <f aca="false">D510*E510</f>
        <v>6</v>
      </c>
      <c r="G510" s="0" t="n">
        <f aca="false">ROUNDUP(F510/75,0)</f>
        <v>1</v>
      </c>
    </row>
    <row r="511" customFormat="false" ht="15" hidden="false" customHeight="false" outlineLevel="0" collapsed="false">
      <c r="A511" s="0" t="s">
        <v>33</v>
      </c>
      <c r="B511" s="0" t="s">
        <v>216</v>
      </c>
      <c r="C511" s="0" t="s">
        <v>757</v>
      </c>
      <c r="D511" s="0" t="n">
        <v>6</v>
      </c>
      <c r="E511" s="0" t="n">
        <v>1</v>
      </c>
      <c r="F511" s="0" t="n">
        <f aca="false">D511*E511</f>
        <v>6</v>
      </c>
      <c r="G511" s="0" t="n">
        <f aca="false">ROUNDUP(F511/75,0)</f>
        <v>1</v>
      </c>
    </row>
    <row r="512" customFormat="false" ht="15" hidden="false" customHeight="false" outlineLevel="0" collapsed="false">
      <c r="A512" s="0" t="s">
        <v>33</v>
      </c>
      <c r="B512" s="0" t="s">
        <v>216</v>
      </c>
      <c r="C512" s="0" t="s">
        <v>753</v>
      </c>
      <c r="D512" s="0" t="n">
        <v>6</v>
      </c>
      <c r="E512" s="0" t="n">
        <v>2</v>
      </c>
      <c r="F512" s="0" t="n">
        <f aca="false">D512*E512</f>
        <v>12</v>
      </c>
      <c r="G512" s="0" t="n">
        <f aca="false">ROUNDUP(F512/75,0)</f>
        <v>1</v>
      </c>
    </row>
    <row r="513" customFormat="false" ht="15" hidden="false" customHeight="false" outlineLevel="0" collapsed="false">
      <c r="A513" s="0" t="s">
        <v>33</v>
      </c>
      <c r="B513" s="0" t="s">
        <v>216</v>
      </c>
      <c r="C513" s="0" t="s">
        <v>755</v>
      </c>
      <c r="D513" s="0" t="n">
        <v>6</v>
      </c>
      <c r="E513" s="0" t="n">
        <v>2</v>
      </c>
      <c r="F513" s="0" t="n">
        <f aca="false">D513*E513</f>
        <v>12</v>
      </c>
      <c r="G513" s="0" t="n">
        <f aca="false">ROUNDUP(F513/75,0)</f>
        <v>1</v>
      </c>
    </row>
    <row r="514" customFormat="false" ht="15" hidden="false" customHeight="false" outlineLevel="0" collapsed="false">
      <c r="A514" s="0" t="s">
        <v>33</v>
      </c>
      <c r="B514" s="0" t="s">
        <v>217</v>
      </c>
      <c r="C514" s="0" t="s">
        <v>756</v>
      </c>
      <c r="D514" s="0" t="n">
        <v>12</v>
      </c>
      <c r="E514" s="0" t="n">
        <v>2</v>
      </c>
      <c r="F514" s="0" t="n">
        <f aca="false">D514*E514</f>
        <v>24</v>
      </c>
      <c r="G514" s="0" t="n">
        <f aca="false">ROUNDUP(F514/75,0)</f>
        <v>1</v>
      </c>
    </row>
    <row r="515" customFormat="false" ht="15" hidden="false" customHeight="false" outlineLevel="0" collapsed="false">
      <c r="A515" s="0" t="s">
        <v>33</v>
      </c>
      <c r="B515" s="0" t="s">
        <v>217</v>
      </c>
      <c r="C515" s="0" t="s">
        <v>757</v>
      </c>
      <c r="D515" s="0" t="n">
        <v>6</v>
      </c>
      <c r="E515" s="0" t="n">
        <v>1</v>
      </c>
      <c r="F515" s="0" t="n">
        <f aca="false">D515*E515</f>
        <v>6</v>
      </c>
      <c r="G515" s="0" t="n">
        <f aca="false">ROUNDUP(F515/75,0)</f>
        <v>1</v>
      </c>
    </row>
    <row r="516" customFormat="false" ht="15" hidden="false" customHeight="false" outlineLevel="0" collapsed="false">
      <c r="A516" s="0" t="s">
        <v>33</v>
      </c>
      <c r="B516" s="0" t="s">
        <v>217</v>
      </c>
      <c r="C516" s="0" t="s">
        <v>753</v>
      </c>
      <c r="D516" s="0" t="n">
        <v>6</v>
      </c>
      <c r="E516" s="0" t="n">
        <v>1</v>
      </c>
      <c r="F516" s="0" t="n">
        <f aca="false">D516*E516</f>
        <v>6</v>
      </c>
      <c r="G516" s="0" t="n">
        <f aca="false">ROUNDUP(F516/75,0)</f>
        <v>1</v>
      </c>
    </row>
    <row r="517" customFormat="false" ht="15" hidden="false" customHeight="false" outlineLevel="0" collapsed="false">
      <c r="A517" s="0" t="s">
        <v>33</v>
      </c>
      <c r="B517" s="0" t="s">
        <v>217</v>
      </c>
      <c r="C517" s="0" t="s">
        <v>755</v>
      </c>
      <c r="D517" s="0" t="n">
        <v>6</v>
      </c>
      <c r="E517" s="0" t="n">
        <v>1</v>
      </c>
      <c r="F517" s="0" t="n">
        <f aca="false">D517*E517</f>
        <v>6</v>
      </c>
      <c r="G517" s="0" t="n">
        <f aca="false">ROUNDUP(F517/75,0)</f>
        <v>1</v>
      </c>
    </row>
    <row r="518" customFormat="false" ht="15" hidden="false" customHeight="false" outlineLevel="0" collapsed="false">
      <c r="A518" s="0" t="s">
        <v>33</v>
      </c>
      <c r="B518" s="0" t="s">
        <v>218</v>
      </c>
      <c r="C518" s="0" t="s">
        <v>756</v>
      </c>
      <c r="D518" s="0" t="n">
        <v>12</v>
      </c>
      <c r="E518" s="0" t="n">
        <v>2</v>
      </c>
      <c r="F518" s="0" t="n">
        <f aca="false">D518*E518</f>
        <v>24</v>
      </c>
      <c r="G518" s="0" t="n">
        <f aca="false">ROUNDUP(F518/75,0)</f>
        <v>1</v>
      </c>
    </row>
    <row r="519" customFormat="false" ht="15" hidden="false" customHeight="false" outlineLevel="0" collapsed="false">
      <c r="A519" s="0" t="s">
        <v>33</v>
      </c>
      <c r="B519" s="0" t="s">
        <v>218</v>
      </c>
      <c r="C519" s="0" t="s">
        <v>757</v>
      </c>
      <c r="D519" s="0" t="n">
        <v>6</v>
      </c>
      <c r="E519" s="0" t="n">
        <v>2</v>
      </c>
      <c r="F519" s="0" t="n">
        <f aca="false">D519*E519</f>
        <v>12</v>
      </c>
      <c r="G519" s="0" t="n">
        <f aca="false">ROUNDUP(F519/75,0)</f>
        <v>1</v>
      </c>
    </row>
    <row r="520" customFormat="false" ht="15" hidden="false" customHeight="false" outlineLevel="0" collapsed="false">
      <c r="A520" s="0" t="s">
        <v>33</v>
      </c>
      <c r="B520" s="0" t="s">
        <v>218</v>
      </c>
      <c r="C520" s="0" t="s">
        <v>755</v>
      </c>
      <c r="D520" s="0" t="n">
        <v>6</v>
      </c>
      <c r="E520" s="0" t="n">
        <v>3</v>
      </c>
      <c r="F520" s="0" t="n">
        <f aca="false">D520*E520</f>
        <v>18</v>
      </c>
      <c r="G520" s="0" t="n">
        <f aca="false">ROUNDUP(F520/75,0)</f>
        <v>1</v>
      </c>
    </row>
    <row r="521" customFormat="false" ht="15" hidden="false" customHeight="false" outlineLevel="0" collapsed="false">
      <c r="A521" s="0" t="s">
        <v>33</v>
      </c>
      <c r="B521" s="0" t="s">
        <v>219</v>
      </c>
      <c r="C521" s="0" t="s">
        <v>756</v>
      </c>
      <c r="D521" s="0" t="n">
        <v>12</v>
      </c>
      <c r="E521" s="0" t="n">
        <v>2</v>
      </c>
      <c r="F521" s="0" t="n">
        <f aca="false">D521*E521</f>
        <v>24</v>
      </c>
      <c r="G521" s="0" t="n">
        <f aca="false">ROUNDUP(F521/75,0)</f>
        <v>1</v>
      </c>
    </row>
    <row r="522" customFormat="false" ht="15" hidden="false" customHeight="false" outlineLevel="0" collapsed="false">
      <c r="A522" s="0" t="s">
        <v>33</v>
      </c>
      <c r="B522" s="0" t="s">
        <v>219</v>
      </c>
      <c r="C522" s="0" t="s">
        <v>753</v>
      </c>
      <c r="D522" s="0" t="n">
        <v>6</v>
      </c>
      <c r="E522" s="0" t="n">
        <v>1</v>
      </c>
      <c r="F522" s="0" t="n">
        <f aca="false">D522*E522</f>
        <v>6</v>
      </c>
      <c r="G522" s="0" t="n">
        <f aca="false">ROUNDUP(F522/75,0)</f>
        <v>1</v>
      </c>
    </row>
    <row r="523" customFormat="false" ht="15" hidden="false" customHeight="false" outlineLevel="0" collapsed="false">
      <c r="A523" s="0" t="s">
        <v>33</v>
      </c>
      <c r="B523" s="0" t="s">
        <v>219</v>
      </c>
      <c r="C523" s="0" t="s">
        <v>755</v>
      </c>
      <c r="D523" s="0" t="n">
        <v>6</v>
      </c>
      <c r="E523" s="0" t="n">
        <v>4</v>
      </c>
      <c r="F523" s="0" t="n">
        <f aca="false">D523*E523</f>
        <v>24</v>
      </c>
      <c r="G523" s="0" t="n">
        <f aca="false">ROUNDUP(F523/75,0)</f>
        <v>1</v>
      </c>
    </row>
    <row r="524" customFormat="false" ht="15" hidden="false" customHeight="false" outlineLevel="0" collapsed="false">
      <c r="A524" s="0" t="s">
        <v>33</v>
      </c>
      <c r="B524" s="0" t="s">
        <v>220</v>
      </c>
      <c r="C524" s="0" t="s">
        <v>753</v>
      </c>
      <c r="D524" s="0" t="n">
        <v>6</v>
      </c>
      <c r="E524" s="0" t="n">
        <v>2</v>
      </c>
      <c r="F524" s="0" t="n">
        <f aca="false">D524*E524</f>
        <v>12</v>
      </c>
      <c r="G524" s="0" t="n">
        <f aca="false">ROUNDUP(F524/75,0)</f>
        <v>1</v>
      </c>
    </row>
    <row r="525" customFormat="false" ht="15" hidden="false" customHeight="false" outlineLevel="0" collapsed="false">
      <c r="A525" s="0" t="s">
        <v>33</v>
      </c>
      <c r="B525" s="0" t="s">
        <v>220</v>
      </c>
      <c r="C525" s="0" t="s">
        <v>755</v>
      </c>
      <c r="D525" s="0" t="n">
        <v>6</v>
      </c>
      <c r="E525" s="0" t="n">
        <v>6</v>
      </c>
      <c r="F525" s="0" t="n">
        <f aca="false">D525*E525</f>
        <v>36</v>
      </c>
      <c r="G525" s="0" t="n">
        <f aca="false">ROUNDUP(F525/75,0)</f>
        <v>1</v>
      </c>
    </row>
    <row r="526" customFormat="false" ht="15" hidden="false" customHeight="false" outlineLevel="0" collapsed="false">
      <c r="A526" s="0" t="s">
        <v>33</v>
      </c>
      <c r="B526" s="0" t="s">
        <v>221</v>
      </c>
      <c r="C526" s="0" t="s">
        <v>753</v>
      </c>
      <c r="D526" s="0" t="n">
        <v>6</v>
      </c>
      <c r="E526" s="0" t="n">
        <v>1</v>
      </c>
      <c r="F526" s="0" t="n">
        <f aca="false">D526*E526</f>
        <v>6</v>
      </c>
      <c r="G526" s="0" t="n">
        <f aca="false">ROUNDUP(F526/75,0)</f>
        <v>1</v>
      </c>
    </row>
    <row r="527" customFormat="false" ht="15" hidden="false" customHeight="false" outlineLevel="0" collapsed="false">
      <c r="A527" s="0" t="s">
        <v>33</v>
      </c>
      <c r="B527" s="0" t="s">
        <v>221</v>
      </c>
      <c r="C527" s="0" t="s">
        <v>755</v>
      </c>
      <c r="D527" s="0" t="n">
        <v>6</v>
      </c>
      <c r="E527" s="0" t="n">
        <v>1</v>
      </c>
      <c r="F527" s="0" t="n">
        <f aca="false">D527*E527</f>
        <v>6</v>
      </c>
      <c r="G527" s="0" t="n">
        <f aca="false">ROUNDUP(F527/75,0)</f>
        <v>1</v>
      </c>
    </row>
    <row r="528" customFormat="false" ht="15" hidden="false" customHeight="false" outlineLevel="0" collapsed="false">
      <c r="A528" s="0" t="s">
        <v>33</v>
      </c>
      <c r="B528" s="0" t="s">
        <v>222</v>
      </c>
      <c r="C528" s="0" t="s">
        <v>756</v>
      </c>
      <c r="D528" s="0" t="n">
        <v>12</v>
      </c>
      <c r="E528" s="0" t="n">
        <v>2</v>
      </c>
      <c r="F528" s="0" t="n">
        <f aca="false">D528*E528</f>
        <v>24</v>
      </c>
      <c r="G528" s="0" t="n">
        <f aca="false">ROUNDUP(F528/75,0)</f>
        <v>1</v>
      </c>
    </row>
    <row r="529" customFormat="false" ht="15" hidden="false" customHeight="false" outlineLevel="0" collapsed="false">
      <c r="A529" s="0" t="s">
        <v>33</v>
      </c>
      <c r="B529" s="0" t="s">
        <v>222</v>
      </c>
      <c r="C529" s="0" t="s">
        <v>755</v>
      </c>
      <c r="D529" s="0" t="n">
        <v>6</v>
      </c>
      <c r="E529" s="0" t="n">
        <v>6</v>
      </c>
      <c r="F529" s="0" t="n">
        <f aca="false">D529*E529</f>
        <v>36</v>
      </c>
      <c r="G529" s="0" t="n">
        <f aca="false">ROUNDUP(F529/75,0)</f>
        <v>1</v>
      </c>
    </row>
    <row r="530" customFormat="false" ht="15" hidden="false" customHeight="false" outlineLevel="0" collapsed="false">
      <c r="A530" s="0" t="s">
        <v>33</v>
      </c>
      <c r="B530" s="0" t="s">
        <v>223</v>
      </c>
      <c r="C530" s="0" t="s">
        <v>755</v>
      </c>
      <c r="D530" s="0" t="n">
        <v>6</v>
      </c>
      <c r="E530" s="0" t="n">
        <v>1</v>
      </c>
      <c r="F530" s="0" t="n">
        <f aca="false">D530*E530</f>
        <v>6</v>
      </c>
      <c r="G530" s="0" t="n">
        <f aca="false">ROUNDUP(F530/75,0)</f>
        <v>1</v>
      </c>
    </row>
    <row r="531" customFormat="false" ht="15" hidden="false" customHeight="false" outlineLevel="0" collapsed="false">
      <c r="A531" s="0" t="s">
        <v>33</v>
      </c>
      <c r="B531" s="0" t="s">
        <v>224</v>
      </c>
      <c r="C531" s="0" t="s">
        <v>753</v>
      </c>
      <c r="D531" s="0" t="n">
        <v>6</v>
      </c>
      <c r="E531" s="0" t="n">
        <v>2</v>
      </c>
      <c r="F531" s="0" t="n">
        <f aca="false">D531*E531</f>
        <v>12</v>
      </c>
      <c r="G531" s="0" t="n">
        <f aca="false">ROUNDUP(F531/75,0)</f>
        <v>1</v>
      </c>
    </row>
    <row r="532" customFormat="false" ht="15" hidden="false" customHeight="false" outlineLevel="0" collapsed="false">
      <c r="A532" s="0" t="s">
        <v>33</v>
      </c>
      <c r="B532" s="0" t="s">
        <v>224</v>
      </c>
      <c r="C532" s="0" t="s">
        <v>755</v>
      </c>
      <c r="D532" s="0" t="n">
        <v>6</v>
      </c>
      <c r="E532" s="0" t="n">
        <v>2</v>
      </c>
      <c r="F532" s="0" t="n">
        <f aca="false">D532*E532</f>
        <v>12</v>
      </c>
      <c r="G532" s="0" t="n">
        <f aca="false">ROUNDUP(F532/75,0)</f>
        <v>1</v>
      </c>
    </row>
    <row r="533" customFormat="false" ht="15" hidden="false" customHeight="false" outlineLevel="0" collapsed="false">
      <c r="A533" s="0" t="s">
        <v>33</v>
      </c>
      <c r="B533" s="0" t="s">
        <v>225</v>
      </c>
      <c r="C533" s="0" t="s">
        <v>757</v>
      </c>
      <c r="D533" s="0" t="n">
        <v>6</v>
      </c>
      <c r="E533" s="0" t="n">
        <v>1</v>
      </c>
      <c r="F533" s="0" t="n">
        <f aca="false">D533*E533</f>
        <v>6</v>
      </c>
      <c r="G533" s="0" t="n">
        <f aca="false">ROUNDUP(F533/75,0)</f>
        <v>1</v>
      </c>
    </row>
    <row r="534" customFormat="false" ht="15" hidden="false" customHeight="false" outlineLevel="0" collapsed="false">
      <c r="A534" s="0" t="s">
        <v>33</v>
      </c>
      <c r="B534" s="0" t="s">
        <v>225</v>
      </c>
      <c r="C534" s="0" t="s">
        <v>753</v>
      </c>
      <c r="D534" s="0" t="n">
        <v>6</v>
      </c>
      <c r="E534" s="0" t="n">
        <v>1</v>
      </c>
      <c r="F534" s="0" t="n">
        <f aca="false">D534*E534</f>
        <v>6</v>
      </c>
      <c r="G534" s="0" t="n">
        <f aca="false">ROUNDUP(F534/75,0)</f>
        <v>1</v>
      </c>
    </row>
    <row r="535" customFormat="false" ht="15" hidden="false" customHeight="false" outlineLevel="0" collapsed="false">
      <c r="A535" s="0" t="s">
        <v>33</v>
      </c>
      <c r="B535" s="0" t="s">
        <v>226</v>
      </c>
      <c r="C535" s="0" t="s">
        <v>757</v>
      </c>
      <c r="D535" s="0" t="n">
        <v>6</v>
      </c>
      <c r="E535" s="0" t="n">
        <v>1</v>
      </c>
      <c r="F535" s="0" t="n">
        <f aca="false">D535*E535</f>
        <v>6</v>
      </c>
      <c r="G535" s="0" t="n">
        <f aca="false">ROUNDUP(F535/75,0)</f>
        <v>1</v>
      </c>
    </row>
    <row r="536" customFormat="false" ht="15" hidden="false" customHeight="false" outlineLevel="0" collapsed="false">
      <c r="A536" s="0" t="s">
        <v>33</v>
      </c>
      <c r="B536" s="0" t="s">
        <v>226</v>
      </c>
      <c r="C536" s="0" t="s">
        <v>753</v>
      </c>
      <c r="D536" s="0" t="n">
        <v>6</v>
      </c>
      <c r="E536" s="0" t="n">
        <v>3</v>
      </c>
      <c r="F536" s="0" t="n">
        <f aca="false">D536*E536</f>
        <v>18</v>
      </c>
      <c r="G536" s="0" t="n">
        <f aca="false">ROUNDUP(F536/75,0)</f>
        <v>1</v>
      </c>
    </row>
    <row r="537" customFormat="false" ht="15" hidden="false" customHeight="false" outlineLevel="0" collapsed="false">
      <c r="A537" s="0" t="s">
        <v>33</v>
      </c>
      <c r="B537" s="0" t="s">
        <v>226</v>
      </c>
      <c r="C537" s="0" t="s">
        <v>755</v>
      </c>
      <c r="D537" s="0" t="n">
        <v>6</v>
      </c>
      <c r="E537" s="0" t="n">
        <v>3</v>
      </c>
      <c r="F537" s="0" t="n">
        <f aca="false">D537*E537</f>
        <v>18</v>
      </c>
      <c r="G537" s="0" t="n">
        <f aca="false">ROUNDUP(F537/75,0)</f>
        <v>1</v>
      </c>
    </row>
    <row r="538" customFormat="false" ht="15" hidden="false" customHeight="false" outlineLevel="0" collapsed="false">
      <c r="A538" s="0" t="s">
        <v>33</v>
      </c>
      <c r="B538" s="0" t="s">
        <v>227</v>
      </c>
      <c r="C538" s="0" t="s">
        <v>756</v>
      </c>
      <c r="D538" s="0" t="n">
        <v>12</v>
      </c>
      <c r="E538" s="0" t="n">
        <v>3</v>
      </c>
      <c r="F538" s="0" t="n">
        <f aca="false">D538*E538</f>
        <v>36</v>
      </c>
      <c r="G538" s="0" t="n">
        <f aca="false">ROUNDUP(F538/75,0)</f>
        <v>1</v>
      </c>
    </row>
    <row r="539" customFormat="false" ht="15" hidden="false" customHeight="false" outlineLevel="0" collapsed="false">
      <c r="A539" s="0" t="s">
        <v>33</v>
      </c>
      <c r="B539" s="0" t="s">
        <v>227</v>
      </c>
      <c r="C539" s="0" t="s">
        <v>757</v>
      </c>
      <c r="D539" s="0" t="n">
        <v>6</v>
      </c>
      <c r="E539" s="0" t="n">
        <v>2</v>
      </c>
      <c r="F539" s="0" t="n">
        <f aca="false">D539*E539</f>
        <v>12</v>
      </c>
      <c r="G539" s="0" t="n">
        <f aca="false">ROUNDUP(F539/75,0)</f>
        <v>1</v>
      </c>
    </row>
    <row r="540" customFormat="false" ht="15" hidden="false" customHeight="false" outlineLevel="0" collapsed="false">
      <c r="A540" s="0" t="s">
        <v>33</v>
      </c>
      <c r="B540" s="0" t="s">
        <v>227</v>
      </c>
      <c r="C540" s="0" t="s">
        <v>755</v>
      </c>
      <c r="D540" s="0" t="n">
        <v>6</v>
      </c>
      <c r="E540" s="0" t="n">
        <v>4</v>
      </c>
      <c r="F540" s="0" t="n">
        <f aca="false">D540*E540</f>
        <v>24</v>
      </c>
      <c r="G540" s="0" t="n">
        <f aca="false">ROUNDUP(F540/75,0)</f>
        <v>1</v>
      </c>
    </row>
    <row r="541" customFormat="false" ht="15" hidden="false" customHeight="false" outlineLevel="0" collapsed="false">
      <c r="A541" s="0" t="s">
        <v>33</v>
      </c>
      <c r="B541" s="0" t="s">
        <v>228</v>
      </c>
      <c r="C541" s="0" t="s">
        <v>756</v>
      </c>
      <c r="D541" s="0" t="n">
        <v>12</v>
      </c>
      <c r="E541" s="0" t="n">
        <v>3</v>
      </c>
      <c r="F541" s="0" t="n">
        <f aca="false">D541*E541</f>
        <v>36</v>
      </c>
      <c r="G541" s="0" t="n">
        <f aca="false">ROUNDUP(F541/75,0)</f>
        <v>1</v>
      </c>
    </row>
    <row r="542" customFormat="false" ht="15" hidden="false" customHeight="false" outlineLevel="0" collapsed="false">
      <c r="A542" s="0" t="s">
        <v>33</v>
      </c>
      <c r="B542" s="0" t="s">
        <v>228</v>
      </c>
      <c r="C542" s="0" t="s">
        <v>757</v>
      </c>
      <c r="D542" s="0" t="n">
        <v>6</v>
      </c>
      <c r="E542" s="0" t="n">
        <v>2</v>
      </c>
      <c r="F542" s="0" t="n">
        <f aca="false">D542*E542</f>
        <v>12</v>
      </c>
      <c r="G542" s="0" t="n">
        <f aca="false">ROUNDUP(F542/75,0)</f>
        <v>1</v>
      </c>
    </row>
    <row r="543" customFormat="false" ht="15" hidden="false" customHeight="false" outlineLevel="0" collapsed="false">
      <c r="A543" s="0" t="s">
        <v>33</v>
      </c>
      <c r="B543" s="0" t="s">
        <v>228</v>
      </c>
      <c r="C543" s="0" t="s">
        <v>753</v>
      </c>
      <c r="D543" s="0" t="n">
        <v>6</v>
      </c>
      <c r="E543" s="0" t="n">
        <v>1</v>
      </c>
      <c r="F543" s="0" t="n">
        <f aca="false">D543*E543</f>
        <v>6</v>
      </c>
      <c r="G543" s="0" t="n">
        <f aca="false">ROUNDUP(F543/75,0)</f>
        <v>1</v>
      </c>
    </row>
    <row r="544" customFormat="false" ht="15" hidden="false" customHeight="false" outlineLevel="0" collapsed="false">
      <c r="A544" s="0" t="s">
        <v>33</v>
      </c>
      <c r="B544" s="0" t="s">
        <v>228</v>
      </c>
      <c r="C544" s="0" t="s">
        <v>755</v>
      </c>
      <c r="D544" s="0" t="n">
        <v>6</v>
      </c>
      <c r="E544" s="0" t="n">
        <v>4</v>
      </c>
      <c r="F544" s="0" t="n">
        <f aca="false">D544*E544</f>
        <v>24</v>
      </c>
      <c r="G544" s="0" t="n">
        <f aca="false">ROUNDUP(F544/75,0)</f>
        <v>1</v>
      </c>
    </row>
    <row r="545" customFormat="false" ht="15" hidden="false" customHeight="false" outlineLevel="0" collapsed="false">
      <c r="A545" s="0" t="s">
        <v>33</v>
      </c>
      <c r="B545" s="0" t="s">
        <v>229</v>
      </c>
      <c r="C545" s="0" t="s">
        <v>757</v>
      </c>
      <c r="D545" s="0" t="n">
        <v>6</v>
      </c>
      <c r="E545" s="0" t="n">
        <v>1</v>
      </c>
      <c r="F545" s="0" t="n">
        <f aca="false">D545*E545</f>
        <v>6</v>
      </c>
      <c r="G545" s="0" t="n">
        <f aca="false">ROUNDUP(F545/75,0)</f>
        <v>1</v>
      </c>
    </row>
    <row r="546" customFormat="false" ht="15" hidden="false" customHeight="false" outlineLevel="0" collapsed="false">
      <c r="A546" s="0" t="s">
        <v>33</v>
      </c>
      <c r="B546" s="0" t="s">
        <v>229</v>
      </c>
      <c r="C546" s="0" t="s">
        <v>755</v>
      </c>
      <c r="D546" s="0" t="n">
        <v>6</v>
      </c>
      <c r="E546" s="0" t="n">
        <v>2</v>
      </c>
      <c r="F546" s="0" t="n">
        <f aca="false">D546*E546</f>
        <v>12</v>
      </c>
      <c r="G546" s="0" t="n">
        <f aca="false">ROUNDUP(F546/75,0)</f>
        <v>1</v>
      </c>
    </row>
    <row r="547" customFormat="false" ht="15" hidden="false" customHeight="false" outlineLevel="0" collapsed="false">
      <c r="A547" s="0" t="s">
        <v>33</v>
      </c>
      <c r="B547" s="0" t="s">
        <v>230</v>
      </c>
      <c r="C547" s="0" t="s">
        <v>753</v>
      </c>
      <c r="D547" s="0" t="n">
        <v>6</v>
      </c>
      <c r="E547" s="0" t="n">
        <v>3</v>
      </c>
      <c r="F547" s="0" t="n">
        <f aca="false">D547*E547</f>
        <v>18</v>
      </c>
      <c r="G547" s="0" t="n">
        <f aca="false">ROUNDUP(F547/75,0)</f>
        <v>1</v>
      </c>
    </row>
    <row r="548" customFormat="false" ht="15" hidden="false" customHeight="false" outlineLevel="0" collapsed="false">
      <c r="A548" s="0" t="s">
        <v>33</v>
      </c>
      <c r="B548" s="0" t="s">
        <v>231</v>
      </c>
      <c r="C548" s="0" t="s">
        <v>753</v>
      </c>
      <c r="D548" s="0" t="n">
        <v>6</v>
      </c>
      <c r="E548" s="0" t="n">
        <v>3</v>
      </c>
      <c r="F548" s="0" t="n">
        <f aca="false">D548*E548</f>
        <v>18</v>
      </c>
      <c r="G548" s="0" t="n">
        <f aca="false">ROUNDUP(F548/75,0)</f>
        <v>1</v>
      </c>
    </row>
    <row r="549" customFormat="false" ht="15" hidden="false" customHeight="false" outlineLevel="0" collapsed="false">
      <c r="A549" s="0" t="s">
        <v>33</v>
      </c>
      <c r="B549" s="0" t="s">
        <v>232</v>
      </c>
      <c r="C549" s="0" t="s">
        <v>753</v>
      </c>
      <c r="D549" s="0" t="n">
        <v>6</v>
      </c>
      <c r="E549" s="0" t="n">
        <v>2</v>
      </c>
      <c r="F549" s="0" t="n">
        <f aca="false">D549*E549</f>
        <v>12</v>
      </c>
      <c r="G549" s="0" t="n">
        <f aca="false">ROUNDUP(F549/75,0)</f>
        <v>1</v>
      </c>
    </row>
    <row r="550" customFormat="false" ht="15" hidden="false" customHeight="false" outlineLevel="0" collapsed="false">
      <c r="A550" s="0" t="s">
        <v>33</v>
      </c>
      <c r="B550" s="0" t="s">
        <v>232</v>
      </c>
      <c r="C550" s="0" t="s">
        <v>755</v>
      </c>
      <c r="D550" s="0" t="n">
        <v>6</v>
      </c>
      <c r="E550" s="0" t="n">
        <v>4</v>
      </c>
      <c r="F550" s="0" t="n">
        <f aca="false">D550*E550</f>
        <v>24</v>
      </c>
      <c r="G550" s="0" t="n">
        <f aca="false">ROUNDUP(F550/75,0)</f>
        <v>1</v>
      </c>
    </row>
    <row r="551" customFormat="false" ht="15" hidden="false" customHeight="false" outlineLevel="0" collapsed="false">
      <c r="A551" s="0" t="s">
        <v>33</v>
      </c>
      <c r="B551" s="0" t="s">
        <v>233</v>
      </c>
      <c r="C551" s="0" t="s">
        <v>753</v>
      </c>
      <c r="D551" s="0" t="n">
        <v>6</v>
      </c>
      <c r="E551" s="0" t="n">
        <v>1</v>
      </c>
      <c r="F551" s="0" t="n">
        <f aca="false">D551*E551</f>
        <v>6</v>
      </c>
      <c r="G551" s="0" t="n">
        <f aca="false">ROUNDUP(F551/75,0)</f>
        <v>1</v>
      </c>
    </row>
    <row r="552" customFormat="false" ht="15" hidden="false" customHeight="false" outlineLevel="0" collapsed="false">
      <c r="A552" s="0" t="s">
        <v>33</v>
      </c>
      <c r="B552" s="0" t="s">
        <v>233</v>
      </c>
      <c r="C552" s="0" t="s">
        <v>755</v>
      </c>
      <c r="D552" s="0" t="n">
        <v>6</v>
      </c>
      <c r="E552" s="0" t="n">
        <v>1</v>
      </c>
      <c r="F552" s="0" t="n">
        <f aca="false">D552*E552</f>
        <v>6</v>
      </c>
      <c r="G552" s="0" t="n">
        <f aca="false">ROUNDUP(F552/75,0)</f>
        <v>1</v>
      </c>
    </row>
    <row r="553" customFormat="false" ht="15" hidden="false" customHeight="false" outlineLevel="0" collapsed="false">
      <c r="A553" s="0" t="s">
        <v>33</v>
      </c>
      <c r="B553" s="0" t="s">
        <v>234</v>
      </c>
      <c r="C553" s="0" t="s">
        <v>753</v>
      </c>
      <c r="D553" s="0" t="n">
        <v>6</v>
      </c>
      <c r="E553" s="0" t="n">
        <v>2</v>
      </c>
      <c r="F553" s="0" t="n">
        <f aca="false">D553*E553</f>
        <v>12</v>
      </c>
      <c r="G553" s="0" t="n">
        <f aca="false">ROUNDUP(F553/75,0)</f>
        <v>1</v>
      </c>
    </row>
    <row r="554" customFormat="false" ht="15" hidden="false" customHeight="false" outlineLevel="0" collapsed="false">
      <c r="A554" s="0" t="s">
        <v>33</v>
      </c>
      <c r="B554" s="0" t="s">
        <v>235</v>
      </c>
      <c r="C554" s="0" t="s">
        <v>757</v>
      </c>
      <c r="D554" s="0" t="n">
        <v>6</v>
      </c>
      <c r="E554" s="0" t="n">
        <v>3</v>
      </c>
      <c r="F554" s="0" t="n">
        <f aca="false">D554*E554</f>
        <v>18</v>
      </c>
      <c r="G554" s="0" t="n">
        <f aca="false">ROUNDUP(F554/75,0)</f>
        <v>1</v>
      </c>
    </row>
    <row r="555" customFormat="false" ht="15" hidden="false" customHeight="false" outlineLevel="0" collapsed="false">
      <c r="A555" s="0" t="s">
        <v>33</v>
      </c>
      <c r="B555" s="0" t="s">
        <v>235</v>
      </c>
      <c r="C555" s="0" t="s">
        <v>753</v>
      </c>
      <c r="D555" s="0" t="n">
        <v>6</v>
      </c>
      <c r="E555" s="0" t="n">
        <v>5</v>
      </c>
      <c r="F555" s="0" t="n">
        <f aca="false">D555*E555</f>
        <v>30</v>
      </c>
      <c r="G555" s="0" t="n">
        <f aca="false">ROUNDUP(F555/75,0)</f>
        <v>1</v>
      </c>
    </row>
    <row r="556" customFormat="false" ht="15" hidden="false" customHeight="false" outlineLevel="0" collapsed="false">
      <c r="A556" s="0" t="s">
        <v>33</v>
      </c>
      <c r="B556" s="0" t="s">
        <v>235</v>
      </c>
      <c r="C556" s="0" t="s">
        <v>755</v>
      </c>
      <c r="D556" s="0" t="n">
        <v>6</v>
      </c>
      <c r="E556" s="0" t="n">
        <v>3</v>
      </c>
      <c r="F556" s="0" t="n">
        <f aca="false">D556*E556</f>
        <v>18</v>
      </c>
      <c r="G556" s="0" t="n">
        <f aca="false">ROUNDUP(F556/75,0)</f>
        <v>1</v>
      </c>
    </row>
    <row r="557" customFormat="false" ht="15" hidden="false" customHeight="false" outlineLevel="0" collapsed="false">
      <c r="A557" s="0" t="s">
        <v>33</v>
      </c>
      <c r="B557" s="0" t="s">
        <v>236</v>
      </c>
      <c r="C557" s="0" t="s">
        <v>756</v>
      </c>
      <c r="D557" s="0" t="n">
        <v>12</v>
      </c>
      <c r="E557" s="0" t="n">
        <v>1</v>
      </c>
      <c r="F557" s="0" t="n">
        <f aca="false">D557*E557</f>
        <v>12</v>
      </c>
      <c r="G557" s="0" t="n">
        <f aca="false">ROUNDUP(F557/75,0)</f>
        <v>1</v>
      </c>
    </row>
    <row r="558" customFormat="false" ht="15" hidden="false" customHeight="false" outlineLevel="0" collapsed="false">
      <c r="A558" s="0" t="s">
        <v>33</v>
      </c>
      <c r="B558" s="0" t="s">
        <v>236</v>
      </c>
      <c r="C558" s="0" t="s">
        <v>757</v>
      </c>
      <c r="D558" s="0" t="n">
        <v>6</v>
      </c>
      <c r="E558" s="0" t="n">
        <v>2</v>
      </c>
      <c r="F558" s="0" t="n">
        <f aca="false">D558*E558</f>
        <v>12</v>
      </c>
      <c r="G558" s="0" t="n">
        <f aca="false">ROUNDUP(F558/75,0)</f>
        <v>1</v>
      </c>
    </row>
    <row r="559" customFormat="false" ht="15" hidden="false" customHeight="false" outlineLevel="0" collapsed="false">
      <c r="A559" s="0" t="s">
        <v>33</v>
      </c>
      <c r="B559" s="0" t="s">
        <v>236</v>
      </c>
      <c r="C559" s="0" t="s">
        <v>755</v>
      </c>
      <c r="D559" s="0" t="n">
        <v>6</v>
      </c>
      <c r="E559" s="0" t="n">
        <v>1</v>
      </c>
      <c r="F559" s="0" t="n">
        <f aca="false">D559*E559</f>
        <v>6</v>
      </c>
      <c r="G559" s="0" t="n">
        <f aca="false">ROUNDUP(F559/75,0)</f>
        <v>1</v>
      </c>
    </row>
    <row r="560" customFormat="false" ht="15" hidden="false" customHeight="false" outlineLevel="0" collapsed="false">
      <c r="A560" s="0" t="s">
        <v>33</v>
      </c>
      <c r="B560" s="0" t="s">
        <v>237</v>
      </c>
      <c r="C560" s="0" t="s">
        <v>753</v>
      </c>
      <c r="D560" s="0" t="n">
        <v>6</v>
      </c>
      <c r="E560" s="0" t="n">
        <v>2</v>
      </c>
      <c r="F560" s="0" t="n">
        <f aca="false">D560*E560</f>
        <v>12</v>
      </c>
      <c r="G560" s="0" t="n">
        <f aca="false">ROUNDUP(F560/75,0)</f>
        <v>1</v>
      </c>
    </row>
    <row r="561" customFormat="false" ht="15" hidden="false" customHeight="false" outlineLevel="0" collapsed="false">
      <c r="A561" s="0" t="s">
        <v>33</v>
      </c>
      <c r="B561" s="0" t="s">
        <v>238</v>
      </c>
      <c r="C561" s="0" t="s">
        <v>753</v>
      </c>
      <c r="D561" s="0" t="n">
        <v>6</v>
      </c>
      <c r="E561" s="0" t="n">
        <v>1</v>
      </c>
      <c r="F561" s="0" t="n">
        <f aca="false">D561*E561</f>
        <v>6</v>
      </c>
      <c r="G561" s="0" t="n">
        <f aca="false">ROUNDUP(F561/75,0)</f>
        <v>1</v>
      </c>
    </row>
    <row r="562" customFormat="false" ht="15" hidden="false" customHeight="false" outlineLevel="0" collapsed="false">
      <c r="A562" s="0" t="s">
        <v>33</v>
      </c>
      <c r="B562" s="0" t="s">
        <v>238</v>
      </c>
      <c r="C562" s="0" t="s">
        <v>755</v>
      </c>
      <c r="D562" s="0" t="n">
        <v>6</v>
      </c>
      <c r="E562" s="0" t="n">
        <v>3</v>
      </c>
      <c r="F562" s="0" t="n">
        <f aca="false">D562*E562</f>
        <v>18</v>
      </c>
      <c r="G562" s="0" t="n">
        <f aca="false">ROUNDUP(F562/75,0)</f>
        <v>1</v>
      </c>
    </row>
    <row r="563" customFormat="false" ht="15" hidden="false" customHeight="false" outlineLevel="0" collapsed="false">
      <c r="A563" s="0" t="s">
        <v>33</v>
      </c>
      <c r="B563" s="0" t="s">
        <v>239</v>
      </c>
      <c r="C563" s="0" t="s">
        <v>753</v>
      </c>
      <c r="D563" s="0" t="n">
        <v>6</v>
      </c>
      <c r="E563" s="0" t="n">
        <v>2</v>
      </c>
      <c r="F563" s="0" t="n">
        <f aca="false">D563*E563</f>
        <v>12</v>
      </c>
      <c r="G563" s="0" t="n">
        <f aca="false">ROUNDUP(F563/75,0)</f>
        <v>1</v>
      </c>
    </row>
    <row r="564" customFormat="false" ht="15" hidden="false" customHeight="false" outlineLevel="0" collapsed="false">
      <c r="A564" s="0" t="s">
        <v>33</v>
      </c>
      <c r="B564" s="0" t="s">
        <v>239</v>
      </c>
      <c r="C564" s="0" t="s">
        <v>755</v>
      </c>
      <c r="D564" s="0" t="n">
        <v>6</v>
      </c>
      <c r="E564" s="0" t="n">
        <v>1</v>
      </c>
      <c r="F564" s="0" t="n">
        <f aca="false">D564*E564</f>
        <v>6</v>
      </c>
      <c r="G564" s="0" t="n">
        <f aca="false">ROUNDUP(F564/75,0)</f>
        <v>1</v>
      </c>
    </row>
    <row r="565" customFormat="false" ht="15" hidden="false" customHeight="false" outlineLevel="0" collapsed="false">
      <c r="A565" s="0" t="s">
        <v>33</v>
      </c>
      <c r="B565" s="0" t="s">
        <v>240</v>
      </c>
      <c r="C565" s="0" t="s">
        <v>757</v>
      </c>
      <c r="D565" s="0" t="n">
        <v>6</v>
      </c>
      <c r="E565" s="0" t="n">
        <v>2</v>
      </c>
      <c r="F565" s="0" t="n">
        <f aca="false">D565*E565</f>
        <v>12</v>
      </c>
      <c r="G565" s="0" t="n">
        <f aca="false">ROUNDUP(F565/75,0)</f>
        <v>1</v>
      </c>
    </row>
    <row r="566" customFormat="false" ht="15" hidden="false" customHeight="false" outlineLevel="0" collapsed="false">
      <c r="A566" s="0" t="s">
        <v>33</v>
      </c>
      <c r="B566" s="0" t="s">
        <v>240</v>
      </c>
      <c r="C566" s="0" t="s">
        <v>753</v>
      </c>
      <c r="D566" s="0" t="n">
        <v>6</v>
      </c>
      <c r="E566" s="0" t="n">
        <v>3</v>
      </c>
      <c r="F566" s="0" t="n">
        <f aca="false">D566*E566</f>
        <v>18</v>
      </c>
      <c r="G566" s="0" t="n">
        <f aca="false">ROUNDUP(F566/75,0)</f>
        <v>1</v>
      </c>
    </row>
    <row r="567" customFormat="false" ht="15" hidden="false" customHeight="false" outlineLevel="0" collapsed="false">
      <c r="A567" s="0" t="s">
        <v>33</v>
      </c>
      <c r="B567" s="0" t="s">
        <v>240</v>
      </c>
      <c r="C567" s="0" t="s">
        <v>755</v>
      </c>
      <c r="D567" s="0" t="n">
        <v>6</v>
      </c>
      <c r="E567" s="0" t="n">
        <v>3</v>
      </c>
      <c r="F567" s="0" t="n">
        <f aca="false">D567*E567</f>
        <v>18</v>
      </c>
      <c r="G567" s="0" t="n">
        <f aca="false">ROUNDUP(F567/75,0)</f>
        <v>1</v>
      </c>
    </row>
    <row r="568" customFormat="false" ht="15" hidden="false" customHeight="false" outlineLevel="0" collapsed="false">
      <c r="A568" s="0" t="s">
        <v>33</v>
      </c>
      <c r="B568" s="0" t="s">
        <v>241</v>
      </c>
      <c r="C568" s="0" t="s">
        <v>753</v>
      </c>
      <c r="D568" s="0" t="n">
        <v>6</v>
      </c>
      <c r="E568" s="0" t="n">
        <v>1</v>
      </c>
      <c r="F568" s="0" t="n">
        <f aca="false">D568*E568</f>
        <v>6</v>
      </c>
      <c r="G568" s="0" t="n">
        <f aca="false">ROUNDUP(F568/75,0)</f>
        <v>1</v>
      </c>
    </row>
    <row r="569" customFormat="false" ht="15" hidden="false" customHeight="false" outlineLevel="0" collapsed="false">
      <c r="A569" s="0" t="s">
        <v>33</v>
      </c>
      <c r="B569" s="0" t="s">
        <v>241</v>
      </c>
      <c r="C569" s="0" t="s">
        <v>755</v>
      </c>
      <c r="D569" s="0" t="n">
        <v>6</v>
      </c>
      <c r="E569" s="0" t="n">
        <v>1</v>
      </c>
      <c r="F569" s="0" t="n">
        <f aca="false">D569*E569</f>
        <v>6</v>
      </c>
      <c r="G569" s="0" t="n">
        <f aca="false">ROUNDUP(F569/75,0)</f>
        <v>1</v>
      </c>
    </row>
    <row r="570" customFormat="false" ht="15" hidden="false" customHeight="false" outlineLevel="0" collapsed="false">
      <c r="A570" s="0" t="s">
        <v>33</v>
      </c>
      <c r="B570" s="0" t="s">
        <v>242</v>
      </c>
      <c r="C570" s="0" t="s">
        <v>757</v>
      </c>
      <c r="D570" s="0" t="n">
        <v>6</v>
      </c>
      <c r="E570" s="0" t="n">
        <v>1</v>
      </c>
      <c r="F570" s="0" t="n">
        <f aca="false">D570*E570</f>
        <v>6</v>
      </c>
      <c r="G570" s="0" t="n">
        <f aca="false">ROUNDUP(F570/75,0)</f>
        <v>1</v>
      </c>
    </row>
    <row r="571" customFormat="false" ht="15" hidden="false" customHeight="false" outlineLevel="0" collapsed="false">
      <c r="A571" s="0" t="s">
        <v>33</v>
      </c>
      <c r="B571" s="0" t="s">
        <v>242</v>
      </c>
      <c r="C571" s="0" t="s">
        <v>753</v>
      </c>
      <c r="D571" s="0" t="n">
        <v>6</v>
      </c>
      <c r="E571" s="0" t="n">
        <v>1</v>
      </c>
      <c r="F571" s="0" t="n">
        <f aca="false">D571*E571</f>
        <v>6</v>
      </c>
      <c r="G571" s="0" t="n">
        <f aca="false">ROUNDUP(F571/75,0)</f>
        <v>1</v>
      </c>
    </row>
    <row r="572" customFormat="false" ht="15" hidden="false" customHeight="false" outlineLevel="0" collapsed="false">
      <c r="A572" s="0" t="s">
        <v>33</v>
      </c>
      <c r="B572" s="0" t="s">
        <v>243</v>
      </c>
      <c r="C572" s="0" t="s">
        <v>753</v>
      </c>
      <c r="D572" s="0" t="n">
        <v>6</v>
      </c>
      <c r="E572" s="0" t="n">
        <v>6</v>
      </c>
      <c r="F572" s="0" t="n">
        <f aca="false">D572*E572</f>
        <v>36</v>
      </c>
      <c r="G572" s="0" t="n">
        <f aca="false">ROUNDUP(F572/75,0)</f>
        <v>1</v>
      </c>
    </row>
    <row r="573" customFormat="false" ht="15" hidden="false" customHeight="false" outlineLevel="0" collapsed="false">
      <c r="A573" s="0" t="s">
        <v>33</v>
      </c>
      <c r="B573" s="0" t="s">
        <v>244</v>
      </c>
      <c r="C573" s="0" t="s">
        <v>756</v>
      </c>
      <c r="D573" s="0" t="n">
        <v>12</v>
      </c>
      <c r="E573" s="0" t="n">
        <v>1</v>
      </c>
      <c r="F573" s="0" t="n">
        <f aca="false">D573*E573</f>
        <v>12</v>
      </c>
      <c r="G573" s="0" t="n">
        <f aca="false">ROUNDUP(F573/75,0)</f>
        <v>1</v>
      </c>
    </row>
    <row r="574" customFormat="false" ht="15" hidden="false" customHeight="false" outlineLevel="0" collapsed="false">
      <c r="A574" s="0" t="s">
        <v>33</v>
      </c>
      <c r="B574" s="0" t="s">
        <v>244</v>
      </c>
      <c r="C574" s="0" t="s">
        <v>757</v>
      </c>
      <c r="D574" s="0" t="n">
        <v>6</v>
      </c>
      <c r="E574" s="0" t="n">
        <v>6</v>
      </c>
      <c r="F574" s="0" t="n">
        <f aca="false">D574*E574</f>
        <v>36</v>
      </c>
      <c r="G574" s="0" t="n">
        <f aca="false">ROUNDUP(F574/75,0)</f>
        <v>1</v>
      </c>
    </row>
    <row r="575" customFormat="false" ht="15" hidden="false" customHeight="false" outlineLevel="0" collapsed="false">
      <c r="A575" s="0" t="s">
        <v>33</v>
      </c>
      <c r="B575" s="0" t="s">
        <v>244</v>
      </c>
      <c r="C575" s="0" t="s">
        <v>753</v>
      </c>
      <c r="D575" s="0" t="n">
        <v>6</v>
      </c>
      <c r="E575" s="0" t="n">
        <v>3</v>
      </c>
      <c r="F575" s="0" t="n">
        <f aca="false">D575*E575</f>
        <v>18</v>
      </c>
      <c r="G575" s="0" t="n">
        <f aca="false">ROUNDUP(F575/75,0)</f>
        <v>1</v>
      </c>
    </row>
    <row r="576" customFormat="false" ht="15" hidden="false" customHeight="false" outlineLevel="0" collapsed="false">
      <c r="A576" s="0" t="s">
        <v>33</v>
      </c>
      <c r="B576" s="0" t="s">
        <v>244</v>
      </c>
      <c r="C576" s="0" t="s">
        <v>755</v>
      </c>
      <c r="D576" s="0" t="n">
        <v>6</v>
      </c>
      <c r="E576" s="0" t="n">
        <v>5</v>
      </c>
      <c r="F576" s="0" t="n">
        <f aca="false">D576*E576</f>
        <v>30</v>
      </c>
      <c r="G576" s="0" t="n">
        <f aca="false">ROUNDUP(F576/75,0)</f>
        <v>1</v>
      </c>
    </row>
    <row r="577" customFormat="false" ht="15" hidden="false" customHeight="false" outlineLevel="0" collapsed="false">
      <c r="A577" s="0" t="s">
        <v>33</v>
      </c>
      <c r="B577" s="0" t="s">
        <v>245</v>
      </c>
      <c r="C577" s="0" t="s">
        <v>757</v>
      </c>
      <c r="D577" s="0" t="n">
        <v>6</v>
      </c>
      <c r="E577" s="0" t="n">
        <v>4</v>
      </c>
      <c r="F577" s="0" t="n">
        <f aca="false">D577*E577</f>
        <v>24</v>
      </c>
      <c r="G577" s="0" t="n">
        <f aca="false">ROUNDUP(F577/75,0)</f>
        <v>1</v>
      </c>
    </row>
    <row r="578" customFormat="false" ht="15" hidden="false" customHeight="false" outlineLevel="0" collapsed="false">
      <c r="A578" s="0" t="s">
        <v>33</v>
      </c>
      <c r="B578" s="0" t="s">
        <v>245</v>
      </c>
      <c r="C578" s="0" t="s">
        <v>753</v>
      </c>
      <c r="D578" s="0" t="n">
        <v>6</v>
      </c>
      <c r="E578" s="0" t="n">
        <v>2</v>
      </c>
      <c r="F578" s="0" t="n">
        <f aca="false">D578*E578</f>
        <v>12</v>
      </c>
      <c r="G578" s="0" t="n">
        <f aca="false">ROUNDUP(F578/75,0)</f>
        <v>1</v>
      </c>
    </row>
    <row r="579" customFormat="false" ht="15" hidden="false" customHeight="false" outlineLevel="0" collapsed="false">
      <c r="A579" s="0" t="s">
        <v>33</v>
      </c>
      <c r="B579" s="0" t="s">
        <v>245</v>
      </c>
      <c r="C579" s="0" t="s">
        <v>755</v>
      </c>
      <c r="D579" s="0" t="n">
        <v>6</v>
      </c>
      <c r="E579" s="0" t="n">
        <v>3</v>
      </c>
      <c r="F579" s="0" t="n">
        <f aca="false">D579*E579</f>
        <v>18</v>
      </c>
      <c r="G579" s="0" t="n">
        <f aca="false">ROUNDUP(F579/75,0)</f>
        <v>1</v>
      </c>
    </row>
    <row r="580" customFormat="false" ht="15" hidden="false" customHeight="false" outlineLevel="0" collapsed="false">
      <c r="A580" s="0" t="s">
        <v>33</v>
      </c>
      <c r="B580" s="0" t="s">
        <v>246</v>
      </c>
      <c r="C580" s="0" t="s">
        <v>757</v>
      </c>
      <c r="D580" s="0" t="n">
        <v>6</v>
      </c>
      <c r="E580" s="0" t="n">
        <v>0.8</v>
      </c>
      <c r="F580" s="0" t="n">
        <f aca="false">D580*E580</f>
        <v>4.8</v>
      </c>
      <c r="G580" s="0" t="n">
        <f aca="false">ROUNDUP(F580/75,0)</f>
        <v>1</v>
      </c>
    </row>
    <row r="581" customFormat="false" ht="15" hidden="false" customHeight="false" outlineLevel="0" collapsed="false">
      <c r="A581" s="0" t="s">
        <v>33</v>
      </c>
      <c r="B581" s="0" t="s">
        <v>247</v>
      </c>
      <c r="C581" s="0" t="s">
        <v>753</v>
      </c>
      <c r="D581" s="0" t="n">
        <v>6</v>
      </c>
      <c r="E581" s="0" t="n">
        <v>1</v>
      </c>
      <c r="F581" s="0" t="n">
        <f aca="false">D581*E581</f>
        <v>6</v>
      </c>
      <c r="G581" s="0" t="n">
        <f aca="false">ROUNDUP(F581/75,0)</f>
        <v>1</v>
      </c>
    </row>
    <row r="582" customFormat="false" ht="15" hidden="false" customHeight="false" outlineLevel="0" collapsed="false">
      <c r="A582" s="0" t="s">
        <v>33</v>
      </c>
      <c r="B582" s="0" t="s">
        <v>248</v>
      </c>
      <c r="C582" s="0" t="s">
        <v>757</v>
      </c>
      <c r="D582" s="0" t="n">
        <v>6</v>
      </c>
      <c r="E582" s="0" t="n">
        <v>5</v>
      </c>
      <c r="F582" s="0" t="n">
        <f aca="false">D582*E582</f>
        <v>30</v>
      </c>
      <c r="G582" s="0" t="n">
        <f aca="false">ROUNDUP(F582/75,0)</f>
        <v>1</v>
      </c>
    </row>
    <row r="583" customFormat="false" ht="15" hidden="false" customHeight="false" outlineLevel="0" collapsed="false">
      <c r="A583" s="0" t="s">
        <v>33</v>
      </c>
      <c r="B583" s="0" t="s">
        <v>248</v>
      </c>
      <c r="C583" s="0" t="s">
        <v>753</v>
      </c>
      <c r="D583" s="0" t="n">
        <v>6</v>
      </c>
      <c r="E583" s="0" t="n">
        <v>1</v>
      </c>
      <c r="F583" s="0" t="n">
        <f aca="false">D583*E583</f>
        <v>6</v>
      </c>
      <c r="G583" s="0" t="n">
        <f aca="false">ROUNDUP(F583/75,0)</f>
        <v>1</v>
      </c>
    </row>
    <row r="584" customFormat="false" ht="15" hidden="false" customHeight="false" outlineLevel="0" collapsed="false">
      <c r="A584" s="0" t="s">
        <v>33</v>
      </c>
      <c r="B584" s="0" t="s">
        <v>248</v>
      </c>
      <c r="C584" s="0" t="s">
        <v>755</v>
      </c>
      <c r="D584" s="0" t="n">
        <v>6</v>
      </c>
      <c r="E584" s="0" t="n">
        <v>1</v>
      </c>
      <c r="F584" s="0" t="n">
        <f aca="false">D584*E584</f>
        <v>6</v>
      </c>
      <c r="G584" s="0" t="n">
        <f aca="false">ROUNDUP(F584/75,0)</f>
        <v>1</v>
      </c>
    </row>
    <row r="585" customFormat="false" ht="15" hidden="false" customHeight="false" outlineLevel="0" collapsed="false">
      <c r="A585" s="0" t="s">
        <v>249</v>
      </c>
      <c r="B585" s="0" t="s">
        <v>250</v>
      </c>
      <c r="C585" s="0" t="s">
        <v>756</v>
      </c>
      <c r="D585" s="0" t="n">
        <v>12</v>
      </c>
      <c r="E585" s="0" t="n">
        <v>2</v>
      </c>
      <c r="F585" s="0" t="n">
        <f aca="false">D585*E585</f>
        <v>24</v>
      </c>
      <c r="G585" s="0" t="n">
        <f aca="false">ROUNDUP(F585/75,0)</f>
        <v>1</v>
      </c>
    </row>
    <row r="586" customFormat="false" ht="15" hidden="false" customHeight="false" outlineLevel="0" collapsed="false">
      <c r="A586" s="0" t="s">
        <v>249</v>
      </c>
      <c r="B586" s="0" t="s">
        <v>250</v>
      </c>
      <c r="C586" s="0" t="s">
        <v>757</v>
      </c>
      <c r="D586" s="0" t="n">
        <v>6</v>
      </c>
      <c r="E586" s="0" t="n">
        <v>2</v>
      </c>
      <c r="F586" s="0" t="n">
        <f aca="false">D586*E586</f>
        <v>12</v>
      </c>
      <c r="G586" s="0" t="n">
        <f aca="false">ROUNDUP(F586/75,0)</f>
        <v>1</v>
      </c>
    </row>
    <row r="587" customFormat="false" ht="15" hidden="false" customHeight="false" outlineLevel="0" collapsed="false">
      <c r="A587" s="0" t="s">
        <v>249</v>
      </c>
      <c r="B587" s="0" t="s">
        <v>250</v>
      </c>
      <c r="C587" s="0" t="s">
        <v>753</v>
      </c>
      <c r="D587" s="0" t="n">
        <v>6</v>
      </c>
      <c r="E587" s="0" t="n">
        <v>4</v>
      </c>
      <c r="F587" s="0" t="n">
        <f aca="false">D587*E587</f>
        <v>24</v>
      </c>
      <c r="G587" s="0" t="n">
        <f aca="false">ROUNDUP(F587/75,0)</f>
        <v>1</v>
      </c>
    </row>
    <row r="588" customFormat="false" ht="15" hidden="false" customHeight="false" outlineLevel="0" collapsed="false">
      <c r="A588" s="0" t="s">
        <v>249</v>
      </c>
      <c r="B588" s="0" t="s">
        <v>250</v>
      </c>
      <c r="C588" s="0" t="s">
        <v>755</v>
      </c>
      <c r="D588" s="0" t="n">
        <v>6</v>
      </c>
      <c r="E588" s="0" t="n">
        <v>2</v>
      </c>
      <c r="F588" s="0" t="n">
        <f aca="false">D588*E588</f>
        <v>12</v>
      </c>
      <c r="G588" s="0" t="n">
        <f aca="false">ROUNDUP(F588/75,0)</f>
        <v>1</v>
      </c>
    </row>
    <row r="589" customFormat="false" ht="15" hidden="false" customHeight="false" outlineLevel="0" collapsed="false">
      <c r="A589" s="0" t="s">
        <v>249</v>
      </c>
      <c r="B589" s="0" t="s">
        <v>251</v>
      </c>
      <c r="C589" s="0" t="s">
        <v>753</v>
      </c>
      <c r="D589" s="0" t="n">
        <v>6</v>
      </c>
      <c r="E589" s="0" t="n">
        <v>1</v>
      </c>
      <c r="F589" s="0" t="n">
        <f aca="false">D589*E589</f>
        <v>6</v>
      </c>
      <c r="G589" s="0" t="n">
        <f aca="false">ROUNDUP(F589/75,0)</f>
        <v>1</v>
      </c>
    </row>
    <row r="590" customFormat="false" ht="15" hidden="false" customHeight="false" outlineLevel="0" collapsed="false">
      <c r="A590" s="0" t="s">
        <v>249</v>
      </c>
      <c r="B590" s="0" t="s">
        <v>251</v>
      </c>
      <c r="C590" s="0" t="s">
        <v>755</v>
      </c>
      <c r="D590" s="0" t="n">
        <v>6</v>
      </c>
      <c r="E590" s="0" t="n">
        <v>2</v>
      </c>
      <c r="F590" s="0" t="n">
        <f aca="false">D590*E590</f>
        <v>12</v>
      </c>
      <c r="G590" s="0" t="n">
        <f aca="false">ROUNDUP(F590/75,0)</f>
        <v>1</v>
      </c>
    </row>
    <row r="591" customFormat="false" ht="15" hidden="false" customHeight="false" outlineLevel="0" collapsed="false">
      <c r="A591" s="0" t="s">
        <v>249</v>
      </c>
      <c r="B591" s="0" t="s">
        <v>252</v>
      </c>
      <c r="C591" s="0" t="s">
        <v>756</v>
      </c>
      <c r="D591" s="0" t="n">
        <v>12</v>
      </c>
      <c r="E591" s="0" t="n">
        <v>1</v>
      </c>
      <c r="F591" s="0" t="n">
        <f aca="false">D591*E591</f>
        <v>12</v>
      </c>
      <c r="G591" s="0" t="n">
        <f aca="false">ROUNDUP(F591/75,0)</f>
        <v>1</v>
      </c>
    </row>
    <row r="592" customFormat="false" ht="15" hidden="false" customHeight="false" outlineLevel="0" collapsed="false">
      <c r="A592" s="0" t="s">
        <v>249</v>
      </c>
      <c r="B592" s="0" t="s">
        <v>252</v>
      </c>
      <c r="C592" s="0" t="s">
        <v>757</v>
      </c>
      <c r="D592" s="0" t="n">
        <v>6</v>
      </c>
      <c r="E592" s="0" t="n">
        <v>1</v>
      </c>
      <c r="F592" s="0" t="n">
        <f aca="false">D592*E592</f>
        <v>6</v>
      </c>
      <c r="G592" s="0" t="n">
        <f aca="false">ROUNDUP(F592/75,0)</f>
        <v>1</v>
      </c>
    </row>
    <row r="593" customFormat="false" ht="15" hidden="false" customHeight="false" outlineLevel="0" collapsed="false">
      <c r="A593" s="0" t="s">
        <v>249</v>
      </c>
      <c r="B593" s="0" t="s">
        <v>252</v>
      </c>
      <c r="C593" s="0" t="s">
        <v>753</v>
      </c>
      <c r="D593" s="0" t="n">
        <v>6</v>
      </c>
      <c r="E593" s="0" t="n">
        <v>2</v>
      </c>
      <c r="F593" s="0" t="n">
        <f aca="false">D593*E593</f>
        <v>12</v>
      </c>
      <c r="G593" s="0" t="n">
        <f aca="false">ROUNDUP(F593/75,0)</f>
        <v>1</v>
      </c>
    </row>
    <row r="594" customFormat="false" ht="15" hidden="false" customHeight="false" outlineLevel="0" collapsed="false">
      <c r="A594" s="0" t="s">
        <v>249</v>
      </c>
      <c r="B594" s="0" t="s">
        <v>253</v>
      </c>
      <c r="C594" s="0" t="s">
        <v>757</v>
      </c>
      <c r="D594" s="0" t="n">
        <v>6</v>
      </c>
      <c r="E594" s="0" t="n">
        <v>1</v>
      </c>
      <c r="F594" s="0" t="n">
        <f aca="false">D594*E594</f>
        <v>6</v>
      </c>
      <c r="G594" s="0" t="n">
        <f aca="false">ROUNDUP(F594/75,0)</f>
        <v>1</v>
      </c>
    </row>
    <row r="595" customFormat="false" ht="15" hidden="false" customHeight="false" outlineLevel="0" collapsed="false">
      <c r="A595" s="0" t="s">
        <v>249</v>
      </c>
      <c r="B595" s="0" t="s">
        <v>253</v>
      </c>
      <c r="C595" s="0" t="s">
        <v>755</v>
      </c>
      <c r="D595" s="0" t="n">
        <v>6</v>
      </c>
      <c r="E595" s="0" t="n">
        <v>4</v>
      </c>
      <c r="F595" s="0" t="n">
        <f aca="false">D595*E595</f>
        <v>24</v>
      </c>
      <c r="G595" s="0" t="n">
        <f aca="false">ROUNDUP(F595/75,0)</f>
        <v>1</v>
      </c>
    </row>
    <row r="596" customFormat="false" ht="15" hidden="false" customHeight="false" outlineLevel="0" collapsed="false">
      <c r="A596" s="0" t="s">
        <v>249</v>
      </c>
      <c r="B596" s="0" t="s">
        <v>254</v>
      </c>
      <c r="C596" s="0" t="s">
        <v>756</v>
      </c>
      <c r="D596" s="0" t="n">
        <v>12</v>
      </c>
      <c r="E596" s="0" t="n">
        <v>4</v>
      </c>
      <c r="F596" s="0" t="n">
        <f aca="false">D596*E596</f>
        <v>48</v>
      </c>
      <c r="G596" s="0" t="n">
        <f aca="false">ROUNDUP(F596/75,0)</f>
        <v>1</v>
      </c>
    </row>
    <row r="597" customFormat="false" ht="15" hidden="false" customHeight="false" outlineLevel="0" collapsed="false">
      <c r="A597" s="0" t="s">
        <v>249</v>
      </c>
      <c r="B597" s="0" t="s">
        <v>254</v>
      </c>
      <c r="C597" s="0" t="s">
        <v>757</v>
      </c>
      <c r="D597" s="0" t="n">
        <v>6</v>
      </c>
      <c r="E597" s="0" t="n">
        <v>1</v>
      </c>
      <c r="F597" s="0" t="n">
        <f aca="false">D597*E597</f>
        <v>6</v>
      </c>
      <c r="G597" s="0" t="n">
        <f aca="false">ROUNDUP(F597/75,0)</f>
        <v>1</v>
      </c>
    </row>
    <row r="598" customFormat="false" ht="15" hidden="false" customHeight="false" outlineLevel="0" collapsed="false">
      <c r="A598" s="0" t="s">
        <v>249</v>
      </c>
      <c r="B598" s="0" t="s">
        <v>254</v>
      </c>
      <c r="C598" s="0" t="s">
        <v>753</v>
      </c>
      <c r="D598" s="0" t="n">
        <v>6</v>
      </c>
      <c r="E598" s="0" t="n">
        <v>6</v>
      </c>
      <c r="F598" s="0" t="n">
        <f aca="false">D598*E598</f>
        <v>36</v>
      </c>
      <c r="G598" s="0" t="n">
        <f aca="false">ROUNDUP(F598/75,0)</f>
        <v>1</v>
      </c>
    </row>
    <row r="599" customFormat="false" ht="15" hidden="false" customHeight="false" outlineLevel="0" collapsed="false">
      <c r="A599" s="0" t="s">
        <v>249</v>
      </c>
      <c r="B599" s="0" t="s">
        <v>254</v>
      </c>
      <c r="C599" s="0" t="s">
        <v>755</v>
      </c>
      <c r="D599" s="0" t="n">
        <v>6</v>
      </c>
      <c r="E599" s="0" t="n">
        <v>5</v>
      </c>
      <c r="F599" s="0" t="n">
        <f aca="false">D599*E599</f>
        <v>30</v>
      </c>
      <c r="G599" s="0" t="n">
        <f aca="false">ROUNDUP(F599/75,0)</f>
        <v>1</v>
      </c>
    </row>
    <row r="600" customFormat="false" ht="15" hidden="false" customHeight="false" outlineLevel="0" collapsed="false">
      <c r="A600" s="0" t="s">
        <v>249</v>
      </c>
      <c r="B600" s="0" t="s">
        <v>255</v>
      </c>
      <c r="C600" s="0" t="s">
        <v>756</v>
      </c>
      <c r="D600" s="0" t="n">
        <v>12</v>
      </c>
      <c r="E600" s="0" t="n">
        <v>3</v>
      </c>
      <c r="F600" s="0" t="n">
        <f aca="false">D600*E600</f>
        <v>36</v>
      </c>
      <c r="G600" s="0" t="n">
        <f aca="false">ROUNDUP(F600/75,0)</f>
        <v>1</v>
      </c>
    </row>
    <row r="601" customFormat="false" ht="15" hidden="false" customHeight="false" outlineLevel="0" collapsed="false">
      <c r="A601" s="0" t="s">
        <v>249</v>
      </c>
      <c r="B601" s="0" t="s">
        <v>255</v>
      </c>
      <c r="C601" s="0" t="s">
        <v>757</v>
      </c>
      <c r="D601" s="0" t="n">
        <v>6</v>
      </c>
      <c r="E601" s="0" t="n">
        <v>2</v>
      </c>
      <c r="F601" s="0" t="n">
        <f aca="false">D601*E601</f>
        <v>12</v>
      </c>
      <c r="G601" s="0" t="n">
        <f aca="false">ROUNDUP(F601/75,0)</f>
        <v>1</v>
      </c>
    </row>
    <row r="602" customFormat="false" ht="15" hidden="false" customHeight="false" outlineLevel="0" collapsed="false">
      <c r="A602" s="0" t="s">
        <v>249</v>
      </c>
      <c r="B602" s="0" t="s">
        <v>255</v>
      </c>
      <c r="C602" s="0" t="s">
        <v>753</v>
      </c>
      <c r="D602" s="0" t="n">
        <v>6</v>
      </c>
      <c r="E602" s="0" t="n">
        <v>3</v>
      </c>
      <c r="F602" s="0" t="n">
        <f aca="false">D602*E602</f>
        <v>18</v>
      </c>
      <c r="G602" s="0" t="n">
        <f aca="false">ROUNDUP(F602/75,0)</f>
        <v>1</v>
      </c>
    </row>
    <row r="603" customFormat="false" ht="15" hidden="false" customHeight="false" outlineLevel="0" collapsed="false">
      <c r="A603" s="0" t="s">
        <v>249</v>
      </c>
      <c r="B603" s="0" t="s">
        <v>255</v>
      </c>
      <c r="C603" s="0" t="s">
        <v>755</v>
      </c>
      <c r="D603" s="0" t="n">
        <v>6</v>
      </c>
      <c r="E603" s="0" t="n">
        <v>7</v>
      </c>
      <c r="F603" s="0" t="n">
        <f aca="false">D603*E603</f>
        <v>42</v>
      </c>
      <c r="G603" s="0" t="n">
        <f aca="false">ROUNDUP(F603/75,0)</f>
        <v>1</v>
      </c>
    </row>
    <row r="604" customFormat="false" ht="15" hidden="false" customHeight="false" outlineLevel="0" collapsed="false">
      <c r="A604" s="0" t="s">
        <v>249</v>
      </c>
      <c r="B604" s="0" t="s">
        <v>256</v>
      </c>
      <c r="C604" s="0" t="s">
        <v>756</v>
      </c>
      <c r="D604" s="0" t="n">
        <v>12</v>
      </c>
      <c r="E604" s="0" t="n">
        <v>4</v>
      </c>
      <c r="F604" s="0" t="n">
        <f aca="false">D604*E604</f>
        <v>48</v>
      </c>
      <c r="G604" s="0" t="n">
        <f aca="false">ROUNDUP(F604/75,0)</f>
        <v>1</v>
      </c>
    </row>
    <row r="605" customFormat="false" ht="15" hidden="false" customHeight="false" outlineLevel="0" collapsed="false">
      <c r="A605" s="0" t="s">
        <v>249</v>
      </c>
      <c r="B605" s="0" t="s">
        <v>256</v>
      </c>
      <c r="C605" s="0" t="s">
        <v>757</v>
      </c>
      <c r="D605" s="0" t="n">
        <v>6</v>
      </c>
      <c r="E605" s="0" t="n">
        <v>1</v>
      </c>
      <c r="F605" s="0" t="n">
        <f aca="false">D605*E605</f>
        <v>6</v>
      </c>
      <c r="G605" s="0" t="n">
        <f aca="false">ROUNDUP(F605/75,0)</f>
        <v>1</v>
      </c>
    </row>
    <row r="606" customFormat="false" ht="15" hidden="false" customHeight="false" outlineLevel="0" collapsed="false">
      <c r="A606" s="0" t="s">
        <v>249</v>
      </c>
      <c r="B606" s="0" t="s">
        <v>256</v>
      </c>
      <c r="C606" s="0" t="s">
        <v>753</v>
      </c>
      <c r="D606" s="0" t="n">
        <v>6</v>
      </c>
      <c r="E606" s="0" t="n">
        <v>3</v>
      </c>
      <c r="F606" s="0" t="n">
        <f aca="false">D606*E606</f>
        <v>18</v>
      </c>
      <c r="G606" s="0" t="n">
        <f aca="false">ROUNDUP(F606/75,0)</f>
        <v>1</v>
      </c>
    </row>
    <row r="607" customFormat="false" ht="15" hidden="false" customHeight="false" outlineLevel="0" collapsed="false">
      <c r="A607" s="0" t="s">
        <v>249</v>
      </c>
      <c r="B607" s="0" t="s">
        <v>256</v>
      </c>
      <c r="C607" s="0" t="s">
        <v>755</v>
      </c>
      <c r="D607" s="0" t="n">
        <v>6</v>
      </c>
      <c r="E607" s="0" t="n">
        <v>4</v>
      </c>
      <c r="F607" s="0" t="n">
        <f aca="false">D607*E607</f>
        <v>24</v>
      </c>
      <c r="G607" s="0" t="n">
        <f aca="false">ROUNDUP(F607/75,0)</f>
        <v>1</v>
      </c>
    </row>
    <row r="608" customFormat="false" ht="15" hidden="false" customHeight="false" outlineLevel="0" collapsed="false">
      <c r="A608" s="0" t="s">
        <v>249</v>
      </c>
      <c r="B608" s="0" t="s">
        <v>257</v>
      </c>
      <c r="C608" s="0" t="s">
        <v>757</v>
      </c>
      <c r="D608" s="0" t="n">
        <v>6</v>
      </c>
      <c r="E608" s="0" t="n">
        <v>1</v>
      </c>
      <c r="F608" s="0" t="n">
        <f aca="false">D608*E608</f>
        <v>6</v>
      </c>
      <c r="G608" s="0" t="n">
        <f aca="false">ROUNDUP(F608/75,0)</f>
        <v>1</v>
      </c>
    </row>
    <row r="609" customFormat="false" ht="15" hidden="false" customHeight="false" outlineLevel="0" collapsed="false">
      <c r="A609" s="0" t="s">
        <v>249</v>
      </c>
      <c r="B609" s="0" t="s">
        <v>257</v>
      </c>
      <c r="C609" s="0" t="s">
        <v>755</v>
      </c>
      <c r="D609" s="0" t="n">
        <v>6</v>
      </c>
      <c r="E609" s="0" t="n">
        <v>1</v>
      </c>
      <c r="F609" s="0" t="n">
        <f aca="false">D609*E609</f>
        <v>6</v>
      </c>
      <c r="G609" s="0" t="n">
        <f aca="false">ROUNDUP(F609/75,0)</f>
        <v>1</v>
      </c>
    </row>
    <row r="610" customFormat="false" ht="15" hidden="false" customHeight="false" outlineLevel="0" collapsed="false">
      <c r="A610" s="0" t="s">
        <v>249</v>
      </c>
      <c r="B610" s="0" t="s">
        <v>258</v>
      </c>
      <c r="C610" s="0" t="s">
        <v>757</v>
      </c>
      <c r="D610" s="0" t="n">
        <v>6</v>
      </c>
      <c r="E610" s="0" t="n">
        <v>3</v>
      </c>
      <c r="F610" s="0" t="n">
        <f aca="false">D610*E610</f>
        <v>18</v>
      </c>
      <c r="G610" s="0" t="n">
        <f aca="false">ROUNDUP(F610/75,0)</f>
        <v>1</v>
      </c>
    </row>
    <row r="611" customFormat="false" ht="15" hidden="false" customHeight="false" outlineLevel="0" collapsed="false">
      <c r="A611" s="0" t="s">
        <v>249</v>
      </c>
      <c r="B611" s="0" t="s">
        <v>258</v>
      </c>
      <c r="C611" s="0" t="s">
        <v>753</v>
      </c>
      <c r="D611" s="0" t="n">
        <v>6</v>
      </c>
      <c r="E611" s="0" t="n">
        <v>5</v>
      </c>
      <c r="F611" s="0" t="n">
        <f aca="false">D611*E611</f>
        <v>30</v>
      </c>
      <c r="G611" s="0" t="n">
        <f aca="false">ROUNDUP(F611/75,0)</f>
        <v>1</v>
      </c>
    </row>
    <row r="612" customFormat="false" ht="15" hidden="false" customHeight="false" outlineLevel="0" collapsed="false">
      <c r="A612" s="0" t="s">
        <v>249</v>
      </c>
      <c r="B612" s="0" t="s">
        <v>258</v>
      </c>
      <c r="C612" s="0" t="s">
        <v>755</v>
      </c>
      <c r="D612" s="0" t="n">
        <v>6</v>
      </c>
      <c r="E612" s="0" t="n">
        <v>6</v>
      </c>
      <c r="F612" s="0" t="n">
        <f aca="false">D612*E612</f>
        <v>36</v>
      </c>
      <c r="G612" s="0" t="n">
        <f aca="false">ROUNDUP(F612/75,0)</f>
        <v>1</v>
      </c>
    </row>
    <row r="613" customFormat="false" ht="15" hidden="false" customHeight="false" outlineLevel="0" collapsed="false">
      <c r="A613" s="0" t="s">
        <v>249</v>
      </c>
      <c r="B613" s="0" t="s">
        <v>259</v>
      </c>
      <c r="C613" s="0" t="s">
        <v>756</v>
      </c>
      <c r="D613" s="0" t="n">
        <v>12</v>
      </c>
      <c r="E613" s="0" t="n">
        <v>1</v>
      </c>
      <c r="F613" s="0" t="n">
        <f aca="false">D613*E613</f>
        <v>12</v>
      </c>
      <c r="G613" s="0" t="n">
        <f aca="false">ROUNDUP(F613/75,0)</f>
        <v>1</v>
      </c>
    </row>
    <row r="614" customFormat="false" ht="15" hidden="false" customHeight="false" outlineLevel="0" collapsed="false">
      <c r="A614" s="0" t="s">
        <v>249</v>
      </c>
      <c r="B614" s="0" t="s">
        <v>259</v>
      </c>
      <c r="C614" s="0" t="s">
        <v>757</v>
      </c>
      <c r="D614" s="0" t="n">
        <v>6</v>
      </c>
      <c r="E614" s="0" t="n">
        <v>2</v>
      </c>
      <c r="F614" s="0" t="n">
        <f aca="false">D614*E614</f>
        <v>12</v>
      </c>
      <c r="G614" s="0" t="n">
        <f aca="false">ROUNDUP(F614/75,0)</f>
        <v>1</v>
      </c>
    </row>
    <row r="615" customFormat="false" ht="15" hidden="false" customHeight="false" outlineLevel="0" collapsed="false">
      <c r="A615" s="0" t="s">
        <v>249</v>
      </c>
      <c r="B615" s="0" t="s">
        <v>259</v>
      </c>
      <c r="C615" s="0" t="s">
        <v>753</v>
      </c>
      <c r="D615" s="0" t="n">
        <v>6</v>
      </c>
      <c r="E615" s="0" t="n">
        <v>2</v>
      </c>
      <c r="F615" s="0" t="n">
        <f aca="false">D615*E615</f>
        <v>12</v>
      </c>
      <c r="G615" s="0" t="n">
        <f aca="false">ROUNDUP(F615/75,0)</f>
        <v>1</v>
      </c>
    </row>
    <row r="616" customFormat="false" ht="15" hidden="false" customHeight="false" outlineLevel="0" collapsed="false">
      <c r="A616" s="0" t="s">
        <v>249</v>
      </c>
      <c r="B616" s="0" t="s">
        <v>259</v>
      </c>
      <c r="C616" s="0" t="s">
        <v>755</v>
      </c>
      <c r="D616" s="0" t="n">
        <v>6</v>
      </c>
      <c r="E616" s="0" t="n">
        <v>1</v>
      </c>
      <c r="F616" s="0" t="n">
        <f aca="false">D616*E616</f>
        <v>6</v>
      </c>
      <c r="G616" s="0" t="n">
        <f aca="false">ROUNDUP(F616/75,0)</f>
        <v>1</v>
      </c>
    </row>
    <row r="617" customFormat="false" ht="15" hidden="false" customHeight="false" outlineLevel="0" collapsed="false">
      <c r="A617" s="0" t="s">
        <v>249</v>
      </c>
      <c r="B617" s="0" t="s">
        <v>260</v>
      </c>
      <c r="C617" s="0" t="s">
        <v>757</v>
      </c>
      <c r="D617" s="0" t="n">
        <v>6</v>
      </c>
      <c r="E617" s="0" t="n">
        <v>2</v>
      </c>
      <c r="F617" s="0" t="n">
        <f aca="false">D617*E617</f>
        <v>12</v>
      </c>
      <c r="G617" s="0" t="n">
        <f aca="false">ROUNDUP(F617/75,0)</f>
        <v>1</v>
      </c>
    </row>
    <row r="618" customFormat="false" ht="15" hidden="false" customHeight="false" outlineLevel="0" collapsed="false">
      <c r="A618" s="0" t="s">
        <v>249</v>
      </c>
      <c r="B618" s="0" t="s">
        <v>260</v>
      </c>
      <c r="C618" s="0" t="s">
        <v>753</v>
      </c>
      <c r="D618" s="0" t="n">
        <v>6</v>
      </c>
      <c r="E618" s="0" t="n">
        <v>2</v>
      </c>
      <c r="F618" s="0" t="n">
        <f aca="false">D618*E618</f>
        <v>12</v>
      </c>
      <c r="G618" s="0" t="n">
        <f aca="false">ROUNDUP(F618/75,0)</f>
        <v>1</v>
      </c>
    </row>
    <row r="619" customFormat="false" ht="15" hidden="false" customHeight="false" outlineLevel="0" collapsed="false">
      <c r="A619" s="0" t="s">
        <v>249</v>
      </c>
      <c r="B619" s="0" t="s">
        <v>260</v>
      </c>
      <c r="C619" s="0" t="s">
        <v>755</v>
      </c>
      <c r="D619" s="0" t="n">
        <v>6</v>
      </c>
      <c r="E619" s="0" t="n">
        <v>1</v>
      </c>
      <c r="F619" s="0" t="n">
        <f aca="false">D619*E619</f>
        <v>6</v>
      </c>
      <c r="G619" s="0" t="n">
        <f aca="false">ROUNDUP(F619/75,0)</f>
        <v>1</v>
      </c>
    </row>
    <row r="620" customFormat="false" ht="15" hidden="false" customHeight="false" outlineLevel="0" collapsed="false">
      <c r="A620" s="0" t="s">
        <v>249</v>
      </c>
      <c r="B620" s="0" t="s">
        <v>261</v>
      </c>
      <c r="C620" s="0" t="s">
        <v>753</v>
      </c>
      <c r="D620" s="0" t="n">
        <v>6</v>
      </c>
      <c r="E620" s="0" t="n">
        <v>2</v>
      </c>
      <c r="F620" s="0" t="n">
        <f aca="false">D620*E620</f>
        <v>12</v>
      </c>
      <c r="G620" s="0" t="n">
        <f aca="false">ROUNDUP(F620/75,0)</f>
        <v>1</v>
      </c>
    </row>
    <row r="621" customFormat="false" ht="15" hidden="false" customHeight="false" outlineLevel="0" collapsed="false">
      <c r="A621" s="0" t="s">
        <v>249</v>
      </c>
      <c r="B621" s="0" t="s">
        <v>261</v>
      </c>
      <c r="C621" s="0" t="s">
        <v>755</v>
      </c>
      <c r="D621" s="0" t="n">
        <v>6</v>
      </c>
      <c r="E621" s="0" t="n">
        <v>6</v>
      </c>
      <c r="F621" s="0" t="n">
        <f aca="false">D621*E621</f>
        <v>36</v>
      </c>
      <c r="G621" s="0" t="n">
        <f aca="false">ROUNDUP(F621/75,0)</f>
        <v>1</v>
      </c>
    </row>
    <row r="622" customFormat="false" ht="15" hidden="false" customHeight="false" outlineLevel="0" collapsed="false">
      <c r="A622" s="0" t="s">
        <v>249</v>
      </c>
      <c r="B622" s="0" t="s">
        <v>262</v>
      </c>
      <c r="C622" s="0" t="s">
        <v>756</v>
      </c>
      <c r="D622" s="0" t="n">
        <v>12</v>
      </c>
      <c r="E622" s="0" t="n">
        <v>2</v>
      </c>
      <c r="F622" s="0" t="n">
        <f aca="false">D622*E622</f>
        <v>24</v>
      </c>
      <c r="G622" s="0" t="n">
        <f aca="false">ROUNDUP(F622/75,0)</f>
        <v>1</v>
      </c>
    </row>
    <row r="623" customFormat="false" ht="15" hidden="false" customHeight="false" outlineLevel="0" collapsed="false">
      <c r="A623" s="0" t="s">
        <v>249</v>
      </c>
      <c r="B623" s="0" t="s">
        <v>262</v>
      </c>
      <c r="C623" s="0" t="s">
        <v>753</v>
      </c>
      <c r="D623" s="0" t="n">
        <v>6</v>
      </c>
      <c r="E623" s="0" t="n">
        <v>5</v>
      </c>
      <c r="F623" s="0" t="n">
        <f aca="false">D623*E623</f>
        <v>30</v>
      </c>
      <c r="G623" s="0" t="n">
        <f aca="false">ROUNDUP(F623/75,0)</f>
        <v>1</v>
      </c>
    </row>
    <row r="624" customFormat="false" ht="15" hidden="false" customHeight="false" outlineLevel="0" collapsed="false">
      <c r="A624" s="0" t="s">
        <v>249</v>
      </c>
      <c r="B624" s="0" t="s">
        <v>262</v>
      </c>
      <c r="C624" s="0" t="s">
        <v>755</v>
      </c>
      <c r="D624" s="0" t="n">
        <v>6</v>
      </c>
      <c r="E624" s="0" t="n">
        <v>1</v>
      </c>
      <c r="F624" s="0" t="n">
        <f aca="false">D624*E624</f>
        <v>6</v>
      </c>
      <c r="G624" s="0" t="n">
        <f aca="false">ROUNDUP(F624/75,0)</f>
        <v>1</v>
      </c>
    </row>
    <row r="625" customFormat="false" ht="15" hidden="false" customHeight="false" outlineLevel="0" collapsed="false">
      <c r="A625" s="0" t="s">
        <v>249</v>
      </c>
      <c r="B625" s="0" t="s">
        <v>263</v>
      </c>
      <c r="C625" s="0" t="s">
        <v>753</v>
      </c>
      <c r="D625" s="0" t="n">
        <v>6</v>
      </c>
      <c r="E625" s="0" t="n">
        <v>3</v>
      </c>
      <c r="F625" s="0" t="n">
        <f aca="false">D625*E625</f>
        <v>18</v>
      </c>
      <c r="G625" s="0" t="n">
        <f aca="false">ROUNDUP(F625/75,0)</f>
        <v>1</v>
      </c>
    </row>
    <row r="626" customFormat="false" ht="15" hidden="false" customHeight="false" outlineLevel="0" collapsed="false">
      <c r="A626" s="0" t="s">
        <v>249</v>
      </c>
      <c r="B626" s="0" t="s">
        <v>263</v>
      </c>
      <c r="C626" s="0" t="s">
        <v>755</v>
      </c>
      <c r="D626" s="0" t="n">
        <v>6</v>
      </c>
      <c r="E626" s="0" t="n">
        <v>1</v>
      </c>
      <c r="F626" s="0" t="n">
        <f aca="false">D626*E626</f>
        <v>6</v>
      </c>
      <c r="G626" s="0" t="n">
        <f aca="false">ROUNDUP(F626/75,0)</f>
        <v>1</v>
      </c>
    </row>
    <row r="627" customFormat="false" ht="15" hidden="false" customHeight="false" outlineLevel="0" collapsed="false">
      <c r="A627" s="0" t="s">
        <v>249</v>
      </c>
      <c r="B627" s="0" t="s">
        <v>264</v>
      </c>
      <c r="C627" s="0" t="s">
        <v>755</v>
      </c>
      <c r="D627" s="0" t="n">
        <v>6</v>
      </c>
      <c r="E627" s="0" t="n">
        <v>5</v>
      </c>
      <c r="F627" s="0" t="n">
        <f aca="false">D627*E627</f>
        <v>30</v>
      </c>
      <c r="G627" s="0" t="n">
        <f aca="false">ROUNDUP(F627/75,0)</f>
        <v>1</v>
      </c>
    </row>
    <row r="628" customFormat="false" ht="15" hidden="false" customHeight="false" outlineLevel="0" collapsed="false">
      <c r="A628" s="0" t="s">
        <v>249</v>
      </c>
      <c r="B628" s="0" t="s">
        <v>265</v>
      </c>
      <c r="C628" s="0" t="s">
        <v>756</v>
      </c>
      <c r="D628" s="0" t="n">
        <v>12</v>
      </c>
      <c r="E628" s="0" t="n">
        <v>4</v>
      </c>
      <c r="F628" s="0" t="n">
        <f aca="false">D628*E628</f>
        <v>48</v>
      </c>
      <c r="G628" s="0" t="n">
        <f aca="false">ROUNDUP(F628/75,0)</f>
        <v>1</v>
      </c>
    </row>
    <row r="629" customFormat="false" ht="15" hidden="false" customHeight="false" outlineLevel="0" collapsed="false">
      <c r="A629" s="0" t="s">
        <v>249</v>
      </c>
      <c r="B629" s="0" t="s">
        <v>265</v>
      </c>
      <c r="C629" s="0" t="s">
        <v>757</v>
      </c>
      <c r="D629" s="0" t="n">
        <v>6</v>
      </c>
      <c r="E629" s="0" t="n">
        <v>1</v>
      </c>
      <c r="F629" s="0" t="n">
        <f aca="false">D629*E629</f>
        <v>6</v>
      </c>
      <c r="G629" s="0" t="n">
        <f aca="false">ROUNDUP(F629/75,0)</f>
        <v>1</v>
      </c>
    </row>
    <row r="630" customFormat="false" ht="15" hidden="false" customHeight="false" outlineLevel="0" collapsed="false">
      <c r="A630" s="0" t="s">
        <v>249</v>
      </c>
      <c r="B630" s="0" t="s">
        <v>265</v>
      </c>
      <c r="C630" s="0" t="s">
        <v>753</v>
      </c>
      <c r="D630" s="0" t="n">
        <v>6</v>
      </c>
      <c r="E630" s="0" t="n">
        <v>2</v>
      </c>
      <c r="F630" s="0" t="n">
        <f aca="false">D630*E630</f>
        <v>12</v>
      </c>
      <c r="G630" s="0" t="n">
        <f aca="false">ROUNDUP(F630/75,0)</f>
        <v>1</v>
      </c>
    </row>
    <row r="631" customFormat="false" ht="15" hidden="false" customHeight="false" outlineLevel="0" collapsed="false">
      <c r="A631" s="0" t="s">
        <v>249</v>
      </c>
      <c r="B631" s="0" t="s">
        <v>265</v>
      </c>
      <c r="C631" s="0" t="s">
        <v>755</v>
      </c>
      <c r="D631" s="0" t="n">
        <v>6</v>
      </c>
      <c r="E631" s="0" t="n">
        <v>1</v>
      </c>
      <c r="F631" s="0" t="n">
        <f aca="false">D631*E631</f>
        <v>6</v>
      </c>
      <c r="G631" s="0" t="n">
        <f aca="false">ROUNDUP(F631/75,0)</f>
        <v>1</v>
      </c>
    </row>
    <row r="632" customFormat="false" ht="15" hidden="false" customHeight="false" outlineLevel="0" collapsed="false">
      <c r="A632" s="0" t="s">
        <v>249</v>
      </c>
      <c r="B632" s="0" t="s">
        <v>266</v>
      </c>
      <c r="C632" s="0" t="s">
        <v>756</v>
      </c>
      <c r="D632" s="0" t="n">
        <v>12</v>
      </c>
      <c r="E632" s="0" t="n">
        <v>4</v>
      </c>
      <c r="F632" s="0" t="n">
        <f aca="false">D632*E632</f>
        <v>48</v>
      </c>
      <c r="G632" s="0" t="n">
        <f aca="false">ROUNDUP(F632/75,0)</f>
        <v>1</v>
      </c>
    </row>
    <row r="633" customFormat="false" ht="15" hidden="false" customHeight="false" outlineLevel="0" collapsed="false">
      <c r="A633" s="0" t="s">
        <v>249</v>
      </c>
      <c r="B633" s="0" t="s">
        <v>266</v>
      </c>
      <c r="C633" s="0" t="s">
        <v>757</v>
      </c>
      <c r="D633" s="0" t="n">
        <v>6</v>
      </c>
      <c r="E633" s="0" t="n">
        <v>1</v>
      </c>
      <c r="F633" s="0" t="n">
        <f aca="false">D633*E633</f>
        <v>6</v>
      </c>
      <c r="G633" s="0" t="n">
        <f aca="false">ROUNDUP(F633/75,0)</f>
        <v>1</v>
      </c>
    </row>
    <row r="634" customFormat="false" ht="15" hidden="false" customHeight="false" outlineLevel="0" collapsed="false">
      <c r="A634" s="0" t="s">
        <v>249</v>
      </c>
      <c r="B634" s="0" t="s">
        <v>266</v>
      </c>
      <c r="C634" s="0" t="s">
        <v>753</v>
      </c>
      <c r="D634" s="0" t="n">
        <v>6</v>
      </c>
      <c r="E634" s="0" t="n">
        <v>2</v>
      </c>
      <c r="F634" s="0" t="n">
        <f aca="false">D634*E634</f>
        <v>12</v>
      </c>
      <c r="G634" s="0" t="n">
        <f aca="false">ROUNDUP(F634/75,0)</f>
        <v>1</v>
      </c>
    </row>
    <row r="635" customFormat="false" ht="15" hidden="false" customHeight="false" outlineLevel="0" collapsed="false">
      <c r="A635" s="0" t="s">
        <v>249</v>
      </c>
      <c r="B635" s="0" t="s">
        <v>266</v>
      </c>
      <c r="C635" s="0" t="s">
        <v>755</v>
      </c>
      <c r="D635" s="0" t="n">
        <v>6</v>
      </c>
      <c r="E635" s="0" t="n">
        <v>1</v>
      </c>
      <c r="F635" s="0" t="n">
        <f aca="false">D635*E635</f>
        <v>6</v>
      </c>
      <c r="G635" s="0" t="n">
        <f aca="false">ROUNDUP(F635/75,0)</f>
        <v>1</v>
      </c>
    </row>
    <row r="636" customFormat="false" ht="15" hidden="false" customHeight="false" outlineLevel="0" collapsed="false">
      <c r="A636" s="0" t="s">
        <v>249</v>
      </c>
      <c r="B636" s="0" t="s">
        <v>267</v>
      </c>
      <c r="C636" s="0" t="s">
        <v>757</v>
      </c>
      <c r="D636" s="0" t="n">
        <v>6</v>
      </c>
      <c r="E636" s="0" t="n">
        <v>5</v>
      </c>
      <c r="F636" s="0" t="n">
        <f aca="false">D636*E636</f>
        <v>30</v>
      </c>
      <c r="G636" s="0" t="n">
        <f aca="false">ROUNDUP(F636/75,0)</f>
        <v>1</v>
      </c>
    </row>
    <row r="637" customFormat="false" ht="15" hidden="false" customHeight="false" outlineLevel="0" collapsed="false">
      <c r="A637" s="0" t="s">
        <v>249</v>
      </c>
      <c r="B637" s="0" t="s">
        <v>267</v>
      </c>
      <c r="C637" s="0" t="s">
        <v>753</v>
      </c>
      <c r="D637" s="0" t="n">
        <v>6</v>
      </c>
      <c r="E637" s="0" t="n">
        <v>5</v>
      </c>
      <c r="F637" s="0" t="n">
        <f aca="false">D637*E637</f>
        <v>30</v>
      </c>
      <c r="G637" s="0" t="n">
        <f aca="false">ROUNDUP(F637/75,0)</f>
        <v>1</v>
      </c>
    </row>
    <row r="638" customFormat="false" ht="15" hidden="false" customHeight="false" outlineLevel="0" collapsed="false">
      <c r="A638" s="0" t="s">
        <v>249</v>
      </c>
      <c r="B638" s="0" t="s">
        <v>267</v>
      </c>
      <c r="C638" s="0" t="s">
        <v>755</v>
      </c>
      <c r="D638" s="0" t="n">
        <v>6</v>
      </c>
      <c r="E638" s="0" t="n">
        <v>5</v>
      </c>
      <c r="F638" s="0" t="n">
        <f aca="false">D638*E638</f>
        <v>30</v>
      </c>
      <c r="G638" s="0" t="n">
        <f aca="false">ROUNDUP(F638/75,0)</f>
        <v>1</v>
      </c>
    </row>
    <row r="639" customFormat="false" ht="15" hidden="false" customHeight="false" outlineLevel="0" collapsed="false">
      <c r="A639" s="0" t="s">
        <v>249</v>
      </c>
      <c r="B639" s="0" t="s">
        <v>268</v>
      </c>
      <c r="C639" s="0" t="s">
        <v>756</v>
      </c>
      <c r="D639" s="0" t="n">
        <v>12</v>
      </c>
      <c r="E639" s="0" t="n">
        <v>5</v>
      </c>
      <c r="F639" s="0" t="n">
        <f aca="false">D639*E639</f>
        <v>60</v>
      </c>
      <c r="G639" s="0" t="n">
        <f aca="false">ROUNDUP(F639/75,0)</f>
        <v>1</v>
      </c>
    </row>
    <row r="640" customFormat="false" ht="15" hidden="false" customHeight="false" outlineLevel="0" collapsed="false">
      <c r="A640" s="0" t="s">
        <v>249</v>
      </c>
      <c r="B640" s="0" t="s">
        <v>268</v>
      </c>
      <c r="C640" s="0" t="s">
        <v>757</v>
      </c>
      <c r="D640" s="0" t="n">
        <v>6</v>
      </c>
      <c r="E640" s="0" t="n">
        <v>3</v>
      </c>
      <c r="F640" s="0" t="n">
        <f aca="false">D640*E640</f>
        <v>18</v>
      </c>
      <c r="G640" s="0" t="n">
        <f aca="false">ROUNDUP(F640/75,0)</f>
        <v>1</v>
      </c>
    </row>
    <row r="641" customFormat="false" ht="15" hidden="false" customHeight="false" outlineLevel="0" collapsed="false">
      <c r="A641" s="0" t="s">
        <v>249</v>
      </c>
      <c r="B641" s="0" t="s">
        <v>268</v>
      </c>
      <c r="C641" s="0" t="s">
        <v>753</v>
      </c>
      <c r="D641" s="0" t="n">
        <v>6</v>
      </c>
      <c r="E641" s="0" t="n">
        <v>1</v>
      </c>
      <c r="F641" s="0" t="n">
        <f aca="false">D641*E641</f>
        <v>6</v>
      </c>
      <c r="G641" s="0" t="n">
        <f aca="false">ROUNDUP(F641/75,0)</f>
        <v>1</v>
      </c>
    </row>
    <row r="642" customFormat="false" ht="15" hidden="false" customHeight="false" outlineLevel="0" collapsed="false">
      <c r="A642" s="0" t="s">
        <v>249</v>
      </c>
      <c r="B642" s="0" t="s">
        <v>268</v>
      </c>
      <c r="C642" s="0" t="s">
        <v>755</v>
      </c>
      <c r="D642" s="0" t="n">
        <v>6</v>
      </c>
      <c r="E642" s="0" t="n">
        <v>5</v>
      </c>
      <c r="F642" s="0" t="n">
        <f aca="false">D642*E642</f>
        <v>30</v>
      </c>
      <c r="G642" s="0" t="n">
        <f aca="false">ROUNDUP(F642/75,0)</f>
        <v>1</v>
      </c>
    </row>
    <row r="643" customFormat="false" ht="15" hidden="false" customHeight="false" outlineLevel="0" collapsed="false">
      <c r="A643" s="0" t="s">
        <v>249</v>
      </c>
      <c r="B643" s="0" t="s">
        <v>269</v>
      </c>
      <c r="C643" s="0" t="s">
        <v>756</v>
      </c>
      <c r="D643" s="0" t="n">
        <v>12</v>
      </c>
      <c r="E643" s="0" t="n">
        <v>5</v>
      </c>
      <c r="F643" s="0" t="n">
        <f aca="false">D643*E643</f>
        <v>60</v>
      </c>
      <c r="G643" s="0" t="n">
        <f aca="false">ROUNDUP(F643/75,0)</f>
        <v>1</v>
      </c>
    </row>
    <row r="644" customFormat="false" ht="15" hidden="false" customHeight="false" outlineLevel="0" collapsed="false">
      <c r="A644" s="0" t="s">
        <v>249</v>
      </c>
      <c r="B644" s="0" t="s">
        <v>269</v>
      </c>
      <c r="C644" s="0" t="s">
        <v>757</v>
      </c>
      <c r="D644" s="0" t="n">
        <v>6</v>
      </c>
      <c r="E644" s="0" t="n">
        <v>1</v>
      </c>
      <c r="F644" s="0" t="n">
        <f aca="false">D644*E644</f>
        <v>6</v>
      </c>
      <c r="G644" s="0" t="n">
        <f aca="false">ROUNDUP(F644/75,0)</f>
        <v>1</v>
      </c>
    </row>
    <row r="645" customFormat="false" ht="15" hidden="false" customHeight="false" outlineLevel="0" collapsed="false">
      <c r="A645" s="0" t="s">
        <v>249</v>
      </c>
      <c r="B645" s="0" t="s">
        <v>269</v>
      </c>
      <c r="C645" s="0" t="s">
        <v>753</v>
      </c>
      <c r="D645" s="0" t="n">
        <v>6</v>
      </c>
      <c r="E645" s="0" t="n">
        <v>3</v>
      </c>
      <c r="F645" s="0" t="n">
        <f aca="false">D645*E645</f>
        <v>18</v>
      </c>
      <c r="G645" s="0" t="n">
        <f aca="false">ROUNDUP(F645/75,0)</f>
        <v>1</v>
      </c>
    </row>
    <row r="646" customFormat="false" ht="15" hidden="false" customHeight="false" outlineLevel="0" collapsed="false">
      <c r="A646" s="0" t="s">
        <v>249</v>
      </c>
      <c r="B646" s="0" t="s">
        <v>270</v>
      </c>
      <c r="C646" s="0" t="s">
        <v>757</v>
      </c>
      <c r="D646" s="0" t="n">
        <v>6</v>
      </c>
      <c r="E646" s="0" t="n">
        <v>1</v>
      </c>
      <c r="F646" s="0" t="n">
        <f aca="false">D646*E646</f>
        <v>6</v>
      </c>
      <c r="G646" s="0" t="n">
        <f aca="false">ROUNDUP(F646/75,0)</f>
        <v>1</v>
      </c>
    </row>
    <row r="647" customFormat="false" ht="15" hidden="false" customHeight="false" outlineLevel="0" collapsed="false">
      <c r="A647" s="0" t="s">
        <v>249</v>
      </c>
      <c r="B647" s="0" t="s">
        <v>270</v>
      </c>
      <c r="C647" s="0" t="s">
        <v>753</v>
      </c>
      <c r="D647" s="0" t="n">
        <v>6</v>
      </c>
      <c r="E647" s="0" t="n">
        <v>3</v>
      </c>
      <c r="F647" s="0" t="n">
        <f aca="false">D647*E647</f>
        <v>18</v>
      </c>
      <c r="G647" s="0" t="n">
        <f aca="false">ROUNDUP(F647/75,0)</f>
        <v>1</v>
      </c>
    </row>
    <row r="648" customFormat="false" ht="15" hidden="false" customHeight="false" outlineLevel="0" collapsed="false">
      <c r="A648" s="0" t="s">
        <v>249</v>
      </c>
      <c r="B648" s="0" t="s">
        <v>270</v>
      </c>
      <c r="C648" s="0" t="s">
        <v>755</v>
      </c>
      <c r="D648" s="0" t="n">
        <v>6</v>
      </c>
      <c r="E648" s="0" t="n">
        <v>4</v>
      </c>
      <c r="F648" s="0" t="n">
        <f aca="false">D648*E648</f>
        <v>24</v>
      </c>
      <c r="G648" s="0" t="n">
        <f aca="false">ROUNDUP(F648/75,0)</f>
        <v>1</v>
      </c>
    </row>
    <row r="649" customFormat="false" ht="15" hidden="false" customHeight="false" outlineLevel="0" collapsed="false">
      <c r="A649" s="0" t="s">
        <v>249</v>
      </c>
      <c r="B649" s="0" t="s">
        <v>271</v>
      </c>
      <c r="C649" s="0" t="s">
        <v>756</v>
      </c>
      <c r="D649" s="0" t="n">
        <v>12</v>
      </c>
      <c r="E649" s="0" t="n">
        <v>1</v>
      </c>
      <c r="F649" s="0" t="n">
        <f aca="false">D649*E649</f>
        <v>12</v>
      </c>
      <c r="G649" s="0" t="n">
        <f aca="false">ROUNDUP(F649/75,0)</f>
        <v>1</v>
      </c>
    </row>
    <row r="650" customFormat="false" ht="15" hidden="false" customHeight="false" outlineLevel="0" collapsed="false">
      <c r="A650" s="0" t="s">
        <v>249</v>
      </c>
      <c r="B650" s="0" t="s">
        <v>271</v>
      </c>
      <c r="C650" s="0" t="s">
        <v>755</v>
      </c>
      <c r="D650" s="0" t="n">
        <v>6</v>
      </c>
      <c r="E650" s="0" t="n">
        <v>2</v>
      </c>
      <c r="F650" s="0" t="n">
        <f aca="false">D650*E650</f>
        <v>12</v>
      </c>
      <c r="G650" s="0" t="n">
        <f aca="false">ROUNDUP(F650/75,0)</f>
        <v>1</v>
      </c>
    </row>
    <row r="651" customFormat="false" ht="15" hidden="false" customHeight="false" outlineLevel="0" collapsed="false">
      <c r="A651" s="0" t="s">
        <v>249</v>
      </c>
      <c r="B651" s="0" t="s">
        <v>272</v>
      </c>
      <c r="C651" s="0" t="s">
        <v>756</v>
      </c>
      <c r="D651" s="0" t="n">
        <v>12</v>
      </c>
      <c r="E651" s="0" t="n">
        <v>2</v>
      </c>
      <c r="F651" s="0" t="n">
        <f aca="false">D651*E651</f>
        <v>24</v>
      </c>
      <c r="G651" s="0" t="n">
        <f aca="false">ROUNDUP(F651/75,0)</f>
        <v>1</v>
      </c>
    </row>
    <row r="652" customFormat="false" ht="15" hidden="false" customHeight="false" outlineLevel="0" collapsed="false">
      <c r="A652" s="0" t="s">
        <v>249</v>
      </c>
      <c r="B652" s="0" t="s">
        <v>272</v>
      </c>
      <c r="C652" s="0" t="s">
        <v>753</v>
      </c>
      <c r="D652" s="0" t="n">
        <v>6</v>
      </c>
      <c r="E652" s="0" t="n">
        <v>5</v>
      </c>
      <c r="F652" s="0" t="n">
        <f aca="false">D652*E652</f>
        <v>30</v>
      </c>
      <c r="G652" s="0" t="n">
        <f aca="false">ROUNDUP(F652/75,0)</f>
        <v>1</v>
      </c>
    </row>
    <row r="653" customFormat="false" ht="15" hidden="false" customHeight="false" outlineLevel="0" collapsed="false">
      <c r="A653" s="0" t="s">
        <v>249</v>
      </c>
      <c r="B653" s="0" t="s">
        <v>272</v>
      </c>
      <c r="C653" s="0" t="s">
        <v>755</v>
      </c>
      <c r="D653" s="0" t="n">
        <v>6</v>
      </c>
      <c r="E653" s="0" t="n">
        <v>4</v>
      </c>
      <c r="F653" s="0" t="n">
        <f aca="false">D653*E653</f>
        <v>24</v>
      </c>
      <c r="G653" s="0" t="n">
        <f aca="false">ROUNDUP(F653/75,0)</f>
        <v>1</v>
      </c>
    </row>
    <row r="654" customFormat="false" ht="15" hidden="false" customHeight="false" outlineLevel="0" collapsed="false">
      <c r="A654" s="0" t="s">
        <v>249</v>
      </c>
      <c r="B654" s="0" t="s">
        <v>273</v>
      </c>
      <c r="C654" s="0" t="s">
        <v>756</v>
      </c>
      <c r="D654" s="0" t="n">
        <v>12</v>
      </c>
      <c r="E654" s="0" t="n">
        <v>2</v>
      </c>
      <c r="F654" s="0" t="n">
        <f aca="false">D654*E654</f>
        <v>24</v>
      </c>
      <c r="G654" s="0" t="n">
        <f aca="false">ROUNDUP(F654/75,0)</f>
        <v>1</v>
      </c>
    </row>
    <row r="655" customFormat="false" ht="15" hidden="false" customHeight="false" outlineLevel="0" collapsed="false">
      <c r="A655" s="0" t="s">
        <v>249</v>
      </c>
      <c r="B655" s="0" t="s">
        <v>273</v>
      </c>
      <c r="C655" s="0" t="s">
        <v>757</v>
      </c>
      <c r="D655" s="0" t="n">
        <v>6</v>
      </c>
      <c r="E655" s="0" t="n">
        <v>0.5</v>
      </c>
      <c r="F655" s="0" t="n">
        <f aca="false">D655*E655</f>
        <v>3</v>
      </c>
      <c r="G655" s="0" t="n">
        <f aca="false">ROUNDUP(F655/75,0)</f>
        <v>1</v>
      </c>
    </row>
    <row r="656" customFormat="false" ht="15" hidden="false" customHeight="false" outlineLevel="0" collapsed="false">
      <c r="A656" s="0" t="s">
        <v>249</v>
      </c>
      <c r="B656" s="0" t="s">
        <v>273</v>
      </c>
      <c r="C656" s="0" t="s">
        <v>753</v>
      </c>
      <c r="D656" s="0" t="n">
        <v>6</v>
      </c>
      <c r="E656" s="0" t="n">
        <v>10.5</v>
      </c>
      <c r="F656" s="0" t="n">
        <f aca="false">D656*E656</f>
        <v>63</v>
      </c>
      <c r="G656" s="0" t="n">
        <f aca="false">ROUNDUP(F656/75,0)</f>
        <v>1</v>
      </c>
    </row>
    <row r="657" customFormat="false" ht="15" hidden="false" customHeight="false" outlineLevel="0" collapsed="false">
      <c r="A657" s="0" t="s">
        <v>249</v>
      </c>
      <c r="B657" s="0" t="s">
        <v>273</v>
      </c>
      <c r="C657" s="0" t="s">
        <v>755</v>
      </c>
      <c r="D657" s="0" t="n">
        <v>6</v>
      </c>
      <c r="E657" s="0" t="n">
        <v>1</v>
      </c>
      <c r="F657" s="0" t="n">
        <f aca="false">D657*E657</f>
        <v>6</v>
      </c>
      <c r="G657" s="0" t="n">
        <f aca="false">ROUNDUP(F657/75,0)</f>
        <v>1</v>
      </c>
    </row>
    <row r="658" customFormat="false" ht="15" hidden="false" customHeight="false" outlineLevel="0" collapsed="false">
      <c r="A658" s="0" t="s">
        <v>249</v>
      </c>
      <c r="B658" s="0" t="s">
        <v>274</v>
      </c>
      <c r="C658" s="0" t="s">
        <v>756</v>
      </c>
      <c r="D658" s="0" t="n">
        <v>12</v>
      </c>
      <c r="E658" s="0" t="n">
        <v>1</v>
      </c>
      <c r="F658" s="0" t="n">
        <f aca="false">D658*E658</f>
        <v>12</v>
      </c>
      <c r="G658" s="0" t="n">
        <f aca="false">ROUNDUP(F658/75,0)</f>
        <v>1</v>
      </c>
    </row>
    <row r="659" customFormat="false" ht="15" hidden="false" customHeight="false" outlineLevel="0" collapsed="false">
      <c r="A659" s="0" t="s">
        <v>249</v>
      </c>
      <c r="B659" s="0" t="s">
        <v>274</v>
      </c>
      <c r="C659" s="0" t="s">
        <v>757</v>
      </c>
      <c r="D659" s="0" t="n">
        <v>6</v>
      </c>
      <c r="E659" s="0" t="n">
        <v>1</v>
      </c>
      <c r="F659" s="0" t="n">
        <f aca="false">D659*E659</f>
        <v>6</v>
      </c>
      <c r="G659" s="0" t="n">
        <f aca="false">ROUNDUP(F659/75,0)</f>
        <v>1</v>
      </c>
    </row>
    <row r="660" customFormat="false" ht="15" hidden="false" customHeight="false" outlineLevel="0" collapsed="false">
      <c r="A660" s="0" t="s">
        <v>249</v>
      </c>
      <c r="B660" s="0" t="s">
        <v>274</v>
      </c>
      <c r="C660" s="0" t="s">
        <v>753</v>
      </c>
      <c r="D660" s="0" t="n">
        <v>6</v>
      </c>
      <c r="E660" s="0" t="n">
        <v>2</v>
      </c>
      <c r="F660" s="0" t="n">
        <f aca="false">D660*E660</f>
        <v>12</v>
      </c>
      <c r="G660" s="0" t="n">
        <f aca="false">ROUNDUP(F660/75,0)</f>
        <v>1</v>
      </c>
    </row>
    <row r="661" customFormat="false" ht="15" hidden="false" customHeight="false" outlineLevel="0" collapsed="false">
      <c r="A661" s="0" t="s">
        <v>249</v>
      </c>
      <c r="B661" s="0" t="s">
        <v>275</v>
      </c>
      <c r="C661" s="0" t="s">
        <v>757</v>
      </c>
      <c r="D661" s="0" t="n">
        <v>6</v>
      </c>
      <c r="E661" s="0" t="n">
        <v>1</v>
      </c>
      <c r="F661" s="0" t="n">
        <f aca="false">D661*E661</f>
        <v>6</v>
      </c>
      <c r="G661" s="0" t="n">
        <f aca="false">ROUNDUP(F661/75,0)</f>
        <v>1</v>
      </c>
    </row>
    <row r="662" customFormat="false" ht="15" hidden="false" customHeight="false" outlineLevel="0" collapsed="false">
      <c r="A662" s="0" t="s">
        <v>249</v>
      </c>
      <c r="B662" s="0" t="s">
        <v>275</v>
      </c>
      <c r="C662" s="0" t="s">
        <v>753</v>
      </c>
      <c r="D662" s="0" t="n">
        <v>6</v>
      </c>
      <c r="E662" s="0" t="n">
        <v>6</v>
      </c>
      <c r="F662" s="0" t="n">
        <f aca="false">D662*E662</f>
        <v>36</v>
      </c>
      <c r="G662" s="0" t="n">
        <f aca="false">ROUNDUP(F662/75,0)</f>
        <v>1</v>
      </c>
    </row>
    <row r="663" customFormat="false" ht="15" hidden="false" customHeight="false" outlineLevel="0" collapsed="false">
      <c r="A663" s="0" t="s">
        <v>249</v>
      </c>
      <c r="B663" s="0" t="s">
        <v>275</v>
      </c>
      <c r="C663" s="0" t="s">
        <v>755</v>
      </c>
      <c r="D663" s="0" t="n">
        <v>6</v>
      </c>
      <c r="E663" s="0" t="n">
        <v>1</v>
      </c>
      <c r="F663" s="0" t="n">
        <f aca="false">D663*E663</f>
        <v>6</v>
      </c>
      <c r="G663" s="0" t="n">
        <f aca="false">ROUNDUP(F663/75,0)</f>
        <v>1</v>
      </c>
    </row>
    <row r="664" customFormat="false" ht="15" hidden="false" customHeight="false" outlineLevel="0" collapsed="false">
      <c r="A664" s="0" t="s">
        <v>249</v>
      </c>
      <c r="B664" s="0" t="s">
        <v>276</v>
      </c>
      <c r="C664" s="0" t="s">
        <v>753</v>
      </c>
      <c r="D664" s="0" t="n">
        <v>6</v>
      </c>
      <c r="E664" s="0" t="n">
        <v>1</v>
      </c>
      <c r="F664" s="0" t="n">
        <f aca="false">D664*E664</f>
        <v>6</v>
      </c>
      <c r="G664" s="0" t="n">
        <f aca="false">ROUNDUP(F664/75,0)</f>
        <v>1</v>
      </c>
    </row>
    <row r="665" customFormat="false" ht="15" hidden="false" customHeight="false" outlineLevel="0" collapsed="false">
      <c r="A665" s="0" t="s">
        <v>249</v>
      </c>
      <c r="B665" s="0" t="s">
        <v>276</v>
      </c>
      <c r="C665" s="0" t="s">
        <v>755</v>
      </c>
      <c r="D665" s="0" t="n">
        <v>6</v>
      </c>
      <c r="E665" s="0" t="n">
        <v>5</v>
      </c>
      <c r="F665" s="0" t="n">
        <f aca="false">D665*E665</f>
        <v>30</v>
      </c>
      <c r="G665" s="0" t="n">
        <f aca="false">ROUNDUP(F665/75,0)</f>
        <v>1</v>
      </c>
    </row>
    <row r="666" customFormat="false" ht="15" hidden="false" customHeight="false" outlineLevel="0" collapsed="false">
      <c r="A666" s="0" t="s">
        <v>249</v>
      </c>
      <c r="B666" s="0" t="s">
        <v>277</v>
      </c>
      <c r="C666" s="0" t="s">
        <v>755</v>
      </c>
      <c r="D666" s="0" t="n">
        <v>6</v>
      </c>
      <c r="E666" s="0" t="n">
        <v>8</v>
      </c>
      <c r="F666" s="0" t="n">
        <f aca="false">D666*E666</f>
        <v>48</v>
      </c>
      <c r="G666" s="0" t="n">
        <f aca="false">ROUNDUP(F666/75,0)</f>
        <v>1</v>
      </c>
    </row>
    <row r="667" customFormat="false" ht="15" hidden="false" customHeight="false" outlineLevel="0" collapsed="false">
      <c r="A667" s="0" t="s">
        <v>249</v>
      </c>
      <c r="B667" s="0" t="s">
        <v>278</v>
      </c>
      <c r="C667" s="0" t="s">
        <v>756</v>
      </c>
      <c r="D667" s="0" t="n">
        <v>12</v>
      </c>
      <c r="E667" s="0" t="n">
        <v>4</v>
      </c>
      <c r="F667" s="0" t="n">
        <f aca="false">D667*E667</f>
        <v>48</v>
      </c>
      <c r="G667" s="0" t="n">
        <f aca="false">ROUNDUP(F667/75,0)</f>
        <v>1</v>
      </c>
    </row>
    <row r="668" customFormat="false" ht="15" hidden="false" customHeight="false" outlineLevel="0" collapsed="false">
      <c r="A668" s="0" t="s">
        <v>249</v>
      </c>
      <c r="B668" s="0" t="s">
        <v>278</v>
      </c>
      <c r="C668" s="0" t="s">
        <v>757</v>
      </c>
      <c r="D668" s="0" t="n">
        <v>6</v>
      </c>
      <c r="E668" s="0" t="n">
        <v>1</v>
      </c>
      <c r="F668" s="0" t="n">
        <f aca="false">D668*E668</f>
        <v>6</v>
      </c>
      <c r="G668" s="0" t="n">
        <f aca="false">ROUNDUP(F668/75,0)</f>
        <v>1</v>
      </c>
    </row>
    <row r="669" customFormat="false" ht="15" hidden="false" customHeight="false" outlineLevel="0" collapsed="false">
      <c r="A669" s="0" t="s">
        <v>249</v>
      </c>
      <c r="B669" s="0" t="s">
        <v>278</v>
      </c>
      <c r="C669" s="0" t="s">
        <v>753</v>
      </c>
      <c r="D669" s="0" t="n">
        <v>6</v>
      </c>
      <c r="E669" s="0" t="n">
        <v>10</v>
      </c>
      <c r="F669" s="0" t="n">
        <f aca="false">D669*E669</f>
        <v>60</v>
      </c>
      <c r="G669" s="0" t="n">
        <f aca="false">ROUNDUP(F669/75,0)</f>
        <v>1</v>
      </c>
    </row>
    <row r="670" customFormat="false" ht="15" hidden="false" customHeight="false" outlineLevel="0" collapsed="false">
      <c r="A670" s="0" t="s">
        <v>249</v>
      </c>
      <c r="B670" s="0" t="s">
        <v>279</v>
      </c>
      <c r="C670" s="0" t="s">
        <v>756</v>
      </c>
      <c r="D670" s="0" t="n">
        <v>12</v>
      </c>
      <c r="E670" s="0" t="n">
        <v>4</v>
      </c>
      <c r="F670" s="0" t="n">
        <f aca="false">D670*E670</f>
        <v>48</v>
      </c>
      <c r="G670" s="0" t="n">
        <f aca="false">ROUNDUP(F670/75,0)</f>
        <v>1</v>
      </c>
    </row>
    <row r="671" customFormat="false" ht="15" hidden="false" customHeight="false" outlineLevel="0" collapsed="false">
      <c r="A671" s="0" t="s">
        <v>249</v>
      </c>
      <c r="B671" s="0" t="s">
        <v>279</v>
      </c>
      <c r="C671" s="0" t="s">
        <v>753</v>
      </c>
      <c r="D671" s="0" t="n">
        <v>6</v>
      </c>
      <c r="E671" s="0" t="n">
        <v>2</v>
      </c>
      <c r="F671" s="0" t="n">
        <f aca="false">D671*E671</f>
        <v>12</v>
      </c>
      <c r="G671" s="0" t="n">
        <f aca="false">ROUNDUP(F671/75,0)</f>
        <v>1</v>
      </c>
    </row>
    <row r="672" customFormat="false" ht="15" hidden="false" customHeight="false" outlineLevel="0" collapsed="false">
      <c r="A672" s="0" t="s">
        <v>249</v>
      </c>
      <c r="B672" s="0" t="s">
        <v>279</v>
      </c>
      <c r="C672" s="0" t="s">
        <v>755</v>
      </c>
      <c r="D672" s="0" t="n">
        <v>6</v>
      </c>
      <c r="E672" s="0" t="n">
        <v>1</v>
      </c>
      <c r="F672" s="0" t="n">
        <f aca="false">D672*E672</f>
        <v>6</v>
      </c>
      <c r="G672" s="0" t="n">
        <f aca="false">ROUNDUP(F672/75,0)</f>
        <v>1</v>
      </c>
    </row>
    <row r="673" customFormat="false" ht="15" hidden="false" customHeight="false" outlineLevel="0" collapsed="false">
      <c r="A673" s="0" t="s">
        <v>249</v>
      </c>
      <c r="B673" s="0" t="s">
        <v>280</v>
      </c>
      <c r="C673" s="0" t="s">
        <v>756</v>
      </c>
      <c r="D673" s="0" t="n">
        <v>12</v>
      </c>
      <c r="E673" s="0" t="n">
        <v>1</v>
      </c>
      <c r="F673" s="0" t="n">
        <f aca="false">D673*E673</f>
        <v>12</v>
      </c>
      <c r="G673" s="0" t="n">
        <f aca="false">ROUNDUP(F673/75,0)</f>
        <v>1</v>
      </c>
    </row>
    <row r="674" customFormat="false" ht="15" hidden="false" customHeight="false" outlineLevel="0" collapsed="false">
      <c r="A674" s="0" t="s">
        <v>249</v>
      </c>
      <c r="B674" s="0" t="s">
        <v>280</v>
      </c>
      <c r="C674" s="0" t="s">
        <v>757</v>
      </c>
      <c r="D674" s="0" t="n">
        <v>6</v>
      </c>
      <c r="E674" s="0" t="n">
        <v>3</v>
      </c>
      <c r="F674" s="0" t="n">
        <f aca="false">D674*E674</f>
        <v>18</v>
      </c>
      <c r="G674" s="0" t="n">
        <f aca="false">ROUNDUP(F674/75,0)</f>
        <v>1</v>
      </c>
    </row>
    <row r="675" customFormat="false" ht="15" hidden="false" customHeight="false" outlineLevel="0" collapsed="false">
      <c r="A675" s="0" t="s">
        <v>249</v>
      </c>
      <c r="B675" s="0" t="s">
        <v>280</v>
      </c>
      <c r="C675" s="0" t="s">
        <v>753</v>
      </c>
      <c r="D675" s="0" t="n">
        <v>6</v>
      </c>
      <c r="E675" s="0" t="n">
        <v>1</v>
      </c>
      <c r="F675" s="0" t="n">
        <f aca="false">D675*E675</f>
        <v>6</v>
      </c>
      <c r="G675" s="0" t="n">
        <f aca="false">ROUNDUP(F675/75,0)</f>
        <v>1</v>
      </c>
    </row>
    <row r="676" customFormat="false" ht="15" hidden="false" customHeight="false" outlineLevel="0" collapsed="false">
      <c r="A676" s="0" t="s">
        <v>249</v>
      </c>
      <c r="B676" s="0" t="s">
        <v>280</v>
      </c>
      <c r="C676" s="0" t="s">
        <v>755</v>
      </c>
      <c r="D676" s="0" t="n">
        <v>6</v>
      </c>
      <c r="E676" s="0" t="n">
        <v>3</v>
      </c>
      <c r="F676" s="0" t="n">
        <f aca="false">D676*E676</f>
        <v>18</v>
      </c>
      <c r="G676" s="0" t="n">
        <f aca="false">ROUNDUP(F676/75,0)</f>
        <v>1</v>
      </c>
    </row>
    <row r="677" customFormat="false" ht="15" hidden="false" customHeight="false" outlineLevel="0" collapsed="false">
      <c r="A677" s="0" t="s">
        <v>249</v>
      </c>
      <c r="B677" s="0" t="s">
        <v>281</v>
      </c>
      <c r="C677" s="0" t="s">
        <v>757</v>
      </c>
      <c r="D677" s="0" t="n">
        <v>6</v>
      </c>
      <c r="E677" s="0" t="n">
        <v>1</v>
      </c>
      <c r="F677" s="0" t="n">
        <f aca="false">D677*E677</f>
        <v>6</v>
      </c>
      <c r="G677" s="0" t="n">
        <f aca="false">ROUNDUP(F677/75,0)</f>
        <v>1</v>
      </c>
    </row>
    <row r="678" customFormat="false" ht="15" hidden="false" customHeight="false" outlineLevel="0" collapsed="false">
      <c r="A678" s="0" t="s">
        <v>249</v>
      </c>
      <c r="B678" s="0" t="s">
        <v>281</v>
      </c>
      <c r="C678" s="0" t="s">
        <v>753</v>
      </c>
      <c r="D678" s="0" t="n">
        <v>6</v>
      </c>
      <c r="E678" s="0" t="n">
        <v>8</v>
      </c>
      <c r="F678" s="0" t="n">
        <f aca="false">D678*E678</f>
        <v>48</v>
      </c>
      <c r="G678" s="0" t="n">
        <f aca="false">ROUNDUP(F678/75,0)</f>
        <v>1</v>
      </c>
    </row>
    <row r="679" customFormat="false" ht="15" hidden="false" customHeight="false" outlineLevel="0" collapsed="false">
      <c r="A679" s="0" t="s">
        <v>249</v>
      </c>
      <c r="B679" s="0" t="s">
        <v>281</v>
      </c>
      <c r="C679" s="0" t="s">
        <v>755</v>
      </c>
      <c r="D679" s="0" t="n">
        <v>6</v>
      </c>
      <c r="E679" s="0" t="n">
        <v>5</v>
      </c>
      <c r="F679" s="0" t="n">
        <f aca="false">D679*E679</f>
        <v>30</v>
      </c>
      <c r="G679" s="0" t="n">
        <f aca="false">ROUNDUP(F679/75,0)</f>
        <v>1</v>
      </c>
    </row>
    <row r="680" customFormat="false" ht="15" hidden="false" customHeight="false" outlineLevel="0" collapsed="false">
      <c r="A680" s="0" t="s">
        <v>249</v>
      </c>
      <c r="B680" s="0" t="s">
        <v>282</v>
      </c>
      <c r="C680" s="0" t="s">
        <v>756</v>
      </c>
      <c r="D680" s="0" t="n">
        <v>12</v>
      </c>
      <c r="E680" s="0" t="n">
        <v>3</v>
      </c>
      <c r="F680" s="0" t="n">
        <f aca="false">D680*E680</f>
        <v>36</v>
      </c>
      <c r="G680" s="0" t="n">
        <f aca="false">ROUNDUP(F680/75,0)</f>
        <v>1</v>
      </c>
    </row>
    <row r="681" customFormat="false" ht="15" hidden="false" customHeight="false" outlineLevel="0" collapsed="false">
      <c r="A681" s="0" t="s">
        <v>249</v>
      </c>
      <c r="B681" s="0" t="s">
        <v>282</v>
      </c>
      <c r="C681" s="0" t="s">
        <v>757</v>
      </c>
      <c r="D681" s="0" t="n">
        <v>6</v>
      </c>
      <c r="E681" s="0" t="n">
        <v>2</v>
      </c>
      <c r="F681" s="0" t="n">
        <f aca="false">D681*E681</f>
        <v>12</v>
      </c>
      <c r="G681" s="0" t="n">
        <f aca="false">ROUNDUP(F681/75,0)</f>
        <v>1</v>
      </c>
    </row>
    <row r="682" customFormat="false" ht="15" hidden="false" customHeight="false" outlineLevel="0" collapsed="false">
      <c r="A682" s="0" t="s">
        <v>249</v>
      </c>
      <c r="B682" s="0" t="s">
        <v>282</v>
      </c>
      <c r="C682" s="0" t="s">
        <v>753</v>
      </c>
      <c r="D682" s="0" t="n">
        <v>6</v>
      </c>
      <c r="E682" s="0" t="n">
        <v>2</v>
      </c>
      <c r="F682" s="0" t="n">
        <f aca="false">D682*E682</f>
        <v>12</v>
      </c>
      <c r="G682" s="0" t="n">
        <f aca="false">ROUNDUP(F682/75,0)</f>
        <v>1</v>
      </c>
    </row>
    <row r="683" customFormat="false" ht="15" hidden="false" customHeight="false" outlineLevel="0" collapsed="false">
      <c r="A683" s="0" t="s">
        <v>249</v>
      </c>
      <c r="B683" s="0" t="s">
        <v>282</v>
      </c>
      <c r="C683" s="0" t="s">
        <v>755</v>
      </c>
      <c r="D683" s="0" t="n">
        <v>6</v>
      </c>
      <c r="E683" s="0" t="n">
        <v>1</v>
      </c>
      <c r="F683" s="0" t="n">
        <f aca="false">D683*E683</f>
        <v>6</v>
      </c>
      <c r="G683" s="0" t="n">
        <f aca="false">ROUNDUP(F683/75,0)</f>
        <v>1</v>
      </c>
    </row>
    <row r="684" customFormat="false" ht="15" hidden="false" customHeight="false" outlineLevel="0" collapsed="false">
      <c r="A684" s="0" t="s">
        <v>249</v>
      </c>
      <c r="B684" s="0" t="s">
        <v>283</v>
      </c>
      <c r="C684" s="0" t="s">
        <v>756</v>
      </c>
      <c r="D684" s="0" t="n">
        <v>12</v>
      </c>
      <c r="E684" s="0" t="n">
        <v>3</v>
      </c>
      <c r="F684" s="0" t="n">
        <f aca="false">D684*E684</f>
        <v>36</v>
      </c>
      <c r="G684" s="0" t="n">
        <f aca="false">ROUNDUP(F684/75,0)</f>
        <v>1</v>
      </c>
    </row>
    <row r="685" customFormat="false" ht="15" hidden="false" customHeight="false" outlineLevel="0" collapsed="false">
      <c r="A685" s="0" t="s">
        <v>249</v>
      </c>
      <c r="B685" s="0" t="s">
        <v>283</v>
      </c>
      <c r="C685" s="0" t="s">
        <v>753</v>
      </c>
      <c r="D685" s="0" t="n">
        <v>6</v>
      </c>
      <c r="E685" s="0" t="n">
        <v>3</v>
      </c>
      <c r="F685" s="0" t="n">
        <f aca="false">D685*E685</f>
        <v>18</v>
      </c>
      <c r="G685" s="0" t="n">
        <f aca="false">ROUNDUP(F685/75,0)</f>
        <v>1</v>
      </c>
    </row>
    <row r="686" customFormat="false" ht="15" hidden="false" customHeight="false" outlineLevel="0" collapsed="false">
      <c r="A686" s="0" t="s">
        <v>249</v>
      </c>
      <c r="B686" s="0" t="s">
        <v>283</v>
      </c>
      <c r="C686" s="0" t="s">
        <v>755</v>
      </c>
      <c r="D686" s="0" t="n">
        <v>6</v>
      </c>
      <c r="E686" s="0" t="n">
        <v>3</v>
      </c>
      <c r="F686" s="0" t="n">
        <f aca="false">D686*E686</f>
        <v>18</v>
      </c>
      <c r="G686" s="0" t="n">
        <f aca="false">ROUNDUP(F686/75,0)</f>
        <v>1</v>
      </c>
    </row>
    <row r="687" customFormat="false" ht="15" hidden="false" customHeight="false" outlineLevel="0" collapsed="false">
      <c r="A687" s="0" t="s">
        <v>249</v>
      </c>
      <c r="B687" s="0" t="s">
        <v>284</v>
      </c>
      <c r="C687" s="0" t="s">
        <v>757</v>
      </c>
      <c r="D687" s="0" t="n">
        <v>6</v>
      </c>
      <c r="E687" s="0" t="n">
        <v>2</v>
      </c>
      <c r="F687" s="0" t="n">
        <f aca="false">D687*E687</f>
        <v>12</v>
      </c>
      <c r="G687" s="0" t="n">
        <f aca="false">ROUNDUP(F687/75,0)</f>
        <v>1</v>
      </c>
    </row>
    <row r="688" customFormat="false" ht="15" hidden="false" customHeight="false" outlineLevel="0" collapsed="false">
      <c r="A688" s="0" t="s">
        <v>249</v>
      </c>
      <c r="B688" s="0" t="s">
        <v>284</v>
      </c>
      <c r="C688" s="0" t="s">
        <v>753</v>
      </c>
      <c r="D688" s="0" t="n">
        <v>6</v>
      </c>
      <c r="E688" s="0" t="n">
        <v>4</v>
      </c>
      <c r="F688" s="0" t="n">
        <f aca="false">D688*E688</f>
        <v>24</v>
      </c>
      <c r="G688" s="0" t="n">
        <f aca="false">ROUNDUP(F688/75,0)</f>
        <v>1</v>
      </c>
    </row>
    <row r="689" customFormat="false" ht="15" hidden="false" customHeight="false" outlineLevel="0" collapsed="false">
      <c r="A689" s="0" t="s">
        <v>249</v>
      </c>
      <c r="B689" s="0" t="s">
        <v>284</v>
      </c>
      <c r="C689" s="0" t="s">
        <v>755</v>
      </c>
      <c r="D689" s="0" t="n">
        <v>6</v>
      </c>
      <c r="E689" s="0" t="n">
        <v>3</v>
      </c>
      <c r="F689" s="0" t="n">
        <f aca="false">D689*E689</f>
        <v>18</v>
      </c>
      <c r="G689" s="0" t="n">
        <f aca="false">ROUNDUP(F689/75,0)</f>
        <v>1</v>
      </c>
    </row>
    <row r="690" customFormat="false" ht="15" hidden="false" customHeight="false" outlineLevel="0" collapsed="false">
      <c r="A690" s="0" t="s">
        <v>249</v>
      </c>
      <c r="B690" s="0" t="s">
        <v>285</v>
      </c>
      <c r="C690" s="0" t="s">
        <v>757</v>
      </c>
      <c r="D690" s="0" t="n">
        <v>6</v>
      </c>
      <c r="E690" s="0" t="n">
        <v>2</v>
      </c>
      <c r="F690" s="0" t="n">
        <f aca="false">D690*E690</f>
        <v>12</v>
      </c>
      <c r="G690" s="0" t="n">
        <f aca="false">ROUNDUP(F690/75,0)</f>
        <v>1</v>
      </c>
    </row>
    <row r="691" customFormat="false" ht="15" hidden="false" customHeight="false" outlineLevel="0" collapsed="false">
      <c r="A691" s="0" t="s">
        <v>249</v>
      </c>
      <c r="B691" s="0" t="s">
        <v>285</v>
      </c>
      <c r="C691" s="0" t="s">
        <v>753</v>
      </c>
      <c r="D691" s="0" t="n">
        <v>6</v>
      </c>
      <c r="E691" s="0" t="n">
        <v>1</v>
      </c>
      <c r="F691" s="0" t="n">
        <f aca="false">D691*E691</f>
        <v>6</v>
      </c>
      <c r="G691" s="0" t="n">
        <f aca="false">ROUNDUP(F691/75,0)</f>
        <v>1</v>
      </c>
    </row>
    <row r="692" customFormat="false" ht="15" hidden="false" customHeight="false" outlineLevel="0" collapsed="false">
      <c r="A692" s="0" t="s">
        <v>249</v>
      </c>
      <c r="B692" s="0" t="s">
        <v>285</v>
      </c>
      <c r="C692" s="0" t="s">
        <v>755</v>
      </c>
      <c r="D692" s="0" t="n">
        <v>6</v>
      </c>
      <c r="E692" s="0" t="n">
        <v>4</v>
      </c>
      <c r="F692" s="0" t="n">
        <f aca="false">D692*E692</f>
        <v>24</v>
      </c>
      <c r="G692" s="0" t="n">
        <f aca="false">ROUNDUP(F692/75,0)</f>
        <v>1</v>
      </c>
    </row>
    <row r="693" customFormat="false" ht="15" hidden="false" customHeight="false" outlineLevel="0" collapsed="false">
      <c r="A693" s="0" t="s">
        <v>249</v>
      </c>
      <c r="B693" s="0" t="s">
        <v>286</v>
      </c>
      <c r="C693" s="0" t="s">
        <v>756</v>
      </c>
      <c r="D693" s="0" t="n">
        <v>12</v>
      </c>
      <c r="E693" s="0" t="n">
        <v>2</v>
      </c>
      <c r="F693" s="0" t="n">
        <f aca="false">D693*E693</f>
        <v>24</v>
      </c>
      <c r="G693" s="0" t="n">
        <f aca="false">ROUNDUP(F693/75,0)</f>
        <v>1</v>
      </c>
    </row>
    <row r="694" customFormat="false" ht="15" hidden="false" customHeight="false" outlineLevel="0" collapsed="false">
      <c r="A694" s="0" t="s">
        <v>249</v>
      </c>
      <c r="B694" s="0" t="s">
        <v>286</v>
      </c>
      <c r="C694" s="0" t="s">
        <v>753</v>
      </c>
      <c r="D694" s="0" t="n">
        <v>6</v>
      </c>
      <c r="E694" s="0" t="n">
        <v>9</v>
      </c>
      <c r="F694" s="0" t="n">
        <f aca="false">D694*E694</f>
        <v>54</v>
      </c>
      <c r="G694" s="0" t="n">
        <f aca="false">ROUNDUP(F694/75,0)</f>
        <v>1</v>
      </c>
    </row>
    <row r="695" customFormat="false" ht="15" hidden="false" customHeight="false" outlineLevel="0" collapsed="false">
      <c r="A695" s="0" t="s">
        <v>249</v>
      </c>
      <c r="B695" s="0" t="s">
        <v>286</v>
      </c>
      <c r="C695" s="0" t="s">
        <v>755</v>
      </c>
      <c r="D695" s="0" t="n">
        <v>6</v>
      </c>
      <c r="E695" s="0" t="n">
        <v>2</v>
      </c>
      <c r="F695" s="0" t="n">
        <f aca="false">D695*E695</f>
        <v>12</v>
      </c>
      <c r="G695" s="0" t="n">
        <f aca="false">ROUNDUP(F695/75,0)</f>
        <v>1</v>
      </c>
    </row>
    <row r="696" customFormat="false" ht="15" hidden="false" customHeight="false" outlineLevel="0" collapsed="false">
      <c r="A696" s="0" t="s">
        <v>249</v>
      </c>
      <c r="B696" s="0" t="s">
        <v>287</v>
      </c>
      <c r="C696" s="0" t="s">
        <v>756</v>
      </c>
      <c r="D696" s="0" t="n">
        <v>12</v>
      </c>
      <c r="E696" s="0" t="n">
        <v>1</v>
      </c>
      <c r="F696" s="0" t="n">
        <f aca="false">D696*E696</f>
        <v>12</v>
      </c>
      <c r="G696" s="0" t="n">
        <f aca="false">ROUNDUP(F696/75,0)</f>
        <v>1</v>
      </c>
    </row>
    <row r="697" customFormat="false" ht="15" hidden="false" customHeight="false" outlineLevel="0" collapsed="false">
      <c r="A697" s="0" t="s">
        <v>249</v>
      </c>
      <c r="B697" s="0" t="s">
        <v>287</v>
      </c>
      <c r="C697" s="0" t="s">
        <v>757</v>
      </c>
      <c r="D697" s="0" t="n">
        <v>6</v>
      </c>
      <c r="E697" s="0" t="n">
        <v>2</v>
      </c>
      <c r="F697" s="0" t="n">
        <f aca="false">D697*E697</f>
        <v>12</v>
      </c>
      <c r="G697" s="0" t="n">
        <f aca="false">ROUNDUP(F697/75,0)</f>
        <v>1</v>
      </c>
    </row>
    <row r="698" customFormat="false" ht="15" hidden="false" customHeight="false" outlineLevel="0" collapsed="false">
      <c r="A698" s="0" t="s">
        <v>249</v>
      </c>
      <c r="B698" s="0" t="s">
        <v>287</v>
      </c>
      <c r="C698" s="0" t="s">
        <v>753</v>
      </c>
      <c r="D698" s="0" t="n">
        <v>6</v>
      </c>
      <c r="E698" s="0" t="n">
        <v>4</v>
      </c>
      <c r="F698" s="0" t="n">
        <f aca="false">D698*E698</f>
        <v>24</v>
      </c>
      <c r="G698" s="0" t="n">
        <f aca="false">ROUNDUP(F698/75,0)</f>
        <v>1</v>
      </c>
    </row>
    <row r="699" customFormat="false" ht="15" hidden="false" customHeight="false" outlineLevel="0" collapsed="false">
      <c r="A699" s="0" t="s">
        <v>249</v>
      </c>
      <c r="B699" s="0" t="s">
        <v>287</v>
      </c>
      <c r="C699" s="0" t="s">
        <v>755</v>
      </c>
      <c r="D699" s="0" t="n">
        <v>6</v>
      </c>
      <c r="E699" s="0" t="n">
        <v>1</v>
      </c>
      <c r="F699" s="0" t="n">
        <f aca="false">D699*E699</f>
        <v>6</v>
      </c>
      <c r="G699" s="0" t="n">
        <f aca="false">ROUNDUP(F699/75,0)</f>
        <v>1</v>
      </c>
    </row>
    <row r="700" customFormat="false" ht="15" hidden="false" customHeight="false" outlineLevel="0" collapsed="false">
      <c r="A700" s="0" t="s">
        <v>249</v>
      </c>
      <c r="B700" s="0" t="s">
        <v>288</v>
      </c>
      <c r="C700" s="0" t="s">
        <v>753</v>
      </c>
      <c r="D700" s="0" t="n">
        <v>6</v>
      </c>
      <c r="E700" s="0" t="n">
        <v>1</v>
      </c>
      <c r="F700" s="0" t="n">
        <f aca="false">D700*E700</f>
        <v>6</v>
      </c>
      <c r="G700" s="0" t="n">
        <f aca="false">ROUNDUP(F700/75,0)</f>
        <v>1</v>
      </c>
    </row>
    <row r="701" customFormat="false" ht="15" hidden="false" customHeight="false" outlineLevel="0" collapsed="false">
      <c r="A701" s="0" t="s">
        <v>249</v>
      </c>
      <c r="B701" s="0" t="s">
        <v>288</v>
      </c>
      <c r="C701" s="0" t="s">
        <v>755</v>
      </c>
      <c r="D701" s="0" t="n">
        <v>6</v>
      </c>
      <c r="E701" s="0" t="n">
        <v>4</v>
      </c>
      <c r="F701" s="0" t="n">
        <f aca="false">D701*E701</f>
        <v>24</v>
      </c>
      <c r="G701" s="0" t="n">
        <f aca="false">ROUNDUP(F701/75,0)</f>
        <v>1</v>
      </c>
    </row>
    <row r="702" customFormat="false" ht="15" hidden="false" customHeight="false" outlineLevel="0" collapsed="false">
      <c r="A702" s="0" t="s">
        <v>249</v>
      </c>
      <c r="B702" s="0" t="s">
        <v>289</v>
      </c>
      <c r="C702" s="0" t="s">
        <v>756</v>
      </c>
      <c r="D702" s="0" t="n">
        <v>12</v>
      </c>
      <c r="E702" s="0" t="n">
        <v>4</v>
      </c>
      <c r="F702" s="0" t="n">
        <f aca="false">D702*E702</f>
        <v>48</v>
      </c>
      <c r="G702" s="0" t="n">
        <f aca="false">ROUNDUP(F702/75,0)</f>
        <v>1</v>
      </c>
    </row>
    <row r="703" customFormat="false" ht="15" hidden="false" customHeight="false" outlineLevel="0" collapsed="false">
      <c r="A703" s="0" t="s">
        <v>249</v>
      </c>
      <c r="B703" s="0" t="s">
        <v>289</v>
      </c>
      <c r="C703" s="0" t="s">
        <v>757</v>
      </c>
      <c r="D703" s="0" t="n">
        <v>6</v>
      </c>
      <c r="E703" s="0" t="n">
        <v>1</v>
      </c>
      <c r="F703" s="0" t="n">
        <f aca="false">D703*E703</f>
        <v>6</v>
      </c>
      <c r="G703" s="0" t="n">
        <f aca="false">ROUNDUP(F703/75,0)</f>
        <v>1</v>
      </c>
    </row>
    <row r="704" customFormat="false" ht="15" hidden="false" customHeight="false" outlineLevel="0" collapsed="false">
      <c r="A704" s="0" t="s">
        <v>249</v>
      </c>
      <c r="B704" s="0" t="s">
        <v>289</v>
      </c>
      <c r="C704" s="0" t="s">
        <v>753</v>
      </c>
      <c r="D704" s="0" t="n">
        <v>6</v>
      </c>
      <c r="E704" s="0" t="n">
        <v>2</v>
      </c>
      <c r="F704" s="0" t="n">
        <f aca="false">D704*E704</f>
        <v>12</v>
      </c>
      <c r="G704" s="0" t="n">
        <f aca="false">ROUNDUP(F704/75,0)</f>
        <v>1</v>
      </c>
    </row>
    <row r="705" customFormat="false" ht="15" hidden="false" customHeight="false" outlineLevel="0" collapsed="false">
      <c r="A705" s="0" t="s">
        <v>249</v>
      </c>
      <c r="B705" s="0" t="s">
        <v>290</v>
      </c>
      <c r="C705" s="0" t="s">
        <v>753</v>
      </c>
      <c r="D705" s="0" t="n">
        <v>6</v>
      </c>
      <c r="E705" s="0" t="n">
        <v>2</v>
      </c>
      <c r="F705" s="0" t="n">
        <f aca="false">D705*E705</f>
        <v>12</v>
      </c>
      <c r="G705" s="0" t="n">
        <f aca="false">ROUNDUP(F705/75,0)</f>
        <v>1</v>
      </c>
    </row>
    <row r="706" customFormat="false" ht="15" hidden="false" customHeight="false" outlineLevel="0" collapsed="false">
      <c r="A706" s="0" t="s">
        <v>249</v>
      </c>
      <c r="B706" s="0" t="s">
        <v>290</v>
      </c>
      <c r="C706" s="0" t="s">
        <v>755</v>
      </c>
      <c r="D706" s="0" t="n">
        <v>6</v>
      </c>
      <c r="E706" s="0" t="n">
        <v>4</v>
      </c>
      <c r="F706" s="0" t="n">
        <f aca="false">D706*E706</f>
        <v>24</v>
      </c>
      <c r="G706" s="0" t="n">
        <f aca="false">ROUNDUP(F706/75,0)</f>
        <v>1</v>
      </c>
    </row>
    <row r="707" customFormat="false" ht="15" hidden="false" customHeight="false" outlineLevel="0" collapsed="false">
      <c r="A707" s="0" t="s">
        <v>249</v>
      </c>
      <c r="B707" s="0" t="s">
        <v>291</v>
      </c>
      <c r="C707" s="0" t="s">
        <v>756</v>
      </c>
      <c r="D707" s="0" t="n">
        <v>12</v>
      </c>
      <c r="E707" s="0" t="n">
        <v>3</v>
      </c>
      <c r="F707" s="0" t="n">
        <f aca="false">D707*E707</f>
        <v>36</v>
      </c>
      <c r="G707" s="0" t="n">
        <f aca="false">ROUNDUP(F707/75,0)</f>
        <v>1</v>
      </c>
    </row>
    <row r="708" customFormat="false" ht="15" hidden="false" customHeight="false" outlineLevel="0" collapsed="false">
      <c r="A708" s="0" t="s">
        <v>249</v>
      </c>
      <c r="B708" s="0" t="s">
        <v>291</v>
      </c>
      <c r="C708" s="0" t="s">
        <v>757</v>
      </c>
      <c r="D708" s="0" t="n">
        <v>6</v>
      </c>
      <c r="E708" s="0" t="n">
        <v>4</v>
      </c>
      <c r="F708" s="0" t="n">
        <f aca="false">D708*E708</f>
        <v>24</v>
      </c>
      <c r="G708" s="0" t="n">
        <f aca="false">ROUNDUP(F708/75,0)</f>
        <v>1</v>
      </c>
    </row>
    <row r="709" customFormat="false" ht="15" hidden="false" customHeight="false" outlineLevel="0" collapsed="false">
      <c r="A709" s="0" t="s">
        <v>249</v>
      </c>
      <c r="B709" s="0" t="s">
        <v>291</v>
      </c>
      <c r="C709" s="0" t="s">
        <v>753</v>
      </c>
      <c r="D709" s="0" t="n">
        <v>6</v>
      </c>
      <c r="E709" s="0" t="n">
        <v>3</v>
      </c>
      <c r="F709" s="0" t="n">
        <f aca="false">D709*E709</f>
        <v>18</v>
      </c>
      <c r="G709" s="0" t="n">
        <f aca="false">ROUNDUP(F709/75,0)</f>
        <v>1</v>
      </c>
    </row>
    <row r="710" customFormat="false" ht="15" hidden="false" customHeight="false" outlineLevel="0" collapsed="false">
      <c r="A710" s="0" t="s">
        <v>249</v>
      </c>
      <c r="B710" s="0" t="s">
        <v>291</v>
      </c>
      <c r="C710" s="0" t="s">
        <v>755</v>
      </c>
      <c r="D710" s="0" t="n">
        <v>6</v>
      </c>
      <c r="E710" s="0" t="n">
        <v>1</v>
      </c>
      <c r="F710" s="0" t="n">
        <f aca="false">D710*E710</f>
        <v>6</v>
      </c>
      <c r="G710" s="0" t="n">
        <f aca="false">ROUNDUP(F710/75,0)</f>
        <v>1</v>
      </c>
    </row>
    <row r="711" customFormat="false" ht="15" hidden="false" customHeight="false" outlineLevel="0" collapsed="false">
      <c r="A711" s="0" t="s">
        <v>249</v>
      </c>
      <c r="B711" s="0" t="s">
        <v>292</v>
      </c>
      <c r="C711" s="0" t="s">
        <v>757</v>
      </c>
      <c r="D711" s="0" t="n">
        <v>6</v>
      </c>
      <c r="E711" s="0" t="n">
        <v>1</v>
      </c>
      <c r="F711" s="0" t="n">
        <f aca="false">D711*E711</f>
        <v>6</v>
      </c>
      <c r="G711" s="0" t="n">
        <f aca="false">ROUNDUP(F711/75,0)</f>
        <v>1</v>
      </c>
    </row>
    <row r="712" customFormat="false" ht="15" hidden="false" customHeight="false" outlineLevel="0" collapsed="false">
      <c r="A712" s="0" t="s">
        <v>249</v>
      </c>
      <c r="B712" s="0" t="s">
        <v>292</v>
      </c>
      <c r="C712" s="0" t="s">
        <v>753</v>
      </c>
      <c r="D712" s="0" t="n">
        <v>6</v>
      </c>
      <c r="E712" s="0" t="n">
        <v>2</v>
      </c>
      <c r="F712" s="0" t="n">
        <f aca="false">D712*E712</f>
        <v>12</v>
      </c>
      <c r="G712" s="0" t="n">
        <f aca="false">ROUNDUP(F712/75,0)</f>
        <v>1</v>
      </c>
    </row>
    <row r="713" customFormat="false" ht="15" hidden="false" customHeight="false" outlineLevel="0" collapsed="false">
      <c r="A713" s="0" t="s">
        <v>249</v>
      </c>
      <c r="B713" s="0" t="s">
        <v>292</v>
      </c>
      <c r="C713" s="0" t="s">
        <v>755</v>
      </c>
      <c r="D713" s="0" t="n">
        <v>6</v>
      </c>
      <c r="E713" s="0" t="n">
        <v>3</v>
      </c>
      <c r="F713" s="0" t="n">
        <f aca="false">D713*E713</f>
        <v>18</v>
      </c>
      <c r="G713" s="0" t="n">
        <f aca="false">ROUNDUP(F713/75,0)</f>
        <v>1</v>
      </c>
    </row>
    <row r="714" customFormat="false" ht="15" hidden="false" customHeight="false" outlineLevel="0" collapsed="false">
      <c r="A714" s="0" t="s">
        <v>249</v>
      </c>
      <c r="B714" s="0" t="s">
        <v>293</v>
      </c>
      <c r="C714" s="0" t="s">
        <v>753</v>
      </c>
      <c r="D714" s="0" t="n">
        <v>6</v>
      </c>
      <c r="E714" s="0" t="n">
        <v>1</v>
      </c>
      <c r="F714" s="0" t="n">
        <f aca="false">D714*E714</f>
        <v>6</v>
      </c>
      <c r="G714" s="0" t="n">
        <f aca="false">ROUNDUP(F714/75,0)</f>
        <v>1</v>
      </c>
    </row>
    <row r="715" customFormat="false" ht="15" hidden="false" customHeight="false" outlineLevel="0" collapsed="false">
      <c r="A715" s="0" t="s">
        <v>249</v>
      </c>
      <c r="B715" s="0" t="s">
        <v>293</v>
      </c>
      <c r="C715" s="0" t="s">
        <v>755</v>
      </c>
      <c r="D715" s="0" t="n">
        <v>6</v>
      </c>
      <c r="E715" s="0" t="n">
        <v>2</v>
      </c>
      <c r="F715" s="0" t="n">
        <f aca="false">D715*E715</f>
        <v>12</v>
      </c>
      <c r="G715" s="0" t="n">
        <f aca="false">ROUNDUP(F715/75,0)</f>
        <v>1</v>
      </c>
    </row>
    <row r="716" customFormat="false" ht="15" hidden="false" customHeight="false" outlineLevel="0" collapsed="false">
      <c r="A716" s="0" t="s">
        <v>249</v>
      </c>
      <c r="B716" s="0" t="s">
        <v>294</v>
      </c>
      <c r="C716" s="0" t="s">
        <v>756</v>
      </c>
      <c r="D716" s="0" t="n">
        <v>12</v>
      </c>
      <c r="E716" s="0" t="n">
        <v>3</v>
      </c>
      <c r="F716" s="0" t="n">
        <f aca="false">D716*E716</f>
        <v>36</v>
      </c>
      <c r="G716" s="0" t="n">
        <f aca="false">ROUNDUP(F716/75,0)</f>
        <v>1</v>
      </c>
    </row>
    <row r="717" customFormat="false" ht="15" hidden="false" customHeight="false" outlineLevel="0" collapsed="false">
      <c r="A717" s="0" t="s">
        <v>249</v>
      </c>
      <c r="B717" s="0" t="s">
        <v>294</v>
      </c>
      <c r="C717" s="0" t="s">
        <v>753</v>
      </c>
      <c r="D717" s="0" t="n">
        <v>6</v>
      </c>
      <c r="E717" s="0" t="n">
        <v>7</v>
      </c>
      <c r="F717" s="0" t="n">
        <f aca="false">D717*E717</f>
        <v>42</v>
      </c>
      <c r="G717" s="0" t="n">
        <f aca="false">ROUNDUP(F717/75,0)</f>
        <v>1</v>
      </c>
    </row>
    <row r="718" customFormat="false" ht="15" hidden="false" customHeight="false" outlineLevel="0" collapsed="false">
      <c r="A718" s="0" t="s">
        <v>249</v>
      </c>
      <c r="B718" s="0" t="s">
        <v>294</v>
      </c>
      <c r="C718" s="0" t="s">
        <v>755</v>
      </c>
      <c r="D718" s="0" t="n">
        <v>6</v>
      </c>
      <c r="E718" s="0" t="n">
        <v>1</v>
      </c>
      <c r="F718" s="0" t="n">
        <f aca="false">D718*E718</f>
        <v>6</v>
      </c>
      <c r="G718" s="0" t="n">
        <f aca="false">ROUNDUP(F718/75,0)</f>
        <v>1</v>
      </c>
    </row>
    <row r="719" customFormat="false" ht="15" hidden="false" customHeight="false" outlineLevel="0" collapsed="false">
      <c r="A719" s="0" t="s">
        <v>249</v>
      </c>
      <c r="B719" s="0" t="s">
        <v>295</v>
      </c>
      <c r="C719" s="0" t="s">
        <v>756</v>
      </c>
      <c r="D719" s="0" t="n">
        <v>12</v>
      </c>
      <c r="E719" s="0" t="n">
        <v>1</v>
      </c>
      <c r="F719" s="0" t="n">
        <f aca="false">D719*E719</f>
        <v>12</v>
      </c>
      <c r="G719" s="0" t="n">
        <f aca="false">ROUNDUP(F719/75,0)</f>
        <v>1</v>
      </c>
    </row>
    <row r="720" customFormat="false" ht="15" hidden="false" customHeight="false" outlineLevel="0" collapsed="false">
      <c r="A720" s="0" t="s">
        <v>249</v>
      </c>
      <c r="B720" s="0" t="s">
        <v>295</v>
      </c>
      <c r="C720" s="0" t="s">
        <v>757</v>
      </c>
      <c r="D720" s="0" t="n">
        <v>6</v>
      </c>
      <c r="E720" s="0" t="n">
        <v>1</v>
      </c>
      <c r="F720" s="0" t="n">
        <f aca="false">D720*E720</f>
        <v>6</v>
      </c>
      <c r="G720" s="0" t="n">
        <f aca="false">ROUNDUP(F720/75,0)</f>
        <v>1</v>
      </c>
    </row>
    <row r="721" customFormat="false" ht="15" hidden="false" customHeight="false" outlineLevel="0" collapsed="false">
      <c r="A721" s="0" t="s">
        <v>249</v>
      </c>
      <c r="B721" s="0" t="s">
        <v>295</v>
      </c>
      <c r="C721" s="0" t="s">
        <v>755</v>
      </c>
      <c r="D721" s="0" t="n">
        <v>6</v>
      </c>
      <c r="E721" s="0" t="n">
        <v>1</v>
      </c>
      <c r="F721" s="0" t="n">
        <f aca="false">D721*E721</f>
        <v>6</v>
      </c>
      <c r="G721" s="0" t="n">
        <f aca="false">ROUNDUP(F721/75,0)</f>
        <v>1</v>
      </c>
    </row>
    <row r="722" customFormat="false" ht="15" hidden="false" customHeight="false" outlineLevel="0" collapsed="false">
      <c r="A722" s="0" t="s">
        <v>249</v>
      </c>
      <c r="B722" s="0" t="s">
        <v>296</v>
      </c>
      <c r="C722" s="0" t="s">
        <v>757</v>
      </c>
      <c r="D722" s="0" t="n">
        <v>6</v>
      </c>
      <c r="E722" s="0" t="n">
        <v>5</v>
      </c>
      <c r="F722" s="0" t="n">
        <f aca="false">D722*E722</f>
        <v>30</v>
      </c>
      <c r="G722" s="0" t="n">
        <f aca="false">ROUNDUP(F722/75,0)</f>
        <v>1</v>
      </c>
    </row>
    <row r="723" customFormat="false" ht="15" hidden="false" customHeight="false" outlineLevel="0" collapsed="false">
      <c r="A723" s="0" t="s">
        <v>249</v>
      </c>
      <c r="B723" s="0" t="s">
        <v>296</v>
      </c>
      <c r="C723" s="0" t="s">
        <v>753</v>
      </c>
      <c r="D723" s="0" t="n">
        <v>6</v>
      </c>
      <c r="E723" s="0" t="n">
        <v>4</v>
      </c>
      <c r="F723" s="0" t="n">
        <f aca="false">D723*E723</f>
        <v>24</v>
      </c>
      <c r="G723" s="0" t="n">
        <f aca="false">ROUNDUP(F723/75,0)</f>
        <v>1</v>
      </c>
    </row>
    <row r="724" customFormat="false" ht="15" hidden="false" customHeight="false" outlineLevel="0" collapsed="false">
      <c r="A724" s="0" t="s">
        <v>249</v>
      </c>
      <c r="B724" s="0" t="s">
        <v>297</v>
      </c>
      <c r="C724" s="0" t="s">
        <v>756</v>
      </c>
      <c r="D724" s="0" t="n">
        <v>12</v>
      </c>
      <c r="E724" s="0" t="n">
        <v>5</v>
      </c>
      <c r="F724" s="0" t="n">
        <f aca="false">D724*E724</f>
        <v>60</v>
      </c>
      <c r="G724" s="0" t="n">
        <f aca="false">ROUNDUP(F724/75,0)</f>
        <v>1</v>
      </c>
    </row>
    <row r="725" customFormat="false" ht="15" hidden="false" customHeight="false" outlineLevel="0" collapsed="false">
      <c r="A725" s="0" t="s">
        <v>249</v>
      </c>
      <c r="B725" s="0" t="s">
        <v>297</v>
      </c>
      <c r="C725" s="0" t="s">
        <v>757</v>
      </c>
      <c r="D725" s="0" t="n">
        <v>6</v>
      </c>
      <c r="E725" s="0" t="n">
        <v>3.5</v>
      </c>
      <c r="F725" s="0" t="n">
        <f aca="false">D725*E725</f>
        <v>21</v>
      </c>
      <c r="G725" s="0" t="n">
        <f aca="false">ROUNDUP(F725/75,0)</f>
        <v>1</v>
      </c>
    </row>
    <row r="726" customFormat="false" ht="15" hidden="false" customHeight="false" outlineLevel="0" collapsed="false">
      <c r="A726" s="0" t="s">
        <v>249</v>
      </c>
      <c r="B726" s="0" t="s">
        <v>297</v>
      </c>
      <c r="C726" s="0" t="s">
        <v>753</v>
      </c>
      <c r="D726" s="0" t="n">
        <v>6</v>
      </c>
      <c r="E726" s="0" t="n">
        <v>1</v>
      </c>
      <c r="F726" s="0" t="n">
        <f aca="false">D726*E726</f>
        <v>6</v>
      </c>
      <c r="G726" s="0" t="n">
        <f aca="false">ROUNDUP(F726/75,0)</f>
        <v>1</v>
      </c>
    </row>
    <row r="727" customFormat="false" ht="15" hidden="false" customHeight="false" outlineLevel="0" collapsed="false">
      <c r="A727" s="0" t="s">
        <v>249</v>
      </c>
      <c r="B727" s="0" t="s">
        <v>297</v>
      </c>
      <c r="C727" s="0" t="s">
        <v>755</v>
      </c>
      <c r="D727" s="0" t="n">
        <v>6</v>
      </c>
      <c r="E727" s="0" t="n">
        <v>6</v>
      </c>
      <c r="F727" s="0" t="n">
        <f aca="false">D727*E727</f>
        <v>36</v>
      </c>
      <c r="G727" s="0" t="n">
        <f aca="false">ROUNDUP(F727/75,0)</f>
        <v>1</v>
      </c>
    </row>
    <row r="728" customFormat="false" ht="15" hidden="false" customHeight="false" outlineLevel="0" collapsed="false">
      <c r="A728" s="0" t="s">
        <v>249</v>
      </c>
      <c r="B728" s="0" t="s">
        <v>298</v>
      </c>
      <c r="C728" s="0" t="s">
        <v>756</v>
      </c>
      <c r="D728" s="0" t="n">
        <v>12</v>
      </c>
      <c r="E728" s="0" t="n">
        <v>2</v>
      </c>
      <c r="F728" s="0" t="n">
        <f aca="false">D728*E728</f>
        <v>24</v>
      </c>
      <c r="G728" s="0" t="n">
        <f aca="false">ROUNDUP(F728/75,0)</f>
        <v>1</v>
      </c>
    </row>
    <row r="729" customFormat="false" ht="15" hidden="false" customHeight="false" outlineLevel="0" collapsed="false">
      <c r="A729" s="0" t="s">
        <v>249</v>
      </c>
      <c r="B729" s="0" t="s">
        <v>298</v>
      </c>
      <c r="C729" s="0" t="s">
        <v>753</v>
      </c>
      <c r="D729" s="0" t="n">
        <v>6</v>
      </c>
      <c r="E729" s="0" t="n">
        <v>2</v>
      </c>
      <c r="F729" s="0" t="n">
        <f aca="false">D729*E729</f>
        <v>12</v>
      </c>
      <c r="G729" s="0" t="n">
        <f aca="false">ROUNDUP(F729/75,0)</f>
        <v>1</v>
      </c>
    </row>
    <row r="730" customFormat="false" ht="15" hidden="false" customHeight="false" outlineLevel="0" collapsed="false">
      <c r="A730" s="0" t="s">
        <v>249</v>
      </c>
      <c r="B730" s="0" t="s">
        <v>298</v>
      </c>
      <c r="C730" s="0" t="s">
        <v>755</v>
      </c>
      <c r="D730" s="0" t="n">
        <v>6</v>
      </c>
      <c r="E730" s="0" t="n">
        <v>6</v>
      </c>
      <c r="F730" s="0" t="n">
        <f aca="false">D730*E730</f>
        <v>36</v>
      </c>
      <c r="G730" s="0" t="n">
        <f aca="false">ROUNDUP(F730/75,0)</f>
        <v>1</v>
      </c>
    </row>
    <row r="731" customFormat="false" ht="15" hidden="false" customHeight="false" outlineLevel="0" collapsed="false">
      <c r="A731" s="0" t="s">
        <v>249</v>
      </c>
      <c r="B731" s="0" t="s">
        <v>299</v>
      </c>
      <c r="C731" s="0" t="s">
        <v>756</v>
      </c>
      <c r="D731" s="0" t="n">
        <v>12</v>
      </c>
      <c r="E731" s="0" t="n">
        <v>1</v>
      </c>
      <c r="F731" s="0" t="n">
        <f aca="false">D731*E731</f>
        <v>12</v>
      </c>
      <c r="G731" s="0" t="n">
        <f aca="false">ROUNDUP(F731/75,0)</f>
        <v>1</v>
      </c>
    </row>
    <row r="732" customFormat="false" ht="15" hidden="false" customHeight="false" outlineLevel="0" collapsed="false">
      <c r="A732" s="0" t="s">
        <v>249</v>
      </c>
      <c r="B732" s="0" t="s">
        <v>299</v>
      </c>
      <c r="C732" s="0" t="s">
        <v>753</v>
      </c>
      <c r="D732" s="0" t="n">
        <v>6</v>
      </c>
      <c r="E732" s="0" t="n">
        <v>4</v>
      </c>
      <c r="F732" s="0" t="n">
        <f aca="false">D732*E732</f>
        <v>24</v>
      </c>
      <c r="G732" s="0" t="n">
        <f aca="false">ROUNDUP(F732/75,0)</f>
        <v>1</v>
      </c>
    </row>
    <row r="733" customFormat="false" ht="15" hidden="false" customHeight="false" outlineLevel="0" collapsed="false">
      <c r="A733" s="0" t="s">
        <v>249</v>
      </c>
      <c r="B733" s="0" t="s">
        <v>299</v>
      </c>
      <c r="C733" s="0" t="s">
        <v>755</v>
      </c>
      <c r="D733" s="0" t="n">
        <v>6</v>
      </c>
      <c r="E733" s="0" t="n">
        <v>3</v>
      </c>
      <c r="F733" s="0" t="n">
        <f aca="false">D733*E733</f>
        <v>18</v>
      </c>
      <c r="G733" s="0" t="n">
        <f aca="false">ROUNDUP(F733/75,0)</f>
        <v>1</v>
      </c>
    </row>
    <row r="734" customFormat="false" ht="15" hidden="false" customHeight="false" outlineLevel="0" collapsed="false">
      <c r="A734" s="0" t="s">
        <v>249</v>
      </c>
      <c r="B734" s="0" t="s">
        <v>300</v>
      </c>
      <c r="C734" s="0" t="s">
        <v>756</v>
      </c>
      <c r="D734" s="0" t="n">
        <v>12</v>
      </c>
      <c r="E734" s="0" t="n">
        <v>2</v>
      </c>
      <c r="F734" s="0" t="n">
        <f aca="false">D734*E734</f>
        <v>24</v>
      </c>
      <c r="G734" s="0" t="n">
        <f aca="false">ROUNDUP(F734/75,0)</f>
        <v>1</v>
      </c>
    </row>
    <row r="735" customFormat="false" ht="15" hidden="false" customHeight="false" outlineLevel="0" collapsed="false">
      <c r="A735" s="0" t="s">
        <v>249</v>
      </c>
      <c r="B735" s="0" t="s">
        <v>300</v>
      </c>
      <c r="C735" s="0" t="s">
        <v>757</v>
      </c>
      <c r="D735" s="0" t="n">
        <v>6</v>
      </c>
      <c r="E735" s="0" t="n">
        <v>1</v>
      </c>
      <c r="F735" s="0" t="n">
        <f aca="false">D735*E735</f>
        <v>6</v>
      </c>
      <c r="G735" s="0" t="n">
        <f aca="false">ROUNDUP(F735/75,0)</f>
        <v>1</v>
      </c>
    </row>
    <row r="736" customFormat="false" ht="15" hidden="false" customHeight="false" outlineLevel="0" collapsed="false">
      <c r="A736" s="0" t="s">
        <v>249</v>
      </c>
      <c r="B736" s="0" t="s">
        <v>300</v>
      </c>
      <c r="C736" s="0" t="s">
        <v>753</v>
      </c>
      <c r="D736" s="0" t="n">
        <v>6</v>
      </c>
      <c r="E736" s="0" t="n">
        <v>5</v>
      </c>
      <c r="F736" s="0" t="n">
        <f aca="false">D736*E736</f>
        <v>30</v>
      </c>
      <c r="G736" s="0" t="n">
        <f aca="false">ROUNDUP(F736/75,0)</f>
        <v>1</v>
      </c>
    </row>
    <row r="737" customFormat="false" ht="15" hidden="false" customHeight="false" outlineLevel="0" collapsed="false">
      <c r="A737" s="0" t="s">
        <v>249</v>
      </c>
      <c r="B737" s="0" t="s">
        <v>300</v>
      </c>
      <c r="C737" s="0" t="s">
        <v>755</v>
      </c>
      <c r="D737" s="0" t="n">
        <v>6</v>
      </c>
      <c r="E737" s="0" t="n">
        <v>5</v>
      </c>
      <c r="F737" s="0" t="n">
        <f aca="false">D737*E737</f>
        <v>30</v>
      </c>
      <c r="G737" s="0" t="n">
        <f aca="false">ROUNDUP(F737/75,0)</f>
        <v>1</v>
      </c>
    </row>
    <row r="738" customFormat="false" ht="15" hidden="false" customHeight="false" outlineLevel="0" collapsed="false">
      <c r="A738" s="0" t="s">
        <v>249</v>
      </c>
      <c r="B738" s="0" t="s">
        <v>301</v>
      </c>
      <c r="C738" s="0" t="s">
        <v>753</v>
      </c>
      <c r="D738" s="0" t="n">
        <v>6</v>
      </c>
      <c r="E738" s="0" t="n">
        <v>5</v>
      </c>
      <c r="F738" s="0" t="n">
        <f aca="false">D738*E738</f>
        <v>30</v>
      </c>
      <c r="G738" s="0" t="n">
        <f aca="false">ROUNDUP(F738/75,0)</f>
        <v>1</v>
      </c>
    </row>
    <row r="739" customFormat="false" ht="15" hidden="false" customHeight="false" outlineLevel="0" collapsed="false">
      <c r="A739" s="0" t="s">
        <v>249</v>
      </c>
      <c r="B739" s="0" t="s">
        <v>301</v>
      </c>
      <c r="C739" s="0" t="s">
        <v>755</v>
      </c>
      <c r="D739" s="0" t="n">
        <v>6</v>
      </c>
      <c r="E739" s="0" t="n">
        <v>2</v>
      </c>
      <c r="F739" s="0" t="n">
        <f aca="false">D739*E739</f>
        <v>12</v>
      </c>
      <c r="G739" s="0" t="n">
        <f aca="false">ROUNDUP(F739/75,0)</f>
        <v>1</v>
      </c>
    </row>
    <row r="740" customFormat="false" ht="15" hidden="false" customHeight="false" outlineLevel="0" collapsed="false">
      <c r="A740" s="0" t="s">
        <v>249</v>
      </c>
      <c r="B740" s="0" t="s">
        <v>302</v>
      </c>
      <c r="C740" s="0" t="s">
        <v>756</v>
      </c>
      <c r="D740" s="0" t="n">
        <v>12</v>
      </c>
      <c r="E740" s="0" t="n">
        <v>1</v>
      </c>
      <c r="F740" s="0" t="n">
        <f aca="false">D740*E740</f>
        <v>12</v>
      </c>
      <c r="G740" s="0" t="n">
        <f aca="false">ROUNDUP(F740/75,0)</f>
        <v>1</v>
      </c>
    </row>
    <row r="741" customFormat="false" ht="15" hidden="false" customHeight="false" outlineLevel="0" collapsed="false">
      <c r="A741" s="0" t="s">
        <v>249</v>
      </c>
      <c r="B741" s="0" t="s">
        <v>302</v>
      </c>
      <c r="C741" s="0" t="s">
        <v>757</v>
      </c>
      <c r="D741" s="0" t="n">
        <v>6</v>
      </c>
      <c r="E741" s="0" t="n">
        <v>1</v>
      </c>
      <c r="F741" s="0" t="n">
        <f aca="false">D741*E741</f>
        <v>6</v>
      </c>
      <c r="G741" s="0" t="n">
        <f aca="false">ROUNDUP(F741/75,0)</f>
        <v>1</v>
      </c>
    </row>
    <row r="742" customFormat="false" ht="15" hidden="false" customHeight="false" outlineLevel="0" collapsed="false">
      <c r="A742" s="0" t="s">
        <v>249</v>
      </c>
      <c r="B742" s="0" t="s">
        <v>302</v>
      </c>
      <c r="C742" s="0" t="s">
        <v>753</v>
      </c>
      <c r="D742" s="0" t="n">
        <v>6</v>
      </c>
      <c r="E742" s="0" t="n">
        <v>4</v>
      </c>
      <c r="F742" s="0" t="n">
        <f aca="false">D742*E742</f>
        <v>24</v>
      </c>
      <c r="G742" s="0" t="n">
        <f aca="false">ROUNDUP(F742/75,0)</f>
        <v>1</v>
      </c>
    </row>
    <row r="743" customFormat="false" ht="15" hidden="false" customHeight="false" outlineLevel="0" collapsed="false">
      <c r="A743" s="0" t="s">
        <v>249</v>
      </c>
      <c r="B743" s="0" t="s">
        <v>302</v>
      </c>
      <c r="C743" s="0" t="s">
        <v>755</v>
      </c>
      <c r="D743" s="0" t="n">
        <v>6</v>
      </c>
      <c r="E743" s="0" t="n">
        <v>3</v>
      </c>
      <c r="F743" s="0" t="n">
        <f aca="false">D743*E743</f>
        <v>18</v>
      </c>
      <c r="G743" s="0" t="n">
        <f aca="false">ROUNDUP(F743/75,0)</f>
        <v>1</v>
      </c>
    </row>
    <row r="744" customFormat="false" ht="15" hidden="false" customHeight="false" outlineLevel="0" collapsed="false">
      <c r="A744" s="0" t="s">
        <v>249</v>
      </c>
      <c r="B744" s="0" t="s">
        <v>303</v>
      </c>
      <c r="C744" s="0" t="s">
        <v>753</v>
      </c>
      <c r="D744" s="0" t="n">
        <v>6</v>
      </c>
      <c r="E744" s="0" t="n">
        <v>4</v>
      </c>
      <c r="F744" s="0" t="n">
        <f aca="false">D744*E744</f>
        <v>24</v>
      </c>
      <c r="G744" s="0" t="n">
        <f aca="false">ROUNDUP(F744/75,0)</f>
        <v>1</v>
      </c>
    </row>
    <row r="745" customFormat="false" ht="15" hidden="false" customHeight="false" outlineLevel="0" collapsed="false">
      <c r="A745" s="0" t="s">
        <v>249</v>
      </c>
      <c r="B745" s="0" t="s">
        <v>304</v>
      </c>
      <c r="C745" s="0" t="s">
        <v>756</v>
      </c>
      <c r="D745" s="0" t="n">
        <v>12</v>
      </c>
      <c r="E745" s="0" t="n">
        <v>2</v>
      </c>
      <c r="F745" s="0" t="n">
        <f aca="false">D745*E745</f>
        <v>24</v>
      </c>
      <c r="G745" s="0" t="n">
        <f aca="false">ROUNDUP(F745/75,0)</f>
        <v>1</v>
      </c>
    </row>
    <row r="746" customFormat="false" ht="15" hidden="false" customHeight="false" outlineLevel="0" collapsed="false">
      <c r="A746" s="0" t="s">
        <v>249</v>
      </c>
      <c r="B746" s="0" t="s">
        <v>304</v>
      </c>
      <c r="C746" s="0" t="s">
        <v>753</v>
      </c>
      <c r="D746" s="0" t="n">
        <v>6</v>
      </c>
      <c r="E746" s="0" t="n">
        <v>2</v>
      </c>
      <c r="F746" s="0" t="n">
        <f aca="false">D746*E746</f>
        <v>12</v>
      </c>
      <c r="G746" s="0" t="n">
        <f aca="false">ROUNDUP(F746/75,0)</f>
        <v>1</v>
      </c>
    </row>
    <row r="747" customFormat="false" ht="15" hidden="false" customHeight="false" outlineLevel="0" collapsed="false">
      <c r="A747" s="0" t="s">
        <v>249</v>
      </c>
      <c r="B747" s="0" t="s">
        <v>304</v>
      </c>
      <c r="C747" s="0" t="s">
        <v>755</v>
      </c>
      <c r="D747" s="0" t="n">
        <v>6</v>
      </c>
      <c r="E747" s="0" t="n">
        <v>1</v>
      </c>
      <c r="F747" s="0" t="n">
        <f aca="false">D747*E747</f>
        <v>6</v>
      </c>
      <c r="G747" s="0" t="n">
        <f aca="false">ROUNDUP(F747/75,0)</f>
        <v>1</v>
      </c>
    </row>
    <row r="748" customFormat="false" ht="15" hidden="false" customHeight="false" outlineLevel="0" collapsed="false">
      <c r="A748" s="0" t="s">
        <v>249</v>
      </c>
      <c r="B748" s="0" t="s">
        <v>305</v>
      </c>
      <c r="C748" s="0" t="s">
        <v>753</v>
      </c>
      <c r="D748" s="0" t="n">
        <v>6</v>
      </c>
      <c r="E748" s="0" t="n">
        <v>5</v>
      </c>
      <c r="F748" s="0" t="n">
        <f aca="false">D748*E748</f>
        <v>30</v>
      </c>
      <c r="G748" s="0" t="n">
        <f aca="false">ROUNDUP(F748/75,0)</f>
        <v>1</v>
      </c>
    </row>
    <row r="749" customFormat="false" ht="15" hidden="false" customHeight="false" outlineLevel="0" collapsed="false">
      <c r="A749" s="0" t="s">
        <v>249</v>
      </c>
      <c r="B749" s="0" t="s">
        <v>305</v>
      </c>
      <c r="C749" s="0" t="s">
        <v>755</v>
      </c>
      <c r="D749" s="0" t="n">
        <v>6</v>
      </c>
      <c r="E749" s="0" t="n">
        <v>2</v>
      </c>
      <c r="F749" s="0" t="n">
        <f aca="false">D749*E749</f>
        <v>12</v>
      </c>
      <c r="G749" s="0" t="n">
        <f aca="false">ROUNDUP(F749/75,0)</f>
        <v>1</v>
      </c>
    </row>
    <row r="750" customFormat="false" ht="15" hidden="false" customHeight="false" outlineLevel="0" collapsed="false">
      <c r="A750" s="0" t="s">
        <v>249</v>
      </c>
      <c r="B750" s="0" t="s">
        <v>306</v>
      </c>
      <c r="C750" s="0" t="s">
        <v>756</v>
      </c>
      <c r="D750" s="0" t="n">
        <v>12</v>
      </c>
      <c r="E750" s="0" t="n">
        <v>4</v>
      </c>
      <c r="F750" s="0" t="n">
        <f aca="false">D750*E750</f>
        <v>48</v>
      </c>
      <c r="G750" s="0" t="n">
        <f aca="false">ROUNDUP(F750/75,0)</f>
        <v>1</v>
      </c>
    </row>
    <row r="751" customFormat="false" ht="15" hidden="false" customHeight="false" outlineLevel="0" collapsed="false">
      <c r="A751" s="0" t="s">
        <v>249</v>
      </c>
      <c r="B751" s="0" t="s">
        <v>306</v>
      </c>
      <c r="C751" s="0" t="s">
        <v>753</v>
      </c>
      <c r="D751" s="0" t="n">
        <v>6</v>
      </c>
      <c r="E751" s="0" t="n">
        <v>5</v>
      </c>
      <c r="F751" s="0" t="n">
        <f aca="false">D751*E751</f>
        <v>30</v>
      </c>
      <c r="G751" s="0" t="n">
        <f aca="false">ROUNDUP(F751/75,0)</f>
        <v>1</v>
      </c>
    </row>
    <row r="752" customFormat="false" ht="15" hidden="false" customHeight="false" outlineLevel="0" collapsed="false">
      <c r="A752" s="0" t="s">
        <v>249</v>
      </c>
      <c r="B752" s="0" t="s">
        <v>306</v>
      </c>
      <c r="C752" s="0" t="s">
        <v>755</v>
      </c>
      <c r="D752" s="0" t="n">
        <v>6</v>
      </c>
      <c r="E752" s="0" t="n">
        <v>7</v>
      </c>
      <c r="F752" s="0" t="n">
        <f aca="false">D752*E752</f>
        <v>42</v>
      </c>
      <c r="G752" s="0" t="n">
        <f aca="false">ROUNDUP(F752/75,0)</f>
        <v>1</v>
      </c>
    </row>
    <row r="753" customFormat="false" ht="15" hidden="false" customHeight="false" outlineLevel="0" collapsed="false">
      <c r="A753" s="0" t="s">
        <v>249</v>
      </c>
      <c r="B753" s="0" t="s">
        <v>307</v>
      </c>
      <c r="C753" s="0" t="s">
        <v>756</v>
      </c>
      <c r="D753" s="0" t="n">
        <v>12</v>
      </c>
      <c r="E753" s="0" t="n">
        <v>3</v>
      </c>
      <c r="F753" s="0" t="n">
        <f aca="false">D753*E753</f>
        <v>36</v>
      </c>
      <c r="G753" s="0" t="n">
        <f aca="false">ROUNDUP(F753/75,0)</f>
        <v>1</v>
      </c>
    </row>
    <row r="754" customFormat="false" ht="15" hidden="false" customHeight="false" outlineLevel="0" collapsed="false">
      <c r="A754" s="0" t="s">
        <v>249</v>
      </c>
      <c r="B754" s="0" t="s">
        <v>307</v>
      </c>
      <c r="C754" s="0" t="s">
        <v>757</v>
      </c>
      <c r="D754" s="0" t="n">
        <v>6</v>
      </c>
      <c r="E754" s="0" t="n">
        <v>3</v>
      </c>
      <c r="F754" s="0" t="n">
        <f aca="false">D754*E754</f>
        <v>18</v>
      </c>
      <c r="G754" s="0" t="n">
        <f aca="false">ROUNDUP(F754/75,0)</f>
        <v>1</v>
      </c>
    </row>
    <row r="755" customFormat="false" ht="15" hidden="false" customHeight="false" outlineLevel="0" collapsed="false">
      <c r="A755" s="0" t="s">
        <v>249</v>
      </c>
      <c r="B755" s="0" t="s">
        <v>307</v>
      </c>
      <c r="C755" s="0" t="s">
        <v>753</v>
      </c>
      <c r="D755" s="0" t="n">
        <v>6</v>
      </c>
      <c r="E755" s="0" t="n">
        <v>3</v>
      </c>
      <c r="F755" s="0" t="n">
        <f aca="false">D755*E755</f>
        <v>18</v>
      </c>
      <c r="G755" s="0" t="n">
        <f aca="false">ROUNDUP(F755/75,0)</f>
        <v>1</v>
      </c>
    </row>
    <row r="756" customFormat="false" ht="15" hidden="false" customHeight="false" outlineLevel="0" collapsed="false">
      <c r="A756" s="0" t="s">
        <v>249</v>
      </c>
      <c r="B756" s="0" t="s">
        <v>307</v>
      </c>
      <c r="C756" s="0" t="s">
        <v>755</v>
      </c>
      <c r="D756" s="0" t="n">
        <v>6</v>
      </c>
      <c r="E756" s="0" t="n">
        <v>2</v>
      </c>
      <c r="F756" s="0" t="n">
        <f aca="false">D756*E756</f>
        <v>12</v>
      </c>
      <c r="G756" s="0" t="n">
        <f aca="false">ROUNDUP(F756/75,0)</f>
        <v>1</v>
      </c>
    </row>
    <row r="757" customFormat="false" ht="15" hidden="false" customHeight="false" outlineLevel="0" collapsed="false">
      <c r="A757" s="0" t="s">
        <v>249</v>
      </c>
      <c r="B757" s="0" t="s">
        <v>308</v>
      </c>
      <c r="C757" s="0" t="s">
        <v>756</v>
      </c>
      <c r="D757" s="0" t="n">
        <v>12</v>
      </c>
      <c r="E757" s="0" t="n">
        <v>1</v>
      </c>
      <c r="F757" s="0" t="n">
        <f aca="false">D757*E757</f>
        <v>12</v>
      </c>
      <c r="G757" s="0" t="n">
        <f aca="false">ROUNDUP(F757/75,0)</f>
        <v>1</v>
      </c>
    </row>
    <row r="758" customFormat="false" ht="15" hidden="false" customHeight="false" outlineLevel="0" collapsed="false">
      <c r="A758" s="0" t="s">
        <v>249</v>
      </c>
      <c r="B758" s="0" t="s">
        <v>308</v>
      </c>
      <c r="C758" s="0" t="s">
        <v>757</v>
      </c>
      <c r="D758" s="0" t="n">
        <v>6</v>
      </c>
      <c r="E758" s="0" t="n">
        <v>2</v>
      </c>
      <c r="F758" s="0" t="n">
        <f aca="false">D758*E758</f>
        <v>12</v>
      </c>
      <c r="G758" s="0" t="n">
        <f aca="false">ROUNDUP(F758/75,0)</f>
        <v>1</v>
      </c>
    </row>
    <row r="759" customFormat="false" ht="15" hidden="false" customHeight="false" outlineLevel="0" collapsed="false">
      <c r="A759" s="0" t="s">
        <v>249</v>
      </c>
      <c r="B759" s="0" t="s">
        <v>308</v>
      </c>
      <c r="C759" s="0" t="s">
        <v>753</v>
      </c>
      <c r="D759" s="0" t="n">
        <v>6</v>
      </c>
      <c r="E759" s="0" t="n">
        <v>1</v>
      </c>
      <c r="F759" s="0" t="n">
        <f aca="false">D759*E759</f>
        <v>6</v>
      </c>
      <c r="G759" s="0" t="n">
        <f aca="false">ROUNDUP(F759/75,0)</f>
        <v>1</v>
      </c>
    </row>
    <row r="760" customFormat="false" ht="15" hidden="false" customHeight="false" outlineLevel="0" collapsed="false">
      <c r="A760" s="0" t="s">
        <v>249</v>
      </c>
      <c r="B760" s="0" t="s">
        <v>308</v>
      </c>
      <c r="C760" s="0" t="s">
        <v>755</v>
      </c>
      <c r="D760" s="0" t="n">
        <v>6</v>
      </c>
      <c r="E760" s="0" t="n">
        <v>6</v>
      </c>
      <c r="F760" s="0" t="n">
        <f aca="false">D760*E760</f>
        <v>36</v>
      </c>
      <c r="G760" s="0" t="n">
        <f aca="false">ROUNDUP(F760/75,0)</f>
        <v>1</v>
      </c>
    </row>
    <row r="761" customFormat="false" ht="15" hidden="false" customHeight="false" outlineLevel="0" collapsed="false">
      <c r="A761" s="0" t="s">
        <v>249</v>
      </c>
      <c r="B761" s="0" t="s">
        <v>309</v>
      </c>
      <c r="C761" s="0" t="s">
        <v>756</v>
      </c>
      <c r="D761" s="0" t="n">
        <v>12</v>
      </c>
      <c r="E761" s="0" t="n">
        <v>11</v>
      </c>
      <c r="F761" s="0" t="n">
        <f aca="false">D761*E761</f>
        <v>132</v>
      </c>
      <c r="G761" s="0" t="n">
        <f aca="false">ROUNDUP(F761/75,0)</f>
        <v>2</v>
      </c>
    </row>
    <row r="762" customFormat="false" ht="15" hidden="false" customHeight="false" outlineLevel="0" collapsed="false">
      <c r="A762" s="0" t="s">
        <v>249</v>
      </c>
      <c r="B762" s="0" t="s">
        <v>309</v>
      </c>
      <c r="C762" s="0" t="s">
        <v>753</v>
      </c>
      <c r="D762" s="0" t="n">
        <v>6</v>
      </c>
      <c r="E762" s="0" t="n">
        <v>4</v>
      </c>
      <c r="F762" s="0" t="n">
        <f aca="false">D762*E762</f>
        <v>24</v>
      </c>
      <c r="G762" s="0" t="n">
        <f aca="false">ROUNDUP(F762/75,0)</f>
        <v>1</v>
      </c>
    </row>
    <row r="763" customFormat="false" ht="15" hidden="false" customHeight="false" outlineLevel="0" collapsed="false">
      <c r="A763" s="0" t="s">
        <v>249</v>
      </c>
      <c r="B763" s="0" t="s">
        <v>309</v>
      </c>
      <c r="C763" s="0" t="s">
        <v>755</v>
      </c>
      <c r="D763" s="0" t="n">
        <v>6</v>
      </c>
      <c r="E763" s="0" t="n">
        <v>3</v>
      </c>
      <c r="F763" s="0" t="n">
        <f aca="false">D763*E763</f>
        <v>18</v>
      </c>
      <c r="G763" s="0" t="n">
        <f aca="false">ROUNDUP(F763/75,0)</f>
        <v>1</v>
      </c>
    </row>
    <row r="764" customFormat="false" ht="15" hidden="false" customHeight="false" outlineLevel="0" collapsed="false">
      <c r="A764" s="0" t="s">
        <v>249</v>
      </c>
      <c r="B764" s="0" t="s">
        <v>310</v>
      </c>
      <c r="C764" s="0" t="s">
        <v>757</v>
      </c>
      <c r="D764" s="0" t="n">
        <v>6</v>
      </c>
      <c r="E764" s="0" t="n">
        <v>3</v>
      </c>
      <c r="F764" s="0" t="n">
        <f aca="false">D764*E764</f>
        <v>18</v>
      </c>
      <c r="G764" s="0" t="n">
        <f aca="false">ROUNDUP(F764/75,0)</f>
        <v>1</v>
      </c>
    </row>
    <row r="765" customFormat="false" ht="15" hidden="false" customHeight="false" outlineLevel="0" collapsed="false">
      <c r="A765" s="0" t="s">
        <v>249</v>
      </c>
      <c r="B765" s="0" t="s">
        <v>310</v>
      </c>
      <c r="C765" s="0" t="s">
        <v>753</v>
      </c>
      <c r="D765" s="0" t="n">
        <v>6</v>
      </c>
      <c r="E765" s="0" t="n">
        <v>2</v>
      </c>
      <c r="F765" s="0" t="n">
        <f aca="false">D765*E765</f>
        <v>12</v>
      </c>
      <c r="G765" s="0" t="n">
        <f aca="false">ROUNDUP(F765/75,0)</f>
        <v>1</v>
      </c>
    </row>
    <row r="766" customFormat="false" ht="15" hidden="false" customHeight="false" outlineLevel="0" collapsed="false">
      <c r="A766" s="0" t="s">
        <v>249</v>
      </c>
      <c r="B766" s="0" t="s">
        <v>310</v>
      </c>
      <c r="C766" s="0" t="s">
        <v>755</v>
      </c>
      <c r="D766" s="0" t="n">
        <v>6</v>
      </c>
      <c r="E766" s="0" t="n">
        <v>3</v>
      </c>
      <c r="F766" s="0" t="n">
        <f aca="false">D766*E766</f>
        <v>18</v>
      </c>
      <c r="G766" s="0" t="n">
        <f aca="false">ROUNDUP(F766/75,0)</f>
        <v>1</v>
      </c>
    </row>
    <row r="767" customFormat="false" ht="15" hidden="false" customHeight="false" outlineLevel="0" collapsed="false">
      <c r="A767" s="0" t="s">
        <v>249</v>
      </c>
      <c r="B767" s="0" t="s">
        <v>311</v>
      </c>
      <c r="C767" s="0" t="s">
        <v>757</v>
      </c>
      <c r="D767" s="0" t="n">
        <v>6</v>
      </c>
      <c r="E767" s="0" t="n">
        <v>1</v>
      </c>
      <c r="F767" s="0" t="n">
        <f aca="false">D767*E767</f>
        <v>6</v>
      </c>
      <c r="G767" s="0" t="n">
        <f aca="false">ROUNDUP(F767/75,0)</f>
        <v>1</v>
      </c>
    </row>
    <row r="768" customFormat="false" ht="15" hidden="false" customHeight="false" outlineLevel="0" collapsed="false">
      <c r="A768" s="0" t="s">
        <v>249</v>
      </c>
      <c r="B768" s="0" t="s">
        <v>311</v>
      </c>
      <c r="C768" s="0" t="s">
        <v>753</v>
      </c>
      <c r="D768" s="0" t="n">
        <v>6</v>
      </c>
      <c r="E768" s="0" t="n">
        <v>4</v>
      </c>
      <c r="F768" s="0" t="n">
        <f aca="false">D768*E768</f>
        <v>24</v>
      </c>
      <c r="G768" s="0" t="n">
        <f aca="false">ROUNDUP(F768/75,0)</f>
        <v>1</v>
      </c>
    </row>
    <row r="769" customFormat="false" ht="15" hidden="false" customHeight="false" outlineLevel="0" collapsed="false">
      <c r="A769" s="0" t="s">
        <v>249</v>
      </c>
      <c r="B769" s="0" t="s">
        <v>312</v>
      </c>
      <c r="C769" s="0" t="s">
        <v>756</v>
      </c>
      <c r="D769" s="0" t="n">
        <v>12</v>
      </c>
      <c r="E769" s="0" t="n">
        <v>4</v>
      </c>
      <c r="F769" s="0" t="n">
        <f aca="false">D769*E769</f>
        <v>48</v>
      </c>
      <c r="G769" s="0" t="n">
        <f aca="false">ROUNDUP(F769/75,0)</f>
        <v>1</v>
      </c>
    </row>
    <row r="770" customFormat="false" ht="15" hidden="false" customHeight="false" outlineLevel="0" collapsed="false">
      <c r="A770" s="0" t="s">
        <v>249</v>
      </c>
      <c r="B770" s="0" t="s">
        <v>312</v>
      </c>
      <c r="C770" s="0" t="s">
        <v>757</v>
      </c>
      <c r="D770" s="0" t="n">
        <v>6</v>
      </c>
      <c r="E770" s="0" t="n">
        <v>1</v>
      </c>
      <c r="F770" s="0" t="n">
        <f aca="false">D770*E770</f>
        <v>6</v>
      </c>
      <c r="G770" s="0" t="n">
        <f aca="false">ROUNDUP(F770/75,0)</f>
        <v>1</v>
      </c>
    </row>
    <row r="771" customFormat="false" ht="15" hidden="false" customHeight="false" outlineLevel="0" collapsed="false">
      <c r="A771" s="0" t="s">
        <v>249</v>
      </c>
      <c r="B771" s="0" t="s">
        <v>312</v>
      </c>
      <c r="C771" s="0" t="s">
        <v>753</v>
      </c>
      <c r="D771" s="0" t="n">
        <v>6</v>
      </c>
      <c r="E771" s="0" t="n">
        <v>2</v>
      </c>
      <c r="F771" s="0" t="n">
        <f aca="false">D771*E771</f>
        <v>12</v>
      </c>
      <c r="G771" s="0" t="n">
        <f aca="false">ROUNDUP(F771/75,0)</f>
        <v>1</v>
      </c>
    </row>
    <row r="772" customFormat="false" ht="15" hidden="false" customHeight="false" outlineLevel="0" collapsed="false">
      <c r="A772" s="0" t="s">
        <v>249</v>
      </c>
      <c r="B772" s="0" t="s">
        <v>312</v>
      </c>
      <c r="C772" s="0" t="s">
        <v>755</v>
      </c>
      <c r="D772" s="0" t="n">
        <v>6</v>
      </c>
      <c r="E772" s="0" t="n">
        <v>5</v>
      </c>
      <c r="F772" s="0" t="n">
        <f aca="false">D772*E772</f>
        <v>30</v>
      </c>
      <c r="G772" s="0" t="n">
        <f aca="false">ROUNDUP(F772/75,0)</f>
        <v>1</v>
      </c>
    </row>
    <row r="773" customFormat="false" ht="15" hidden="false" customHeight="false" outlineLevel="0" collapsed="false">
      <c r="A773" s="0" t="s">
        <v>249</v>
      </c>
      <c r="B773" s="0" t="s">
        <v>313</v>
      </c>
      <c r="C773" s="0" t="s">
        <v>756</v>
      </c>
      <c r="D773" s="0" t="n">
        <v>12</v>
      </c>
      <c r="E773" s="0" t="n">
        <v>2</v>
      </c>
      <c r="F773" s="0" t="n">
        <f aca="false">D773*E773</f>
        <v>24</v>
      </c>
      <c r="G773" s="0" t="n">
        <f aca="false">ROUNDUP(F773/75,0)</f>
        <v>1</v>
      </c>
    </row>
    <row r="774" customFormat="false" ht="15" hidden="false" customHeight="false" outlineLevel="0" collapsed="false">
      <c r="A774" s="0" t="s">
        <v>249</v>
      </c>
      <c r="B774" s="0" t="s">
        <v>313</v>
      </c>
      <c r="C774" s="0" t="s">
        <v>753</v>
      </c>
      <c r="D774" s="0" t="n">
        <v>6</v>
      </c>
      <c r="E774" s="0" t="n">
        <v>6</v>
      </c>
      <c r="F774" s="0" t="n">
        <f aca="false">D774*E774</f>
        <v>36</v>
      </c>
      <c r="G774" s="0" t="n">
        <f aca="false">ROUNDUP(F774/75,0)</f>
        <v>1</v>
      </c>
    </row>
    <row r="775" customFormat="false" ht="15" hidden="false" customHeight="false" outlineLevel="0" collapsed="false">
      <c r="A775" s="0" t="s">
        <v>249</v>
      </c>
      <c r="B775" s="0" t="s">
        <v>313</v>
      </c>
      <c r="C775" s="0" t="s">
        <v>755</v>
      </c>
      <c r="D775" s="0" t="n">
        <v>6</v>
      </c>
      <c r="E775" s="0" t="n">
        <v>2</v>
      </c>
      <c r="F775" s="0" t="n">
        <f aca="false">D775*E775</f>
        <v>12</v>
      </c>
      <c r="G775" s="0" t="n">
        <f aca="false">ROUNDUP(F775/75,0)</f>
        <v>1</v>
      </c>
    </row>
    <row r="776" customFormat="false" ht="15" hidden="false" customHeight="false" outlineLevel="0" collapsed="false">
      <c r="A776" s="0" t="s">
        <v>249</v>
      </c>
      <c r="B776" s="0" t="s">
        <v>314</v>
      </c>
      <c r="C776" s="0" t="s">
        <v>756</v>
      </c>
      <c r="D776" s="0" t="n">
        <v>12</v>
      </c>
      <c r="E776" s="0" t="n">
        <v>2</v>
      </c>
      <c r="F776" s="0" t="n">
        <f aca="false">D776*E776</f>
        <v>24</v>
      </c>
      <c r="G776" s="0" t="n">
        <f aca="false">ROUNDUP(F776/75,0)</f>
        <v>1</v>
      </c>
    </row>
    <row r="777" customFormat="false" ht="15" hidden="false" customHeight="false" outlineLevel="0" collapsed="false">
      <c r="A777" s="0" t="s">
        <v>249</v>
      </c>
      <c r="B777" s="0" t="s">
        <v>314</v>
      </c>
      <c r="C777" s="0" t="s">
        <v>757</v>
      </c>
      <c r="D777" s="0" t="n">
        <v>6</v>
      </c>
      <c r="E777" s="0" t="n">
        <v>5</v>
      </c>
      <c r="F777" s="0" t="n">
        <f aca="false">D777*E777</f>
        <v>30</v>
      </c>
      <c r="G777" s="0" t="n">
        <f aca="false">ROUNDUP(F777/75,0)</f>
        <v>1</v>
      </c>
    </row>
    <row r="778" customFormat="false" ht="15" hidden="false" customHeight="false" outlineLevel="0" collapsed="false">
      <c r="A778" s="0" t="s">
        <v>249</v>
      </c>
      <c r="B778" s="0" t="s">
        <v>314</v>
      </c>
      <c r="C778" s="0" t="s">
        <v>753</v>
      </c>
      <c r="D778" s="0" t="n">
        <v>6</v>
      </c>
      <c r="E778" s="0" t="n">
        <v>6</v>
      </c>
      <c r="F778" s="0" t="n">
        <f aca="false">D778*E778</f>
        <v>36</v>
      </c>
      <c r="G778" s="0" t="n">
        <f aca="false">ROUNDUP(F778/75,0)</f>
        <v>1</v>
      </c>
    </row>
    <row r="779" customFormat="false" ht="15" hidden="false" customHeight="false" outlineLevel="0" collapsed="false">
      <c r="A779" s="0" t="s">
        <v>249</v>
      </c>
      <c r="B779" s="0" t="s">
        <v>315</v>
      </c>
      <c r="C779" s="0" t="s">
        <v>756</v>
      </c>
      <c r="D779" s="0" t="n">
        <v>12</v>
      </c>
      <c r="E779" s="0" t="n">
        <v>1</v>
      </c>
      <c r="F779" s="0" t="n">
        <f aca="false">D779*E779</f>
        <v>12</v>
      </c>
      <c r="G779" s="0" t="n">
        <f aca="false">ROUNDUP(F779/75,0)</f>
        <v>1</v>
      </c>
    </row>
    <row r="780" customFormat="false" ht="15" hidden="false" customHeight="false" outlineLevel="0" collapsed="false">
      <c r="A780" s="0" t="s">
        <v>249</v>
      </c>
      <c r="B780" s="0" t="s">
        <v>315</v>
      </c>
      <c r="C780" s="0" t="s">
        <v>753</v>
      </c>
      <c r="D780" s="0" t="n">
        <v>6</v>
      </c>
      <c r="E780" s="0" t="n">
        <v>2</v>
      </c>
      <c r="F780" s="0" t="n">
        <f aca="false">D780*E780</f>
        <v>12</v>
      </c>
      <c r="G780" s="0" t="n">
        <f aca="false">ROUNDUP(F780/75,0)</f>
        <v>1</v>
      </c>
    </row>
    <row r="781" customFormat="false" ht="15" hidden="false" customHeight="false" outlineLevel="0" collapsed="false">
      <c r="A781" s="0" t="s">
        <v>249</v>
      </c>
      <c r="B781" s="0" t="s">
        <v>315</v>
      </c>
      <c r="C781" s="0" t="s">
        <v>755</v>
      </c>
      <c r="D781" s="0" t="n">
        <v>6</v>
      </c>
      <c r="E781" s="0" t="n">
        <v>7</v>
      </c>
      <c r="F781" s="0" t="n">
        <f aca="false">D781*E781</f>
        <v>42</v>
      </c>
      <c r="G781" s="0" t="n">
        <f aca="false">ROUNDUP(F781/75,0)</f>
        <v>1</v>
      </c>
    </row>
    <row r="782" customFormat="false" ht="15" hidden="false" customHeight="false" outlineLevel="0" collapsed="false">
      <c r="A782" s="0" t="s">
        <v>249</v>
      </c>
      <c r="B782" s="0" t="s">
        <v>316</v>
      </c>
      <c r="C782" s="0" t="s">
        <v>757</v>
      </c>
      <c r="D782" s="0" t="n">
        <v>6</v>
      </c>
      <c r="E782" s="0" t="n">
        <v>3</v>
      </c>
      <c r="F782" s="0" t="n">
        <f aca="false">D782*E782</f>
        <v>18</v>
      </c>
      <c r="G782" s="0" t="n">
        <f aca="false">ROUNDUP(F782/75,0)</f>
        <v>1</v>
      </c>
    </row>
    <row r="783" customFormat="false" ht="15" hidden="false" customHeight="false" outlineLevel="0" collapsed="false">
      <c r="A783" s="0" t="s">
        <v>249</v>
      </c>
      <c r="B783" s="0" t="s">
        <v>316</v>
      </c>
      <c r="C783" s="0" t="s">
        <v>753</v>
      </c>
      <c r="D783" s="0" t="n">
        <v>6</v>
      </c>
      <c r="E783" s="0" t="n">
        <v>13</v>
      </c>
      <c r="F783" s="0" t="n">
        <f aca="false">D783*E783</f>
        <v>78</v>
      </c>
      <c r="G783" s="0" t="n">
        <f aca="false">ROUNDUP(F783/75,0)</f>
        <v>2</v>
      </c>
    </row>
    <row r="784" customFormat="false" ht="15" hidden="false" customHeight="false" outlineLevel="0" collapsed="false">
      <c r="A784" s="0" t="s">
        <v>249</v>
      </c>
      <c r="B784" s="0" t="s">
        <v>316</v>
      </c>
      <c r="C784" s="0" t="s">
        <v>755</v>
      </c>
      <c r="D784" s="0" t="n">
        <v>6</v>
      </c>
      <c r="E784" s="0" t="n">
        <v>3</v>
      </c>
      <c r="F784" s="0" t="n">
        <f aca="false">D784*E784</f>
        <v>18</v>
      </c>
      <c r="G784" s="0" t="n">
        <f aca="false">ROUNDUP(F784/75,0)</f>
        <v>1</v>
      </c>
    </row>
    <row r="785" customFormat="false" ht="15" hidden="false" customHeight="false" outlineLevel="0" collapsed="false">
      <c r="A785" s="0" t="s">
        <v>249</v>
      </c>
      <c r="B785" s="0" t="s">
        <v>317</v>
      </c>
      <c r="C785" s="0" t="s">
        <v>757</v>
      </c>
      <c r="D785" s="0" t="n">
        <v>6</v>
      </c>
      <c r="E785" s="0" t="n">
        <v>2</v>
      </c>
      <c r="F785" s="0" t="n">
        <f aca="false">D785*E785</f>
        <v>12</v>
      </c>
      <c r="G785" s="0" t="n">
        <f aca="false">ROUNDUP(F785/75,0)</f>
        <v>1</v>
      </c>
    </row>
    <row r="786" customFormat="false" ht="15" hidden="false" customHeight="false" outlineLevel="0" collapsed="false">
      <c r="A786" s="0" t="s">
        <v>249</v>
      </c>
      <c r="B786" s="0" t="s">
        <v>317</v>
      </c>
      <c r="C786" s="0" t="s">
        <v>753</v>
      </c>
      <c r="D786" s="0" t="n">
        <v>6</v>
      </c>
      <c r="E786" s="0" t="n">
        <v>1</v>
      </c>
      <c r="F786" s="0" t="n">
        <f aca="false">D786*E786</f>
        <v>6</v>
      </c>
      <c r="G786" s="0" t="n">
        <f aca="false">ROUNDUP(F786/75,0)</f>
        <v>1</v>
      </c>
    </row>
    <row r="787" customFormat="false" ht="15" hidden="false" customHeight="false" outlineLevel="0" collapsed="false">
      <c r="A787" s="0" t="s">
        <v>249</v>
      </c>
      <c r="B787" s="0" t="s">
        <v>317</v>
      </c>
      <c r="C787" s="0" t="s">
        <v>755</v>
      </c>
      <c r="D787" s="0" t="n">
        <v>6</v>
      </c>
      <c r="E787" s="0" t="n">
        <v>6</v>
      </c>
      <c r="F787" s="0" t="n">
        <f aca="false">D787*E787</f>
        <v>36</v>
      </c>
      <c r="G787" s="0" t="n">
        <f aca="false">ROUNDUP(F787/75,0)</f>
        <v>1</v>
      </c>
    </row>
    <row r="788" customFormat="false" ht="15" hidden="false" customHeight="false" outlineLevel="0" collapsed="false">
      <c r="A788" s="0" t="s">
        <v>249</v>
      </c>
      <c r="B788" s="0" t="s">
        <v>318</v>
      </c>
      <c r="C788" s="0" t="s">
        <v>756</v>
      </c>
      <c r="D788" s="0" t="n">
        <v>12</v>
      </c>
      <c r="E788" s="0" t="n">
        <v>4</v>
      </c>
      <c r="F788" s="0" t="n">
        <f aca="false">D788*E788</f>
        <v>48</v>
      </c>
      <c r="G788" s="0" t="n">
        <f aca="false">ROUNDUP(F788/75,0)</f>
        <v>1</v>
      </c>
    </row>
    <row r="789" customFormat="false" ht="15" hidden="false" customHeight="false" outlineLevel="0" collapsed="false">
      <c r="A789" s="0" t="s">
        <v>249</v>
      </c>
      <c r="B789" s="0" t="s">
        <v>318</v>
      </c>
      <c r="C789" s="0" t="s">
        <v>753</v>
      </c>
      <c r="D789" s="0" t="n">
        <v>6</v>
      </c>
      <c r="E789" s="0" t="n">
        <v>4</v>
      </c>
      <c r="F789" s="0" t="n">
        <f aca="false">D789*E789</f>
        <v>24</v>
      </c>
      <c r="G789" s="0" t="n">
        <f aca="false">ROUNDUP(F789/75,0)</f>
        <v>1</v>
      </c>
    </row>
    <row r="790" customFormat="false" ht="15" hidden="false" customHeight="false" outlineLevel="0" collapsed="false">
      <c r="A790" s="0" t="s">
        <v>249</v>
      </c>
      <c r="B790" s="0" t="s">
        <v>318</v>
      </c>
      <c r="C790" s="0" t="s">
        <v>755</v>
      </c>
      <c r="D790" s="0" t="n">
        <v>6</v>
      </c>
      <c r="E790" s="0" t="n">
        <v>6</v>
      </c>
      <c r="F790" s="0" t="n">
        <f aca="false">D790*E790</f>
        <v>36</v>
      </c>
      <c r="G790" s="0" t="n">
        <f aca="false">ROUNDUP(F790/75,0)</f>
        <v>1</v>
      </c>
    </row>
    <row r="791" customFormat="false" ht="15" hidden="false" customHeight="false" outlineLevel="0" collapsed="false">
      <c r="A791" s="0" t="s">
        <v>249</v>
      </c>
      <c r="B791" s="0" t="s">
        <v>319</v>
      </c>
      <c r="C791" s="0" t="s">
        <v>756</v>
      </c>
      <c r="D791" s="0" t="n">
        <v>12</v>
      </c>
      <c r="E791" s="0" t="n">
        <v>1</v>
      </c>
      <c r="F791" s="0" t="n">
        <f aca="false">D791*E791</f>
        <v>12</v>
      </c>
      <c r="G791" s="0" t="n">
        <f aca="false">ROUNDUP(F791/75,0)</f>
        <v>1</v>
      </c>
    </row>
    <row r="792" customFormat="false" ht="15" hidden="false" customHeight="false" outlineLevel="0" collapsed="false">
      <c r="A792" s="0" t="s">
        <v>249</v>
      </c>
      <c r="B792" s="0" t="s">
        <v>319</v>
      </c>
      <c r="C792" s="0" t="s">
        <v>757</v>
      </c>
      <c r="D792" s="0" t="n">
        <v>6</v>
      </c>
      <c r="E792" s="0" t="n">
        <v>2</v>
      </c>
      <c r="F792" s="0" t="n">
        <f aca="false">D792*E792</f>
        <v>12</v>
      </c>
      <c r="G792" s="0" t="n">
        <f aca="false">ROUNDUP(F792/75,0)</f>
        <v>1</v>
      </c>
    </row>
    <row r="793" customFormat="false" ht="15" hidden="false" customHeight="false" outlineLevel="0" collapsed="false">
      <c r="A793" s="0" t="s">
        <v>249</v>
      </c>
      <c r="B793" s="0" t="s">
        <v>319</v>
      </c>
      <c r="C793" s="0" t="s">
        <v>753</v>
      </c>
      <c r="D793" s="0" t="n">
        <v>6</v>
      </c>
      <c r="E793" s="0" t="n">
        <v>7</v>
      </c>
      <c r="F793" s="0" t="n">
        <f aca="false">D793*E793</f>
        <v>42</v>
      </c>
      <c r="G793" s="0" t="n">
        <f aca="false">ROUNDUP(F793/75,0)</f>
        <v>1</v>
      </c>
    </row>
    <row r="794" customFormat="false" ht="15" hidden="false" customHeight="false" outlineLevel="0" collapsed="false">
      <c r="A794" s="0" t="s">
        <v>249</v>
      </c>
      <c r="B794" s="0" t="s">
        <v>319</v>
      </c>
      <c r="C794" s="0" t="s">
        <v>755</v>
      </c>
      <c r="D794" s="0" t="n">
        <v>6</v>
      </c>
      <c r="E794" s="0" t="n">
        <v>4</v>
      </c>
      <c r="F794" s="0" t="n">
        <f aca="false">D794*E794</f>
        <v>24</v>
      </c>
      <c r="G794" s="0" t="n">
        <f aca="false">ROUNDUP(F794/75,0)</f>
        <v>1</v>
      </c>
    </row>
    <row r="795" customFormat="false" ht="15" hidden="false" customHeight="false" outlineLevel="0" collapsed="false">
      <c r="A795" s="0" t="s">
        <v>249</v>
      </c>
      <c r="B795" s="0" t="s">
        <v>320</v>
      </c>
      <c r="C795" s="0" t="s">
        <v>756</v>
      </c>
      <c r="D795" s="0" t="n">
        <v>12</v>
      </c>
      <c r="E795" s="0" t="n">
        <v>3</v>
      </c>
      <c r="F795" s="0" t="n">
        <f aca="false">D795*E795</f>
        <v>36</v>
      </c>
      <c r="G795" s="0" t="n">
        <f aca="false">ROUNDUP(F795/75,0)</f>
        <v>1</v>
      </c>
    </row>
    <row r="796" customFormat="false" ht="15" hidden="false" customHeight="false" outlineLevel="0" collapsed="false">
      <c r="A796" s="0" t="s">
        <v>249</v>
      </c>
      <c r="B796" s="0" t="s">
        <v>320</v>
      </c>
      <c r="C796" s="0" t="s">
        <v>753</v>
      </c>
      <c r="D796" s="0" t="n">
        <v>6</v>
      </c>
      <c r="E796" s="0" t="n">
        <v>3</v>
      </c>
      <c r="F796" s="0" t="n">
        <f aca="false">D796*E796</f>
        <v>18</v>
      </c>
      <c r="G796" s="0" t="n">
        <f aca="false">ROUNDUP(F796/75,0)</f>
        <v>1</v>
      </c>
    </row>
    <row r="797" customFormat="false" ht="15" hidden="false" customHeight="false" outlineLevel="0" collapsed="false">
      <c r="A797" s="0" t="s">
        <v>249</v>
      </c>
      <c r="B797" s="0" t="s">
        <v>320</v>
      </c>
      <c r="C797" s="0" t="s">
        <v>755</v>
      </c>
      <c r="D797" s="0" t="n">
        <v>6</v>
      </c>
      <c r="E797" s="0" t="n">
        <v>1</v>
      </c>
      <c r="F797" s="0" t="n">
        <f aca="false">D797*E797</f>
        <v>6</v>
      </c>
      <c r="G797" s="0" t="n">
        <f aca="false">ROUNDUP(F797/75,0)</f>
        <v>1</v>
      </c>
    </row>
    <row r="798" customFormat="false" ht="15" hidden="false" customHeight="false" outlineLevel="0" collapsed="false">
      <c r="A798" s="0" t="s">
        <v>249</v>
      </c>
      <c r="B798" s="0" t="s">
        <v>321</v>
      </c>
      <c r="C798" s="0" t="s">
        <v>757</v>
      </c>
      <c r="D798" s="0" t="n">
        <v>6</v>
      </c>
      <c r="E798" s="0" t="n">
        <v>5</v>
      </c>
      <c r="F798" s="0" t="n">
        <f aca="false">D798*E798</f>
        <v>30</v>
      </c>
      <c r="G798" s="0" t="n">
        <f aca="false">ROUNDUP(F798/75,0)</f>
        <v>1</v>
      </c>
    </row>
    <row r="799" customFormat="false" ht="15" hidden="false" customHeight="false" outlineLevel="0" collapsed="false">
      <c r="A799" s="0" t="s">
        <v>249</v>
      </c>
      <c r="B799" s="0" t="s">
        <v>321</v>
      </c>
      <c r="C799" s="0" t="s">
        <v>753</v>
      </c>
      <c r="D799" s="0" t="n">
        <v>6</v>
      </c>
      <c r="E799" s="0" t="n">
        <v>5</v>
      </c>
      <c r="F799" s="0" t="n">
        <f aca="false">D799*E799</f>
        <v>30</v>
      </c>
      <c r="G799" s="0" t="n">
        <f aca="false">ROUNDUP(F799/75,0)</f>
        <v>1</v>
      </c>
    </row>
    <row r="800" customFormat="false" ht="15" hidden="false" customHeight="false" outlineLevel="0" collapsed="false">
      <c r="A800" s="0" t="s">
        <v>249</v>
      </c>
      <c r="B800" s="0" t="s">
        <v>321</v>
      </c>
      <c r="C800" s="0" t="s">
        <v>755</v>
      </c>
      <c r="D800" s="0" t="n">
        <v>6</v>
      </c>
      <c r="E800" s="0" t="n">
        <v>2</v>
      </c>
      <c r="F800" s="0" t="n">
        <f aca="false">D800*E800</f>
        <v>12</v>
      </c>
      <c r="G800" s="0" t="n">
        <f aca="false">ROUNDUP(F800/75,0)</f>
        <v>1</v>
      </c>
    </row>
    <row r="801" customFormat="false" ht="15" hidden="false" customHeight="false" outlineLevel="0" collapsed="false">
      <c r="A801" s="0" t="s">
        <v>249</v>
      </c>
      <c r="B801" s="0" t="s">
        <v>322</v>
      </c>
      <c r="C801" s="0" t="s">
        <v>756</v>
      </c>
      <c r="D801" s="0" t="n">
        <v>12</v>
      </c>
      <c r="E801" s="0" t="n">
        <v>1</v>
      </c>
      <c r="F801" s="0" t="n">
        <f aca="false">D801*E801</f>
        <v>12</v>
      </c>
      <c r="G801" s="0" t="n">
        <f aca="false">ROUNDUP(F801/75,0)</f>
        <v>1</v>
      </c>
    </row>
    <row r="802" customFormat="false" ht="15" hidden="false" customHeight="false" outlineLevel="0" collapsed="false">
      <c r="A802" s="0" t="s">
        <v>249</v>
      </c>
      <c r="B802" s="0" t="s">
        <v>322</v>
      </c>
      <c r="C802" s="0" t="s">
        <v>757</v>
      </c>
      <c r="D802" s="0" t="n">
        <v>6</v>
      </c>
      <c r="E802" s="0" t="n">
        <v>3</v>
      </c>
      <c r="F802" s="0" t="n">
        <f aca="false">D802*E802</f>
        <v>18</v>
      </c>
      <c r="G802" s="0" t="n">
        <f aca="false">ROUNDUP(F802/75,0)</f>
        <v>1</v>
      </c>
    </row>
    <row r="803" customFormat="false" ht="15" hidden="false" customHeight="false" outlineLevel="0" collapsed="false">
      <c r="A803" s="0" t="s">
        <v>249</v>
      </c>
      <c r="B803" s="0" t="s">
        <v>322</v>
      </c>
      <c r="C803" s="0" t="s">
        <v>753</v>
      </c>
      <c r="D803" s="0" t="n">
        <v>6</v>
      </c>
      <c r="E803" s="0" t="n">
        <v>9</v>
      </c>
      <c r="F803" s="0" t="n">
        <f aca="false">D803*E803</f>
        <v>54</v>
      </c>
      <c r="G803" s="0" t="n">
        <f aca="false">ROUNDUP(F803/75,0)</f>
        <v>1</v>
      </c>
    </row>
    <row r="804" customFormat="false" ht="15" hidden="false" customHeight="false" outlineLevel="0" collapsed="false">
      <c r="A804" s="0" t="s">
        <v>249</v>
      </c>
      <c r="B804" s="0" t="s">
        <v>322</v>
      </c>
      <c r="C804" s="0" t="s">
        <v>755</v>
      </c>
      <c r="D804" s="0" t="n">
        <v>6</v>
      </c>
      <c r="E804" s="0" t="n">
        <v>4</v>
      </c>
      <c r="F804" s="0" t="n">
        <f aca="false">D804*E804</f>
        <v>24</v>
      </c>
      <c r="G804" s="0" t="n">
        <f aca="false">ROUNDUP(F804/75,0)</f>
        <v>1</v>
      </c>
    </row>
    <row r="805" customFormat="false" ht="15" hidden="false" customHeight="false" outlineLevel="0" collapsed="false">
      <c r="A805" s="0" t="s">
        <v>249</v>
      </c>
      <c r="B805" s="0" t="s">
        <v>323</v>
      </c>
      <c r="C805" s="0" t="s">
        <v>756</v>
      </c>
      <c r="D805" s="0" t="n">
        <v>12</v>
      </c>
      <c r="E805" s="0" t="n">
        <v>6</v>
      </c>
      <c r="F805" s="0" t="n">
        <f aca="false">D805*E805</f>
        <v>72</v>
      </c>
      <c r="G805" s="0" t="n">
        <f aca="false">ROUNDUP(F805/75,0)</f>
        <v>1</v>
      </c>
    </row>
    <row r="806" customFormat="false" ht="15" hidden="false" customHeight="false" outlineLevel="0" collapsed="false">
      <c r="A806" s="0" t="s">
        <v>249</v>
      </c>
      <c r="B806" s="0" t="s">
        <v>323</v>
      </c>
      <c r="C806" s="0" t="s">
        <v>753</v>
      </c>
      <c r="D806" s="0" t="n">
        <v>6</v>
      </c>
      <c r="E806" s="0" t="n">
        <v>10</v>
      </c>
      <c r="F806" s="0" t="n">
        <f aca="false">D806*E806</f>
        <v>60</v>
      </c>
      <c r="G806" s="0" t="n">
        <f aca="false">ROUNDUP(F806/75,0)</f>
        <v>1</v>
      </c>
    </row>
    <row r="807" customFormat="false" ht="15" hidden="false" customHeight="false" outlineLevel="0" collapsed="false">
      <c r="A807" s="0" t="s">
        <v>249</v>
      </c>
      <c r="B807" s="0" t="s">
        <v>323</v>
      </c>
      <c r="C807" s="0" t="s">
        <v>755</v>
      </c>
      <c r="D807" s="0" t="n">
        <v>6</v>
      </c>
      <c r="E807" s="0" t="n">
        <v>3</v>
      </c>
      <c r="F807" s="0" t="n">
        <f aca="false">D807*E807</f>
        <v>18</v>
      </c>
      <c r="G807" s="0" t="n">
        <f aca="false">ROUNDUP(F807/75,0)</f>
        <v>1</v>
      </c>
    </row>
    <row r="808" customFormat="false" ht="15" hidden="false" customHeight="false" outlineLevel="0" collapsed="false">
      <c r="A808" s="0" t="s">
        <v>249</v>
      </c>
      <c r="B808" s="0" t="s">
        <v>324</v>
      </c>
      <c r="C808" s="0" t="s">
        <v>756</v>
      </c>
      <c r="D808" s="0" t="n">
        <v>12</v>
      </c>
      <c r="E808" s="0" t="n">
        <v>3</v>
      </c>
      <c r="F808" s="0" t="n">
        <f aca="false">D808*E808</f>
        <v>36</v>
      </c>
      <c r="G808" s="0" t="n">
        <f aca="false">ROUNDUP(F808/75,0)</f>
        <v>1</v>
      </c>
    </row>
    <row r="809" customFormat="false" ht="15" hidden="false" customHeight="false" outlineLevel="0" collapsed="false">
      <c r="A809" s="0" t="s">
        <v>249</v>
      </c>
      <c r="B809" s="0" t="s">
        <v>324</v>
      </c>
      <c r="C809" s="0" t="s">
        <v>757</v>
      </c>
      <c r="D809" s="0" t="n">
        <v>6</v>
      </c>
      <c r="E809" s="0" t="n">
        <v>1</v>
      </c>
      <c r="F809" s="0" t="n">
        <f aca="false">D809*E809</f>
        <v>6</v>
      </c>
      <c r="G809" s="0" t="n">
        <f aca="false">ROUNDUP(F809/75,0)</f>
        <v>1</v>
      </c>
    </row>
    <row r="810" customFormat="false" ht="15" hidden="false" customHeight="false" outlineLevel="0" collapsed="false">
      <c r="A810" s="0" t="s">
        <v>249</v>
      </c>
      <c r="B810" s="0" t="s">
        <v>324</v>
      </c>
      <c r="C810" s="0" t="s">
        <v>753</v>
      </c>
      <c r="D810" s="0" t="n">
        <v>6</v>
      </c>
      <c r="E810" s="0" t="n">
        <v>10</v>
      </c>
      <c r="F810" s="0" t="n">
        <f aca="false">D810*E810</f>
        <v>60</v>
      </c>
      <c r="G810" s="0" t="n">
        <f aca="false">ROUNDUP(F810/75,0)</f>
        <v>1</v>
      </c>
    </row>
    <row r="811" customFormat="false" ht="15" hidden="false" customHeight="false" outlineLevel="0" collapsed="false">
      <c r="A811" s="0" t="s">
        <v>249</v>
      </c>
      <c r="B811" s="0" t="s">
        <v>324</v>
      </c>
      <c r="C811" s="0" t="s">
        <v>755</v>
      </c>
      <c r="D811" s="0" t="n">
        <v>6</v>
      </c>
      <c r="E811" s="0" t="n">
        <v>6</v>
      </c>
      <c r="F811" s="0" t="n">
        <f aca="false">D811*E811</f>
        <v>36</v>
      </c>
      <c r="G811" s="0" t="n">
        <f aca="false">ROUNDUP(F811/75,0)</f>
        <v>1</v>
      </c>
    </row>
    <row r="812" customFormat="false" ht="15" hidden="false" customHeight="false" outlineLevel="0" collapsed="false">
      <c r="A812" s="0" t="s">
        <v>249</v>
      </c>
      <c r="B812" s="0" t="s">
        <v>325</v>
      </c>
      <c r="C812" s="0" t="s">
        <v>756</v>
      </c>
      <c r="D812" s="0" t="n">
        <v>12</v>
      </c>
      <c r="E812" s="0" t="n">
        <v>5</v>
      </c>
      <c r="F812" s="0" t="n">
        <f aca="false">D812*E812</f>
        <v>60</v>
      </c>
      <c r="G812" s="0" t="n">
        <f aca="false">ROUNDUP(F812/75,0)</f>
        <v>1</v>
      </c>
    </row>
    <row r="813" customFormat="false" ht="15" hidden="false" customHeight="false" outlineLevel="0" collapsed="false">
      <c r="A813" s="0" t="s">
        <v>249</v>
      </c>
      <c r="B813" s="0" t="s">
        <v>325</v>
      </c>
      <c r="C813" s="0" t="s">
        <v>753</v>
      </c>
      <c r="D813" s="0" t="n">
        <v>6</v>
      </c>
      <c r="E813" s="0" t="n">
        <v>7</v>
      </c>
      <c r="F813" s="0" t="n">
        <f aca="false">D813*E813</f>
        <v>42</v>
      </c>
      <c r="G813" s="0" t="n">
        <f aca="false">ROUNDUP(F813/75,0)</f>
        <v>1</v>
      </c>
    </row>
    <row r="814" customFormat="false" ht="15" hidden="false" customHeight="false" outlineLevel="0" collapsed="false">
      <c r="A814" s="0" t="s">
        <v>249</v>
      </c>
      <c r="B814" s="0" t="s">
        <v>325</v>
      </c>
      <c r="C814" s="0" t="s">
        <v>755</v>
      </c>
      <c r="D814" s="0" t="n">
        <v>6</v>
      </c>
      <c r="E814" s="0" t="n">
        <v>8</v>
      </c>
      <c r="F814" s="0" t="n">
        <f aca="false">D814*E814</f>
        <v>48</v>
      </c>
      <c r="G814" s="0" t="n">
        <f aca="false">ROUNDUP(F814/75,0)</f>
        <v>1</v>
      </c>
    </row>
    <row r="815" customFormat="false" ht="15" hidden="false" customHeight="false" outlineLevel="0" collapsed="false">
      <c r="A815" s="0" t="s">
        <v>249</v>
      </c>
      <c r="B815" s="0" t="s">
        <v>326</v>
      </c>
      <c r="C815" s="0" t="s">
        <v>757</v>
      </c>
      <c r="D815" s="0" t="n">
        <v>6</v>
      </c>
      <c r="E815" s="0" t="n">
        <v>3</v>
      </c>
      <c r="F815" s="0" t="n">
        <f aca="false">D815*E815</f>
        <v>18</v>
      </c>
      <c r="G815" s="0" t="n">
        <f aca="false">ROUNDUP(F815/75,0)</f>
        <v>1</v>
      </c>
    </row>
    <row r="816" customFormat="false" ht="15" hidden="false" customHeight="false" outlineLevel="0" collapsed="false">
      <c r="A816" s="0" t="s">
        <v>249</v>
      </c>
      <c r="B816" s="0" t="s">
        <v>326</v>
      </c>
      <c r="C816" s="0" t="s">
        <v>753</v>
      </c>
      <c r="D816" s="0" t="n">
        <v>6</v>
      </c>
      <c r="E816" s="0" t="n">
        <v>10</v>
      </c>
      <c r="F816" s="0" t="n">
        <f aca="false">D816*E816</f>
        <v>60</v>
      </c>
      <c r="G816" s="0" t="n">
        <f aca="false">ROUNDUP(F816/75,0)</f>
        <v>1</v>
      </c>
    </row>
    <row r="817" customFormat="false" ht="15" hidden="false" customHeight="false" outlineLevel="0" collapsed="false">
      <c r="A817" s="0" t="s">
        <v>249</v>
      </c>
      <c r="B817" s="0" t="s">
        <v>326</v>
      </c>
      <c r="C817" s="0" t="s">
        <v>755</v>
      </c>
      <c r="D817" s="0" t="n">
        <v>6</v>
      </c>
      <c r="E817" s="0" t="n">
        <v>7</v>
      </c>
      <c r="F817" s="0" t="n">
        <f aca="false">D817*E817</f>
        <v>42</v>
      </c>
      <c r="G817" s="0" t="n">
        <f aca="false">ROUNDUP(F817/75,0)</f>
        <v>1</v>
      </c>
    </row>
    <row r="818" customFormat="false" ht="15" hidden="false" customHeight="false" outlineLevel="0" collapsed="false">
      <c r="A818" s="0" t="s">
        <v>249</v>
      </c>
      <c r="B818" s="0" t="s">
        <v>327</v>
      </c>
      <c r="C818" s="0" t="s">
        <v>756</v>
      </c>
      <c r="D818" s="0" t="n">
        <v>12</v>
      </c>
      <c r="E818" s="0" t="n">
        <v>4</v>
      </c>
      <c r="F818" s="0" t="n">
        <f aca="false">D818*E818</f>
        <v>48</v>
      </c>
      <c r="G818" s="0" t="n">
        <f aca="false">ROUNDUP(F818/75,0)</f>
        <v>1</v>
      </c>
    </row>
    <row r="819" customFormat="false" ht="15" hidden="false" customHeight="false" outlineLevel="0" collapsed="false">
      <c r="A819" s="0" t="s">
        <v>249</v>
      </c>
      <c r="B819" s="0" t="s">
        <v>327</v>
      </c>
      <c r="C819" s="0" t="s">
        <v>757</v>
      </c>
      <c r="D819" s="0" t="n">
        <v>6</v>
      </c>
      <c r="E819" s="0" t="n">
        <v>4</v>
      </c>
      <c r="F819" s="0" t="n">
        <f aca="false">D819*E819</f>
        <v>24</v>
      </c>
      <c r="G819" s="0" t="n">
        <f aca="false">ROUNDUP(F819/75,0)</f>
        <v>1</v>
      </c>
    </row>
    <row r="820" customFormat="false" ht="15" hidden="false" customHeight="false" outlineLevel="0" collapsed="false">
      <c r="A820" s="0" t="s">
        <v>249</v>
      </c>
      <c r="B820" s="0" t="s">
        <v>327</v>
      </c>
      <c r="C820" s="0" t="s">
        <v>753</v>
      </c>
      <c r="D820" s="0" t="n">
        <v>6</v>
      </c>
      <c r="E820" s="0" t="n">
        <v>11</v>
      </c>
      <c r="F820" s="0" t="n">
        <f aca="false">D820*E820</f>
        <v>66</v>
      </c>
      <c r="G820" s="0" t="n">
        <f aca="false">ROUNDUP(F820/75,0)</f>
        <v>1</v>
      </c>
    </row>
    <row r="821" customFormat="false" ht="15" hidden="false" customHeight="false" outlineLevel="0" collapsed="false">
      <c r="A821" s="0" t="s">
        <v>249</v>
      </c>
      <c r="B821" s="0" t="s">
        <v>327</v>
      </c>
      <c r="C821" s="0" t="s">
        <v>755</v>
      </c>
      <c r="D821" s="0" t="n">
        <v>6</v>
      </c>
      <c r="E821" s="0" t="n">
        <v>5</v>
      </c>
      <c r="F821" s="0" t="n">
        <f aca="false">D821*E821</f>
        <v>30</v>
      </c>
      <c r="G821" s="0" t="n">
        <f aca="false">ROUNDUP(F821/75,0)</f>
        <v>1</v>
      </c>
    </row>
    <row r="822" customFormat="false" ht="15" hidden="false" customHeight="false" outlineLevel="0" collapsed="false">
      <c r="A822" s="0" t="s">
        <v>249</v>
      </c>
      <c r="B822" s="0" t="s">
        <v>328</v>
      </c>
      <c r="C822" s="0" t="s">
        <v>756</v>
      </c>
      <c r="D822" s="0" t="n">
        <v>12</v>
      </c>
      <c r="E822" s="0" t="n">
        <v>2</v>
      </c>
      <c r="F822" s="0" t="n">
        <f aca="false">D822*E822</f>
        <v>24</v>
      </c>
      <c r="G822" s="0" t="n">
        <f aca="false">ROUNDUP(F822/75,0)</f>
        <v>1</v>
      </c>
    </row>
    <row r="823" customFormat="false" ht="15" hidden="false" customHeight="false" outlineLevel="0" collapsed="false">
      <c r="A823" s="0" t="s">
        <v>249</v>
      </c>
      <c r="B823" s="0" t="s">
        <v>328</v>
      </c>
      <c r="C823" s="0" t="s">
        <v>757</v>
      </c>
      <c r="D823" s="0" t="n">
        <v>6</v>
      </c>
      <c r="E823" s="0" t="n">
        <v>1</v>
      </c>
      <c r="F823" s="0" t="n">
        <f aca="false">D823*E823</f>
        <v>6</v>
      </c>
      <c r="G823" s="0" t="n">
        <f aca="false">ROUNDUP(F823/75,0)</f>
        <v>1</v>
      </c>
    </row>
    <row r="824" customFormat="false" ht="15" hidden="false" customHeight="false" outlineLevel="0" collapsed="false">
      <c r="A824" s="0" t="s">
        <v>249</v>
      </c>
      <c r="B824" s="0" t="s">
        <v>328</v>
      </c>
      <c r="C824" s="0" t="s">
        <v>753</v>
      </c>
      <c r="D824" s="0" t="n">
        <v>6</v>
      </c>
      <c r="E824" s="0" t="n">
        <v>4</v>
      </c>
      <c r="F824" s="0" t="n">
        <f aca="false">D824*E824</f>
        <v>24</v>
      </c>
      <c r="G824" s="0" t="n">
        <f aca="false">ROUNDUP(F824/75,0)</f>
        <v>1</v>
      </c>
    </row>
    <row r="825" customFormat="false" ht="15" hidden="false" customHeight="false" outlineLevel="0" collapsed="false">
      <c r="A825" s="0" t="s">
        <v>249</v>
      </c>
      <c r="B825" s="0" t="s">
        <v>328</v>
      </c>
      <c r="C825" s="0" t="s">
        <v>755</v>
      </c>
      <c r="D825" s="0" t="n">
        <v>6</v>
      </c>
      <c r="E825" s="0" t="n">
        <v>4</v>
      </c>
      <c r="F825" s="0" t="n">
        <f aca="false">D825*E825</f>
        <v>24</v>
      </c>
      <c r="G825" s="0" t="n">
        <f aca="false">ROUNDUP(F825/75,0)</f>
        <v>1</v>
      </c>
    </row>
    <row r="826" customFormat="false" ht="15" hidden="false" customHeight="false" outlineLevel="0" collapsed="false">
      <c r="A826" s="0" t="s">
        <v>249</v>
      </c>
      <c r="B826" s="0" t="s">
        <v>329</v>
      </c>
      <c r="C826" s="0" t="s">
        <v>757</v>
      </c>
      <c r="D826" s="0" t="n">
        <v>6</v>
      </c>
      <c r="E826" s="0" t="n">
        <v>1</v>
      </c>
      <c r="F826" s="0" t="n">
        <f aca="false">D826*E826</f>
        <v>6</v>
      </c>
      <c r="G826" s="0" t="n">
        <f aca="false">ROUNDUP(F826/75,0)</f>
        <v>1</v>
      </c>
    </row>
    <row r="827" customFormat="false" ht="15" hidden="false" customHeight="false" outlineLevel="0" collapsed="false">
      <c r="A827" s="0" t="s">
        <v>249</v>
      </c>
      <c r="B827" s="0" t="s">
        <v>329</v>
      </c>
      <c r="C827" s="0" t="s">
        <v>753</v>
      </c>
      <c r="D827" s="0" t="n">
        <v>6</v>
      </c>
      <c r="E827" s="0" t="n">
        <v>1</v>
      </c>
      <c r="F827" s="0" t="n">
        <f aca="false">D827*E827</f>
        <v>6</v>
      </c>
      <c r="G827" s="0" t="n">
        <f aca="false">ROUNDUP(F827/75,0)</f>
        <v>1</v>
      </c>
    </row>
    <row r="828" customFormat="false" ht="15" hidden="false" customHeight="false" outlineLevel="0" collapsed="false">
      <c r="A828" s="0" t="s">
        <v>249</v>
      </c>
      <c r="B828" s="0" t="s">
        <v>329</v>
      </c>
      <c r="C828" s="0" t="s">
        <v>755</v>
      </c>
      <c r="D828" s="0" t="n">
        <v>6</v>
      </c>
      <c r="E828" s="0" t="n">
        <v>2</v>
      </c>
      <c r="F828" s="0" t="n">
        <f aca="false">D828*E828</f>
        <v>12</v>
      </c>
      <c r="G828" s="0" t="n">
        <f aca="false">ROUNDUP(F828/75,0)</f>
        <v>1</v>
      </c>
    </row>
    <row r="829" customFormat="false" ht="15" hidden="false" customHeight="false" outlineLevel="0" collapsed="false">
      <c r="A829" s="0" t="s">
        <v>249</v>
      </c>
      <c r="B829" s="0" t="s">
        <v>330</v>
      </c>
      <c r="C829" s="0" t="s">
        <v>757</v>
      </c>
      <c r="D829" s="0" t="n">
        <v>6</v>
      </c>
      <c r="E829" s="0" t="n">
        <v>3</v>
      </c>
      <c r="F829" s="0" t="n">
        <f aca="false">D829*E829</f>
        <v>18</v>
      </c>
      <c r="G829" s="0" t="n">
        <f aca="false">ROUNDUP(F829/75,0)</f>
        <v>1</v>
      </c>
    </row>
    <row r="830" customFormat="false" ht="15" hidden="false" customHeight="false" outlineLevel="0" collapsed="false">
      <c r="A830" s="0" t="s">
        <v>249</v>
      </c>
      <c r="B830" s="0" t="s">
        <v>330</v>
      </c>
      <c r="C830" s="0" t="s">
        <v>753</v>
      </c>
      <c r="D830" s="0" t="n">
        <v>6</v>
      </c>
      <c r="E830" s="0" t="n">
        <v>7</v>
      </c>
      <c r="F830" s="0" t="n">
        <f aca="false">D830*E830</f>
        <v>42</v>
      </c>
      <c r="G830" s="0" t="n">
        <f aca="false">ROUNDUP(F830/75,0)</f>
        <v>1</v>
      </c>
    </row>
    <row r="831" customFormat="false" ht="15" hidden="false" customHeight="false" outlineLevel="0" collapsed="false">
      <c r="A831" s="0" t="s">
        <v>249</v>
      </c>
      <c r="B831" s="0" t="s">
        <v>330</v>
      </c>
      <c r="C831" s="0" t="s">
        <v>755</v>
      </c>
      <c r="D831" s="0" t="n">
        <v>6</v>
      </c>
      <c r="E831" s="0" t="n">
        <v>5</v>
      </c>
      <c r="F831" s="0" t="n">
        <f aca="false">D831*E831</f>
        <v>30</v>
      </c>
      <c r="G831" s="0" t="n">
        <f aca="false">ROUNDUP(F831/75,0)</f>
        <v>1</v>
      </c>
    </row>
    <row r="832" customFormat="false" ht="15" hidden="false" customHeight="false" outlineLevel="0" collapsed="false">
      <c r="A832" s="0" t="s">
        <v>249</v>
      </c>
      <c r="B832" s="0" t="s">
        <v>331</v>
      </c>
      <c r="C832" s="0" t="s">
        <v>756</v>
      </c>
      <c r="D832" s="0" t="n">
        <v>12</v>
      </c>
      <c r="E832" s="0" t="n">
        <v>1</v>
      </c>
      <c r="F832" s="0" t="n">
        <f aca="false">D832*E832</f>
        <v>12</v>
      </c>
      <c r="G832" s="0" t="n">
        <f aca="false">ROUNDUP(F832/75,0)</f>
        <v>1</v>
      </c>
    </row>
    <row r="833" customFormat="false" ht="15" hidden="false" customHeight="false" outlineLevel="0" collapsed="false">
      <c r="A833" s="0" t="s">
        <v>249</v>
      </c>
      <c r="B833" s="0" t="s">
        <v>331</v>
      </c>
      <c r="C833" s="0" t="s">
        <v>757</v>
      </c>
      <c r="D833" s="0" t="n">
        <v>6</v>
      </c>
      <c r="E833" s="0" t="n">
        <v>2</v>
      </c>
      <c r="F833" s="0" t="n">
        <f aca="false">D833*E833</f>
        <v>12</v>
      </c>
      <c r="G833" s="0" t="n">
        <f aca="false">ROUNDUP(F833/75,0)</f>
        <v>1</v>
      </c>
    </row>
    <row r="834" customFormat="false" ht="15" hidden="false" customHeight="false" outlineLevel="0" collapsed="false">
      <c r="A834" s="0" t="s">
        <v>249</v>
      </c>
      <c r="B834" s="0" t="s">
        <v>331</v>
      </c>
      <c r="C834" s="0" t="s">
        <v>753</v>
      </c>
      <c r="D834" s="0" t="n">
        <v>6</v>
      </c>
      <c r="E834" s="0" t="n">
        <v>12</v>
      </c>
      <c r="F834" s="0" t="n">
        <f aca="false">D834*E834</f>
        <v>72</v>
      </c>
      <c r="G834" s="0" t="n">
        <f aca="false">ROUNDUP(F834/75,0)</f>
        <v>1</v>
      </c>
    </row>
    <row r="835" customFormat="false" ht="15" hidden="false" customHeight="false" outlineLevel="0" collapsed="false">
      <c r="A835" s="0" t="s">
        <v>249</v>
      </c>
      <c r="B835" s="0" t="s">
        <v>331</v>
      </c>
      <c r="C835" s="0" t="s">
        <v>755</v>
      </c>
      <c r="D835" s="0" t="n">
        <v>6</v>
      </c>
      <c r="E835" s="0" t="n">
        <v>1</v>
      </c>
      <c r="F835" s="0" t="n">
        <f aca="false">D835*E835</f>
        <v>6</v>
      </c>
      <c r="G835" s="0" t="n">
        <f aca="false">ROUNDUP(F835/75,0)</f>
        <v>1</v>
      </c>
    </row>
    <row r="836" customFormat="false" ht="15" hidden="false" customHeight="false" outlineLevel="0" collapsed="false">
      <c r="A836" s="0" t="s">
        <v>249</v>
      </c>
      <c r="B836" s="0" t="s">
        <v>332</v>
      </c>
      <c r="C836" s="0" t="s">
        <v>756</v>
      </c>
      <c r="D836" s="0" t="n">
        <v>12</v>
      </c>
      <c r="E836" s="0" t="n">
        <v>1</v>
      </c>
      <c r="F836" s="0" t="n">
        <f aca="false">D836*E836</f>
        <v>12</v>
      </c>
      <c r="G836" s="0" t="n">
        <f aca="false">ROUNDUP(F836/75,0)</f>
        <v>1</v>
      </c>
    </row>
    <row r="837" customFormat="false" ht="15" hidden="false" customHeight="false" outlineLevel="0" collapsed="false">
      <c r="A837" s="0" t="s">
        <v>249</v>
      </c>
      <c r="B837" s="0" t="s">
        <v>332</v>
      </c>
      <c r="C837" s="0" t="s">
        <v>753</v>
      </c>
      <c r="D837" s="0" t="n">
        <v>6</v>
      </c>
      <c r="E837" s="0" t="n">
        <v>11</v>
      </c>
      <c r="F837" s="0" t="n">
        <f aca="false">D837*E837</f>
        <v>66</v>
      </c>
      <c r="G837" s="0" t="n">
        <f aca="false">ROUNDUP(F837/75,0)</f>
        <v>1</v>
      </c>
    </row>
    <row r="838" customFormat="false" ht="15" hidden="false" customHeight="false" outlineLevel="0" collapsed="false">
      <c r="A838" s="0" t="s">
        <v>249</v>
      </c>
      <c r="B838" s="0" t="s">
        <v>332</v>
      </c>
      <c r="C838" s="0" t="s">
        <v>755</v>
      </c>
      <c r="D838" s="0" t="n">
        <v>6</v>
      </c>
      <c r="E838" s="0" t="n">
        <v>1</v>
      </c>
      <c r="F838" s="0" t="n">
        <f aca="false">D838*E838</f>
        <v>6</v>
      </c>
      <c r="G838" s="0" t="n">
        <f aca="false">ROUNDUP(F838/75,0)</f>
        <v>1</v>
      </c>
    </row>
    <row r="839" customFormat="false" ht="15" hidden="false" customHeight="false" outlineLevel="0" collapsed="false">
      <c r="A839" s="0" t="s">
        <v>249</v>
      </c>
      <c r="B839" s="0" t="s">
        <v>333</v>
      </c>
      <c r="C839" s="0" t="s">
        <v>756</v>
      </c>
      <c r="D839" s="0" t="n">
        <v>12</v>
      </c>
      <c r="E839" s="0" t="n">
        <v>3</v>
      </c>
      <c r="F839" s="0" t="n">
        <f aca="false">D839*E839</f>
        <v>36</v>
      </c>
      <c r="G839" s="0" t="n">
        <f aca="false">ROUNDUP(F839/75,0)</f>
        <v>1</v>
      </c>
    </row>
    <row r="840" customFormat="false" ht="15" hidden="false" customHeight="false" outlineLevel="0" collapsed="false">
      <c r="A840" s="0" t="s">
        <v>249</v>
      </c>
      <c r="B840" s="0" t="s">
        <v>333</v>
      </c>
      <c r="C840" s="0" t="s">
        <v>757</v>
      </c>
      <c r="D840" s="0" t="n">
        <v>6</v>
      </c>
      <c r="E840" s="0" t="n">
        <v>1</v>
      </c>
      <c r="F840" s="0" t="n">
        <f aca="false">D840*E840</f>
        <v>6</v>
      </c>
      <c r="G840" s="0" t="n">
        <f aca="false">ROUNDUP(F840/75,0)</f>
        <v>1</v>
      </c>
    </row>
    <row r="841" customFormat="false" ht="15" hidden="false" customHeight="false" outlineLevel="0" collapsed="false">
      <c r="A841" s="0" t="s">
        <v>249</v>
      </c>
      <c r="B841" s="0" t="s">
        <v>333</v>
      </c>
      <c r="C841" s="0" t="s">
        <v>753</v>
      </c>
      <c r="D841" s="0" t="n">
        <v>6</v>
      </c>
      <c r="E841" s="0" t="n">
        <v>4</v>
      </c>
      <c r="F841" s="0" t="n">
        <f aca="false">D841*E841</f>
        <v>24</v>
      </c>
      <c r="G841" s="0" t="n">
        <f aca="false">ROUNDUP(F841/75,0)</f>
        <v>1</v>
      </c>
    </row>
    <row r="842" customFormat="false" ht="15" hidden="false" customHeight="false" outlineLevel="0" collapsed="false">
      <c r="A842" s="0" t="s">
        <v>249</v>
      </c>
      <c r="B842" s="0" t="s">
        <v>333</v>
      </c>
      <c r="C842" s="0" t="s">
        <v>755</v>
      </c>
      <c r="D842" s="0" t="n">
        <v>6</v>
      </c>
      <c r="E842" s="0" t="n">
        <v>1</v>
      </c>
      <c r="F842" s="0" t="n">
        <f aca="false">D842*E842</f>
        <v>6</v>
      </c>
      <c r="G842" s="0" t="n">
        <f aca="false">ROUNDUP(F842/75,0)</f>
        <v>1</v>
      </c>
    </row>
    <row r="843" customFormat="false" ht="15" hidden="false" customHeight="false" outlineLevel="0" collapsed="false">
      <c r="A843" s="0" t="s">
        <v>249</v>
      </c>
      <c r="B843" s="0" t="s">
        <v>334</v>
      </c>
      <c r="C843" s="0" t="s">
        <v>756</v>
      </c>
      <c r="D843" s="0" t="n">
        <v>12</v>
      </c>
      <c r="E843" s="0" t="n">
        <v>3</v>
      </c>
      <c r="F843" s="0" t="n">
        <f aca="false">D843*E843</f>
        <v>36</v>
      </c>
      <c r="G843" s="0" t="n">
        <f aca="false">ROUNDUP(F843/75,0)</f>
        <v>1</v>
      </c>
    </row>
    <row r="844" customFormat="false" ht="15" hidden="false" customHeight="false" outlineLevel="0" collapsed="false">
      <c r="A844" s="0" t="s">
        <v>249</v>
      </c>
      <c r="B844" s="0" t="s">
        <v>334</v>
      </c>
      <c r="C844" s="0" t="s">
        <v>757</v>
      </c>
      <c r="D844" s="0" t="n">
        <v>6</v>
      </c>
      <c r="E844" s="0" t="n">
        <v>2</v>
      </c>
      <c r="F844" s="0" t="n">
        <f aca="false">D844*E844</f>
        <v>12</v>
      </c>
      <c r="G844" s="0" t="n">
        <f aca="false">ROUNDUP(F844/75,0)</f>
        <v>1</v>
      </c>
    </row>
    <row r="845" customFormat="false" ht="15" hidden="false" customHeight="false" outlineLevel="0" collapsed="false">
      <c r="A845" s="0" t="s">
        <v>249</v>
      </c>
      <c r="B845" s="0" t="s">
        <v>334</v>
      </c>
      <c r="C845" s="0" t="s">
        <v>753</v>
      </c>
      <c r="D845" s="0" t="n">
        <v>6</v>
      </c>
      <c r="E845" s="0" t="n">
        <v>9</v>
      </c>
      <c r="F845" s="0" t="n">
        <f aca="false">D845*E845</f>
        <v>54</v>
      </c>
      <c r="G845" s="0" t="n">
        <f aca="false">ROUNDUP(F845/75,0)</f>
        <v>1</v>
      </c>
    </row>
    <row r="846" customFormat="false" ht="15" hidden="false" customHeight="false" outlineLevel="0" collapsed="false">
      <c r="A846" s="0" t="s">
        <v>249</v>
      </c>
      <c r="B846" s="0" t="s">
        <v>334</v>
      </c>
      <c r="C846" s="0" t="s">
        <v>755</v>
      </c>
      <c r="D846" s="0" t="n">
        <v>6</v>
      </c>
      <c r="E846" s="0" t="n">
        <v>1</v>
      </c>
      <c r="F846" s="0" t="n">
        <f aca="false">D846*E846</f>
        <v>6</v>
      </c>
      <c r="G846" s="0" t="n">
        <f aca="false">ROUNDUP(F846/75,0)</f>
        <v>1</v>
      </c>
    </row>
    <row r="847" customFormat="false" ht="15" hidden="false" customHeight="false" outlineLevel="0" collapsed="false">
      <c r="A847" s="0" t="s">
        <v>249</v>
      </c>
      <c r="B847" s="0" t="s">
        <v>335</v>
      </c>
      <c r="C847" s="0" t="s">
        <v>753</v>
      </c>
      <c r="D847" s="0" t="n">
        <v>6</v>
      </c>
      <c r="E847" s="0" t="n">
        <v>4</v>
      </c>
      <c r="F847" s="0" t="n">
        <f aca="false">D847*E847</f>
        <v>24</v>
      </c>
      <c r="G847" s="0" t="n">
        <f aca="false">ROUNDUP(F847/75,0)</f>
        <v>1</v>
      </c>
    </row>
    <row r="848" customFormat="false" ht="15" hidden="false" customHeight="false" outlineLevel="0" collapsed="false">
      <c r="A848" s="0" t="s">
        <v>249</v>
      </c>
      <c r="B848" s="0" t="s">
        <v>336</v>
      </c>
      <c r="C848" s="0" t="s">
        <v>756</v>
      </c>
      <c r="D848" s="0" t="n">
        <v>12</v>
      </c>
      <c r="E848" s="0" t="n">
        <v>4</v>
      </c>
      <c r="F848" s="0" t="n">
        <f aca="false">D848*E848</f>
        <v>48</v>
      </c>
      <c r="G848" s="0" t="n">
        <f aca="false">ROUNDUP(F848/75,0)</f>
        <v>1</v>
      </c>
    </row>
    <row r="849" customFormat="false" ht="15" hidden="false" customHeight="false" outlineLevel="0" collapsed="false">
      <c r="A849" s="0" t="s">
        <v>249</v>
      </c>
      <c r="B849" s="0" t="s">
        <v>336</v>
      </c>
      <c r="C849" s="0" t="s">
        <v>757</v>
      </c>
      <c r="D849" s="0" t="n">
        <v>6</v>
      </c>
      <c r="E849" s="0" t="n">
        <v>2</v>
      </c>
      <c r="F849" s="0" t="n">
        <f aca="false">D849*E849</f>
        <v>12</v>
      </c>
      <c r="G849" s="0" t="n">
        <f aca="false">ROUNDUP(F849/75,0)</f>
        <v>1</v>
      </c>
    </row>
    <row r="850" customFormat="false" ht="15" hidden="false" customHeight="false" outlineLevel="0" collapsed="false">
      <c r="A850" s="0" t="s">
        <v>249</v>
      </c>
      <c r="B850" s="0" t="s">
        <v>336</v>
      </c>
      <c r="C850" s="0" t="s">
        <v>753</v>
      </c>
      <c r="D850" s="0" t="n">
        <v>6</v>
      </c>
      <c r="E850" s="0" t="n">
        <v>3</v>
      </c>
      <c r="F850" s="0" t="n">
        <f aca="false">D850*E850</f>
        <v>18</v>
      </c>
      <c r="G850" s="0" t="n">
        <f aca="false">ROUNDUP(F850/75,0)</f>
        <v>1</v>
      </c>
    </row>
    <row r="851" customFormat="false" ht="15" hidden="false" customHeight="false" outlineLevel="0" collapsed="false">
      <c r="A851" s="0" t="s">
        <v>249</v>
      </c>
      <c r="B851" s="0" t="s">
        <v>336</v>
      </c>
      <c r="C851" s="0" t="s">
        <v>755</v>
      </c>
      <c r="D851" s="0" t="n">
        <v>6</v>
      </c>
      <c r="E851" s="0" t="n">
        <v>7</v>
      </c>
      <c r="F851" s="0" t="n">
        <f aca="false">D851*E851</f>
        <v>42</v>
      </c>
      <c r="G851" s="0" t="n">
        <f aca="false">ROUNDUP(F851/75,0)</f>
        <v>1</v>
      </c>
    </row>
    <row r="852" customFormat="false" ht="15" hidden="false" customHeight="false" outlineLevel="0" collapsed="false">
      <c r="A852" s="0" t="s">
        <v>249</v>
      </c>
      <c r="B852" s="0" t="s">
        <v>337</v>
      </c>
      <c r="C852" s="0" t="s">
        <v>756</v>
      </c>
      <c r="D852" s="0" t="n">
        <v>12</v>
      </c>
      <c r="E852" s="0" t="n">
        <v>1</v>
      </c>
      <c r="F852" s="0" t="n">
        <f aca="false">D852*E852</f>
        <v>12</v>
      </c>
      <c r="G852" s="0" t="n">
        <f aca="false">ROUNDUP(F852/75,0)</f>
        <v>1</v>
      </c>
    </row>
    <row r="853" customFormat="false" ht="15" hidden="false" customHeight="false" outlineLevel="0" collapsed="false">
      <c r="A853" s="0" t="s">
        <v>249</v>
      </c>
      <c r="B853" s="0" t="s">
        <v>337</v>
      </c>
      <c r="C853" s="0" t="s">
        <v>757</v>
      </c>
      <c r="D853" s="0" t="n">
        <v>6</v>
      </c>
      <c r="E853" s="0" t="n">
        <v>2</v>
      </c>
      <c r="F853" s="0" t="n">
        <f aca="false">D853*E853</f>
        <v>12</v>
      </c>
      <c r="G853" s="0" t="n">
        <f aca="false">ROUNDUP(F853/75,0)</f>
        <v>1</v>
      </c>
    </row>
    <row r="854" customFormat="false" ht="15" hidden="false" customHeight="false" outlineLevel="0" collapsed="false">
      <c r="A854" s="0" t="s">
        <v>249</v>
      </c>
      <c r="B854" s="0" t="s">
        <v>337</v>
      </c>
      <c r="C854" s="0" t="s">
        <v>753</v>
      </c>
      <c r="D854" s="0" t="n">
        <v>6</v>
      </c>
      <c r="E854" s="0" t="n">
        <v>7</v>
      </c>
      <c r="F854" s="0" t="n">
        <f aca="false">D854*E854</f>
        <v>42</v>
      </c>
      <c r="G854" s="0" t="n">
        <f aca="false">ROUNDUP(F854/75,0)</f>
        <v>1</v>
      </c>
    </row>
    <row r="855" customFormat="false" ht="15" hidden="false" customHeight="false" outlineLevel="0" collapsed="false">
      <c r="A855" s="0" t="s">
        <v>249</v>
      </c>
      <c r="B855" s="0" t="s">
        <v>337</v>
      </c>
      <c r="C855" s="0" t="s">
        <v>755</v>
      </c>
      <c r="D855" s="0" t="n">
        <v>6</v>
      </c>
      <c r="E855" s="0" t="n">
        <v>6</v>
      </c>
      <c r="F855" s="0" t="n">
        <f aca="false">D855*E855</f>
        <v>36</v>
      </c>
      <c r="G855" s="0" t="n">
        <f aca="false">ROUNDUP(F855/75,0)</f>
        <v>1</v>
      </c>
    </row>
    <row r="856" customFormat="false" ht="15" hidden="false" customHeight="false" outlineLevel="0" collapsed="false">
      <c r="A856" s="0" t="s">
        <v>249</v>
      </c>
      <c r="B856" s="0" t="s">
        <v>338</v>
      </c>
      <c r="C856" s="0" t="s">
        <v>757</v>
      </c>
      <c r="D856" s="0" t="n">
        <v>6</v>
      </c>
      <c r="E856" s="0" t="n">
        <v>9</v>
      </c>
      <c r="F856" s="0" t="n">
        <f aca="false">D856*E856</f>
        <v>54</v>
      </c>
      <c r="G856" s="0" t="n">
        <f aca="false">ROUNDUP(F856/75,0)</f>
        <v>1</v>
      </c>
    </row>
    <row r="857" customFormat="false" ht="15" hidden="false" customHeight="false" outlineLevel="0" collapsed="false">
      <c r="A857" s="0" t="s">
        <v>249</v>
      </c>
      <c r="B857" s="0" t="s">
        <v>338</v>
      </c>
      <c r="C857" s="0" t="s">
        <v>753</v>
      </c>
      <c r="D857" s="0" t="n">
        <v>6</v>
      </c>
      <c r="E857" s="0" t="n">
        <v>10</v>
      </c>
      <c r="F857" s="0" t="n">
        <f aca="false">D857*E857</f>
        <v>60</v>
      </c>
      <c r="G857" s="0" t="n">
        <f aca="false">ROUNDUP(F857/75,0)</f>
        <v>1</v>
      </c>
    </row>
    <row r="858" customFormat="false" ht="15" hidden="false" customHeight="false" outlineLevel="0" collapsed="false">
      <c r="A858" s="0" t="s">
        <v>249</v>
      </c>
      <c r="B858" s="0" t="s">
        <v>338</v>
      </c>
      <c r="C858" s="0" t="s">
        <v>755</v>
      </c>
      <c r="D858" s="0" t="n">
        <v>6</v>
      </c>
      <c r="E858" s="0" t="n">
        <v>4</v>
      </c>
      <c r="F858" s="0" t="n">
        <f aca="false">D858*E858</f>
        <v>24</v>
      </c>
      <c r="G858" s="0" t="n">
        <f aca="false">ROUNDUP(F858/75,0)</f>
        <v>1</v>
      </c>
    </row>
    <row r="859" customFormat="false" ht="15" hidden="false" customHeight="false" outlineLevel="0" collapsed="false">
      <c r="A859" s="0" t="s">
        <v>249</v>
      </c>
      <c r="B859" s="0" t="s">
        <v>339</v>
      </c>
      <c r="C859" s="0" t="s">
        <v>756</v>
      </c>
      <c r="D859" s="0" t="n">
        <v>12</v>
      </c>
      <c r="E859" s="0" t="n">
        <v>5</v>
      </c>
      <c r="F859" s="0" t="n">
        <f aca="false">D859*E859</f>
        <v>60</v>
      </c>
      <c r="G859" s="0" t="n">
        <f aca="false">ROUNDUP(F859/75,0)</f>
        <v>1</v>
      </c>
    </row>
    <row r="860" customFormat="false" ht="15" hidden="false" customHeight="false" outlineLevel="0" collapsed="false">
      <c r="A860" s="0" t="s">
        <v>249</v>
      </c>
      <c r="B860" s="0" t="s">
        <v>339</v>
      </c>
      <c r="C860" s="0" t="s">
        <v>757</v>
      </c>
      <c r="D860" s="0" t="n">
        <v>6</v>
      </c>
      <c r="E860" s="0" t="n">
        <v>4</v>
      </c>
      <c r="F860" s="0" t="n">
        <f aca="false">D860*E860</f>
        <v>24</v>
      </c>
      <c r="G860" s="0" t="n">
        <f aca="false">ROUNDUP(F860/75,0)</f>
        <v>1</v>
      </c>
    </row>
    <row r="861" customFormat="false" ht="15" hidden="false" customHeight="false" outlineLevel="0" collapsed="false">
      <c r="A861" s="0" t="s">
        <v>249</v>
      </c>
      <c r="B861" s="0" t="s">
        <v>339</v>
      </c>
      <c r="C861" s="0" t="s">
        <v>753</v>
      </c>
      <c r="D861" s="0" t="n">
        <v>6</v>
      </c>
      <c r="E861" s="0" t="n">
        <v>3</v>
      </c>
      <c r="F861" s="0" t="n">
        <f aca="false">D861*E861</f>
        <v>18</v>
      </c>
      <c r="G861" s="0" t="n">
        <f aca="false">ROUNDUP(F861/75,0)</f>
        <v>1</v>
      </c>
    </row>
    <row r="862" customFormat="false" ht="15" hidden="false" customHeight="false" outlineLevel="0" collapsed="false">
      <c r="A862" s="0" t="s">
        <v>249</v>
      </c>
      <c r="B862" s="0" t="s">
        <v>339</v>
      </c>
      <c r="C862" s="0" t="s">
        <v>755</v>
      </c>
      <c r="D862" s="0" t="n">
        <v>6</v>
      </c>
      <c r="E862" s="0" t="n">
        <v>7</v>
      </c>
      <c r="F862" s="0" t="n">
        <f aca="false">D862*E862</f>
        <v>42</v>
      </c>
      <c r="G862" s="0" t="n">
        <f aca="false">ROUNDUP(F862/75,0)</f>
        <v>1</v>
      </c>
    </row>
    <row r="863" customFormat="false" ht="15" hidden="false" customHeight="false" outlineLevel="0" collapsed="false">
      <c r="A863" s="0" t="s">
        <v>249</v>
      </c>
      <c r="B863" s="0" t="s">
        <v>340</v>
      </c>
      <c r="C863" s="0" t="s">
        <v>756</v>
      </c>
      <c r="D863" s="0" t="n">
        <v>12</v>
      </c>
      <c r="E863" s="0" t="n">
        <v>2</v>
      </c>
      <c r="F863" s="0" t="n">
        <f aca="false">D863*E863</f>
        <v>24</v>
      </c>
      <c r="G863" s="0" t="n">
        <f aca="false">ROUNDUP(F863/75,0)</f>
        <v>1</v>
      </c>
    </row>
    <row r="864" customFormat="false" ht="15" hidden="false" customHeight="false" outlineLevel="0" collapsed="false">
      <c r="A864" s="0" t="s">
        <v>249</v>
      </c>
      <c r="B864" s="0" t="s">
        <v>340</v>
      </c>
      <c r="C864" s="0" t="s">
        <v>757</v>
      </c>
      <c r="D864" s="0" t="n">
        <v>6</v>
      </c>
      <c r="E864" s="0" t="n">
        <v>3</v>
      </c>
      <c r="F864" s="0" t="n">
        <f aca="false">D864*E864</f>
        <v>18</v>
      </c>
      <c r="G864" s="0" t="n">
        <f aca="false">ROUNDUP(F864/75,0)</f>
        <v>1</v>
      </c>
    </row>
    <row r="865" customFormat="false" ht="15" hidden="false" customHeight="false" outlineLevel="0" collapsed="false">
      <c r="A865" s="0" t="s">
        <v>249</v>
      </c>
      <c r="B865" s="0" t="s">
        <v>340</v>
      </c>
      <c r="C865" s="0" t="s">
        <v>753</v>
      </c>
      <c r="D865" s="0" t="n">
        <v>6</v>
      </c>
      <c r="E865" s="0" t="n">
        <v>3</v>
      </c>
      <c r="F865" s="0" t="n">
        <f aca="false">D865*E865</f>
        <v>18</v>
      </c>
      <c r="G865" s="0" t="n">
        <f aca="false">ROUNDUP(F865/75,0)</f>
        <v>1</v>
      </c>
    </row>
    <row r="866" customFormat="false" ht="15" hidden="false" customHeight="false" outlineLevel="0" collapsed="false">
      <c r="A866" s="0" t="s">
        <v>249</v>
      </c>
      <c r="B866" s="0" t="s">
        <v>340</v>
      </c>
      <c r="C866" s="0" t="s">
        <v>755</v>
      </c>
      <c r="D866" s="0" t="n">
        <v>6</v>
      </c>
      <c r="E866" s="0" t="n">
        <v>3</v>
      </c>
      <c r="F866" s="0" t="n">
        <f aca="false">D866*E866</f>
        <v>18</v>
      </c>
      <c r="G866" s="0" t="n">
        <f aca="false">ROUNDUP(F866/75,0)</f>
        <v>1</v>
      </c>
    </row>
    <row r="867" customFormat="false" ht="15" hidden="false" customHeight="false" outlineLevel="0" collapsed="false">
      <c r="A867" s="0" t="s">
        <v>249</v>
      </c>
      <c r="B867" s="0" t="s">
        <v>341</v>
      </c>
      <c r="C867" s="0" t="s">
        <v>753</v>
      </c>
      <c r="D867" s="0" t="n">
        <v>6</v>
      </c>
      <c r="E867" s="0" t="n">
        <v>3</v>
      </c>
      <c r="F867" s="0" t="n">
        <f aca="false">D867*E867</f>
        <v>18</v>
      </c>
      <c r="G867" s="0" t="n">
        <f aca="false">ROUNDUP(F867/75,0)</f>
        <v>1</v>
      </c>
    </row>
    <row r="868" customFormat="false" ht="15" hidden="false" customHeight="false" outlineLevel="0" collapsed="false">
      <c r="A868" s="0" t="s">
        <v>249</v>
      </c>
      <c r="B868" s="0" t="s">
        <v>341</v>
      </c>
      <c r="C868" s="0" t="s">
        <v>755</v>
      </c>
      <c r="D868" s="0" t="n">
        <v>6</v>
      </c>
      <c r="E868" s="0" t="n">
        <v>2</v>
      </c>
      <c r="F868" s="0" t="n">
        <f aca="false">D868*E868</f>
        <v>12</v>
      </c>
      <c r="G868" s="0" t="n">
        <f aca="false">ROUNDUP(F868/75,0)</f>
        <v>1</v>
      </c>
    </row>
    <row r="869" customFormat="false" ht="15" hidden="false" customHeight="false" outlineLevel="0" collapsed="false">
      <c r="A869" s="0" t="s">
        <v>249</v>
      </c>
      <c r="B869" s="0" t="s">
        <v>342</v>
      </c>
      <c r="C869" s="0" t="s">
        <v>756</v>
      </c>
      <c r="D869" s="0" t="n">
        <v>12</v>
      </c>
      <c r="E869" s="0" t="n">
        <v>1</v>
      </c>
      <c r="F869" s="0" t="n">
        <f aca="false">D869*E869</f>
        <v>12</v>
      </c>
      <c r="G869" s="0" t="n">
        <f aca="false">ROUNDUP(F869/75,0)</f>
        <v>1</v>
      </c>
    </row>
    <row r="870" customFormat="false" ht="15" hidden="false" customHeight="false" outlineLevel="0" collapsed="false">
      <c r="A870" s="0" t="s">
        <v>249</v>
      </c>
      <c r="B870" s="0" t="s">
        <v>342</v>
      </c>
      <c r="C870" s="0" t="s">
        <v>757</v>
      </c>
      <c r="D870" s="0" t="n">
        <v>6</v>
      </c>
      <c r="E870" s="0" t="n">
        <v>3</v>
      </c>
      <c r="F870" s="0" t="n">
        <f aca="false">D870*E870</f>
        <v>18</v>
      </c>
      <c r="G870" s="0" t="n">
        <f aca="false">ROUNDUP(F870/75,0)</f>
        <v>1</v>
      </c>
    </row>
    <row r="871" customFormat="false" ht="15" hidden="false" customHeight="false" outlineLevel="0" collapsed="false">
      <c r="A871" s="0" t="s">
        <v>249</v>
      </c>
      <c r="B871" s="0" t="s">
        <v>342</v>
      </c>
      <c r="C871" s="0" t="s">
        <v>753</v>
      </c>
      <c r="D871" s="0" t="n">
        <v>6</v>
      </c>
      <c r="E871" s="0" t="n">
        <v>7</v>
      </c>
      <c r="F871" s="0" t="n">
        <f aca="false">D871*E871</f>
        <v>42</v>
      </c>
      <c r="G871" s="0" t="n">
        <f aca="false">ROUNDUP(F871/75,0)</f>
        <v>1</v>
      </c>
    </row>
    <row r="872" customFormat="false" ht="15" hidden="false" customHeight="false" outlineLevel="0" collapsed="false">
      <c r="A872" s="0" t="s">
        <v>249</v>
      </c>
      <c r="B872" s="0" t="s">
        <v>342</v>
      </c>
      <c r="C872" s="0" t="s">
        <v>755</v>
      </c>
      <c r="D872" s="0" t="n">
        <v>6</v>
      </c>
      <c r="E872" s="0" t="n">
        <v>4</v>
      </c>
      <c r="F872" s="0" t="n">
        <f aca="false">D872*E872</f>
        <v>24</v>
      </c>
      <c r="G872" s="0" t="n">
        <f aca="false">ROUNDUP(F872/75,0)</f>
        <v>1</v>
      </c>
    </row>
    <row r="873" customFormat="false" ht="15" hidden="false" customHeight="false" outlineLevel="0" collapsed="false">
      <c r="A873" s="0" t="s">
        <v>249</v>
      </c>
      <c r="B873" s="0" t="s">
        <v>343</v>
      </c>
      <c r="C873" s="0" t="s">
        <v>757</v>
      </c>
      <c r="D873" s="0" t="n">
        <v>6</v>
      </c>
      <c r="E873" s="0" t="n">
        <v>2.5</v>
      </c>
      <c r="F873" s="0" t="n">
        <f aca="false">D873*E873</f>
        <v>15</v>
      </c>
      <c r="G873" s="0" t="n">
        <f aca="false">ROUNDUP(F873/75,0)</f>
        <v>1</v>
      </c>
    </row>
    <row r="874" customFormat="false" ht="15" hidden="false" customHeight="false" outlineLevel="0" collapsed="false">
      <c r="A874" s="0" t="s">
        <v>249</v>
      </c>
      <c r="B874" s="0" t="s">
        <v>343</v>
      </c>
      <c r="C874" s="0" t="s">
        <v>753</v>
      </c>
      <c r="D874" s="0" t="n">
        <v>6</v>
      </c>
      <c r="E874" s="0" t="n">
        <v>8</v>
      </c>
      <c r="F874" s="0" t="n">
        <f aca="false">D874*E874</f>
        <v>48</v>
      </c>
      <c r="G874" s="0" t="n">
        <f aca="false">ROUNDUP(F874/75,0)</f>
        <v>1</v>
      </c>
    </row>
    <row r="875" customFormat="false" ht="15" hidden="false" customHeight="false" outlineLevel="0" collapsed="false">
      <c r="A875" s="0" t="s">
        <v>249</v>
      </c>
      <c r="B875" s="0" t="s">
        <v>343</v>
      </c>
      <c r="C875" s="0" t="s">
        <v>755</v>
      </c>
      <c r="D875" s="0" t="n">
        <v>6</v>
      </c>
      <c r="E875" s="0" t="n">
        <v>2</v>
      </c>
      <c r="F875" s="0" t="n">
        <f aca="false">D875*E875</f>
        <v>12</v>
      </c>
      <c r="G875" s="0" t="n">
        <f aca="false">ROUNDUP(F875/75,0)</f>
        <v>1</v>
      </c>
    </row>
    <row r="876" customFormat="false" ht="15" hidden="false" customHeight="false" outlineLevel="0" collapsed="false">
      <c r="A876" s="0" t="s">
        <v>249</v>
      </c>
      <c r="B876" s="0" t="s">
        <v>344</v>
      </c>
      <c r="C876" s="0" t="s">
        <v>756</v>
      </c>
      <c r="D876" s="0" t="n">
        <v>12</v>
      </c>
      <c r="E876" s="0" t="n">
        <v>2</v>
      </c>
      <c r="F876" s="0" t="n">
        <f aca="false">D876*E876</f>
        <v>24</v>
      </c>
      <c r="G876" s="0" t="n">
        <f aca="false">ROUNDUP(F876/75,0)</f>
        <v>1</v>
      </c>
    </row>
    <row r="877" customFormat="false" ht="15" hidden="false" customHeight="false" outlineLevel="0" collapsed="false">
      <c r="A877" s="0" t="s">
        <v>249</v>
      </c>
      <c r="B877" s="0" t="s">
        <v>344</v>
      </c>
      <c r="C877" s="0" t="s">
        <v>757</v>
      </c>
      <c r="D877" s="0" t="n">
        <v>6</v>
      </c>
      <c r="E877" s="0" t="n">
        <v>3</v>
      </c>
      <c r="F877" s="0" t="n">
        <f aca="false">D877*E877</f>
        <v>18</v>
      </c>
      <c r="G877" s="0" t="n">
        <f aca="false">ROUNDUP(F877/75,0)</f>
        <v>1</v>
      </c>
    </row>
    <row r="878" customFormat="false" ht="15" hidden="false" customHeight="false" outlineLevel="0" collapsed="false">
      <c r="A878" s="0" t="s">
        <v>249</v>
      </c>
      <c r="B878" s="0" t="s">
        <v>344</v>
      </c>
      <c r="C878" s="0" t="s">
        <v>753</v>
      </c>
      <c r="D878" s="0" t="n">
        <v>6</v>
      </c>
      <c r="E878" s="0" t="n">
        <v>5</v>
      </c>
      <c r="F878" s="0" t="n">
        <f aca="false">D878*E878</f>
        <v>30</v>
      </c>
      <c r="G878" s="0" t="n">
        <f aca="false">ROUNDUP(F878/75,0)</f>
        <v>1</v>
      </c>
    </row>
    <row r="879" customFormat="false" ht="15" hidden="false" customHeight="false" outlineLevel="0" collapsed="false">
      <c r="A879" s="0" t="s">
        <v>249</v>
      </c>
      <c r="B879" s="0" t="s">
        <v>344</v>
      </c>
      <c r="C879" s="0" t="s">
        <v>755</v>
      </c>
      <c r="D879" s="0" t="n">
        <v>6</v>
      </c>
      <c r="E879" s="0" t="n">
        <v>9</v>
      </c>
      <c r="F879" s="0" t="n">
        <f aca="false">D879*E879</f>
        <v>54</v>
      </c>
      <c r="G879" s="0" t="n">
        <f aca="false">ROUNDUP(F879/75,0)</f>
        <v>1</v>
      </c>
    </row>
    <row r="880" customFormat="false" ht="15" hidden="false" customHeight="false" outlineLevel="0" collapsed="false">
      <c r="A880" s="0" t="s">
        <v>249</v>
      </c>
      <c r="B880" s="0" t="s">
        <v>345</v>
      </c>
      <c r="C880" s="0" t="s">
        <v>756</v>
      </c>
      <c r="D880" s="0" t="n">
        <v>12</v>
      </c>
      <c r="E880" s="0" t="n">
        <v>2</v>
      </c>
      <c r="F880" s="0" t="n">
        <f aca="false">D880*E880</f>
        <v>24</v>
      </c>
      <c r="G880" s="0" t="n">
        <f aca="false">ROUNDUP(F880/75,0)</f>
        <v>1</v>
      </c>
    </row>
    <row r="881" customFormat="false" ht="15" hidden="false" customHeight="false" outlineLevel="0" collapsed="false">
      <c r="A881" s="0" t="s">
        <v>249</v>
      </c>
      <c r="B881" s="0" t="s">
        <v>345</v>
      </c>
      <c r="C881" s="0" t="s">
        <v>757</v>
      </c>
      <c r="D881" s="0" t="n">
        <v>6</v>
      </c>
      <c r="E881" s="0" t="n">
        <v>1</v>
      </c>
      <c r="F881" s="0" t="n">
        <f aca="false">D881*E881</f>
        <v>6</v>
      </c>
      <c r="G881" s="0" t="n">
        <f aca="false">ROUNDUP(F881/75,0)</f>
        <v>1</v>
      </c>
    </row>
    <row r="882" customFormat="false" ht="15" hidden="false" customHeight="false" outlineLevel="0" collapsed="false">
      <c r="A882" s="0" t="s">
        <v>249</v>
      </c>
      <c r="B882" s="0" t="s">
        <v>345</v>
      </c>
      <c r="C882" s="0" t="s">
        <v>753</v>
      </c>
      <c r="D882" s="0" t="n">
        <v>6</v>
      </c>
      <c r="E882" s="0" t="n">
        <v>14</v>
      </c>
      <c r="F882" s="0" t="n">
        <f aca="false">D882*E882</f>
        <v>84</v>
      </c>
      <c r="G882" s="0" t="n">
        <f aca="false">ROUNDUP(F882/75,0)</f>
        <v>2</v>
      </c>
    </row>
    <row r="883" customFormat="false" ht="15" hidden="false" customHeight="false" outlineLevel="0" collapsed="false">
      <c r="A883" s="0" t="s">
        <v>249</v>
      </c>
      <c r="B883" s="0" t="s">
        <v>345</v>
      </c>
      <c r="C883" s="0" t="s">
        <v>755</v>
      </c>
      <c r="D883" s="0" t="n">
        <v>6</v>
      </c>
      <c r="E883" s="0" t="n">
        <v>1</v>
      </c>
      <c r="F883" s="0" t="n">
        <f aca="false">D883*E883</f>
        <v>6</v>
      </c>
      <c r="G883" s="0" t="n">
        <f aca="false">ROUNDUP(F883/75,0)</f>
        <v>1</v>
      </c>
    </row>
    <row r="884" customFormat="false" ht="15" hidden="false" customHeight="false" outlineLevel="0" collapsed="false">
      <c r="A884" s="0" t="s">
        <v>249</v>
      </c>
      <c r="B884" s="0" t="s">
        <v>346</v>
      </c>
      <c r="C884" s="0" t="s">
        <v>756</v>
      </c>
      <c r="D884" s="0" t="n">
        <v>12</v>
      </c>
      <c r="E884" s="0" t="n">
        <v>2</v>
      </c>
      <c r="F884" s="0" t="n">
        <f aca="false">D884*E884</f>
        <v>24</v>
      </c>
      <c r="G884" s="0" t="n">
        <f aca="false">ROUNDUP(F884/75,0)</f>
        <v>1</v>
      </c>
    </row>
    <row r="885" customFormat="false" ht="15" hidden="false" customHeight="false" outlineLevel="0" collapsed="false">
      <c r="A885" s="0" t="s">
        <v>249</v>
      </c>
      <c r="B885" s="0" t="s">
        <v>346</v>
      </c>
      <c r="C885" s="0" t="s">
        <v>753</v>
      </c>
      <c r="D885" s="0" t="n">
        <v>6</v>
      </c>
      <c r="E885" s="0" t="n">
        <v>7</v>
      </c>
      <c r="F885" s="0" t="n">
        <f aca="false">D885*E885</f>
        <v>42</v>
      </c>
      <c r="G885" s="0" t="n">
        <f aca="false">ROUNDUP(F885/75,0)</f>
        <v>1</v>
      </c>
    </row>
    <row r="886" customFormat="false" ht="15" hidden="false" customHeight="false" outlineLevel="0" collapsed="false">
      <c r="A886" s="0" t="s">
        <v>249</v>
      </c>
      <c r="B886" s="0" t="s">
        <v>346</v>
      </c>
      <c r="C886" s="0" t="s">
        <v>755</v>
      </c>
      <c r="D886" s="0" t="n">
        <v>6</v>
      </c>
      <c r="E886" s="0" t="n">
        <v>4</v>
      </c>
      <c r="F886" s="0" t="n">
        <f aca="false">D886*E886</f>
        <v>24</v>
      </c>
      <c r="G886" s="0" t="n">
        <f aca="false">ROUNDUP(F886/75,0)</f>
        <v>1</v>
      </c>
    </row>
    <row r="887" customFormat="false" ht="15" hidden="false" customHeight="false" outlineLevel="0" collapsed="false">
      <c r="A887" s="0" t="s">
        <v>249</v>
      </c>
      <c r="B887" s="0" t="s">
        <v>347</v>
      </c>
      <c r="C887" s="0" t="s">
        <v>756</v>
      </c>
      <c r="D887" s="0" t="n">
        <v>12</v>
      </c>
      <c r="E887" s="0" t="n">
        <v>2</v>
      </c>
      <c r="F887" s="0" t="n">
        <f aca="false">D887*E887</f>
        <v>24</v>
      </c>
      <c r="G887" s="0" t="n">
        <f aca="false">ROUNDUP(F887/75,0)</f>
        <v>1</v>
      </c>
    </row>
    <row r="888" customFormat="false" ht="15" hidden="false" customHeight="false" outlineLevel="0" collapsed="false">
      <c r="A888" s="0" t="s">
        <v>249</v>
      </c>
      <c r="B888" s="0" t="s">
        <v>347</v>
      </c>
      <c r="C888" s="0" t="s">
        <v>757</v>
      </c>
      <c r="D888" s="0" t="n">
        <v>6</v>
      </c>
      <c r="E888" s="0" t="n">
        <v>1</v>
      </c>
      <c r="F888" s="0" t="n">
        <f aca="false">D888*E888</f>
        <v>6</v>
      </c>
      <c r="G888" s="0" t="n">
        <f aca="false">ROUNDUP(F888/75,0)</f>
        <v>1</v>
      </c>
    </row>
    <row r="889" customFormat="false" ht="15" hidden="false" customHeight="false" outlineLevel="0" collapsed="false">
      <c r="A889" s="0" t="s">
        <v>249</v>
      </c>
      <c r="B889" s="0" t="s">
        <v>347</v>
      </c>
      <c r="C889" s="0" t="s">
        <v>753</v>
      </c>
      <c r="D889" s="0" t="n">
        <v>6</v>
      </c>
      <c r="E889" s="0" t="n">
        <v>7</v>
      </c>
      <c r="F889" s="0" t="n">
        <f aca="false">D889*E889</f>
        <v>42</v>
      </c>
      <c r="G889" s="0" t="n">
        <f aca="false">ROUNDUP(F889/75,0)</f>
        <v>1</v>
      </c>
    </row>
    <row r="890" customFormat="false" ht="15" hidden="false" customHeight="false" outlineLevel="0" collapsed="false">
      <c r="A890" s="0" t="s">
        <v>249</v>
      </c>
      <c r="B890" s="0" t="s">
        <v>347</v>
      </c>
      <c r="C890" s="0" t="s">
        <v>755</v>
      </c>
      <c r="D890" s="0" t="n">
        <v>6</v>
      </c>
      <c r="E890" s="0" t="n">
        <v>1</v>
      </c>
      <c r="F890" s="0" t="n">
        <f aca="false">D890*E890</f>
        <v>6</v>
      </c>
      <c r="G890" s="0" t="n">
        <f aca="false">ROUNDUP(F890/75,0)</f>
        <v>1</v>
      </c>
    </row>
    <row r="891" customFormat="false" ht="15" hidden="false" customHeight="false" outlineLevel="0" collapsed="false">
      <c r="A891" s="0" t="s">
        <v>249</v>
      </c>
      <c r="B891" s="0" t="s">
        <v>348</v>
      </c>
      <c r="C891" s="0" t="s">
        <v>757</v>
      </c>
      <c r="D891" s="0" t="n">
        <v>6</v>
      </c>
      <c r="E891" s="0" t="n">
        <v>1</v>
      </c>
      <c r="F891" s="0" t="n">
        <f aca="false">D891*E891</f>
        <v>6</v>
      </c>
      <c r="G891" s="0" t="n">
        <f aca="false">ROUNDUP(F891/75,0)</f>
        <v>1</v>
      </c>
    </row>
    <row r="892" customFormat="false" ht="15" hidden="false" customHeight="false" outlineLevel="0" collapsed="false">
      <c r="A892" s="0" t="s">
        <v>249</v>
      </c>
      <c r="B892" s="0" t="s">
        <v>348</v>
      </c>
      <c r="C892" s="0" t="s">
        <v>753</v>
      </c>
      <c r="D892" s="0" t="n">
        <v>6</v>
      </c>
      <c r="E892" s="0" t="n">
        <v>6</v>
      </c>
      <c r="F892" s="0" t="n">
        <f aca="false">D892*E892</f>
        <v>36</v>
      </c>
      <c r="G892" s="0" t="n">
        <f aca="false">ROUNDUP(F892/75,0)</f>
        <v>1</v>
      </c>
    </row>
    <row r="893" customFormat="false" ht="15" hidden="false" customHeight="false" outlineLevel="0" collapsed="false">
      <c r="A893" s="0" t="s">
        <v>249</v>
      </c>
      <c r="B893" s="0" t="s">
        <v>348</v>
      </c>
      <c r="C893" s="0" t="s">
        <v>755</v>
      </c>
      <c r="D893" s="0" t="n">
        <v>6</v>
      </c>
      <c r="E893" s="0" t="n">
        <v>6</v>
      </c>
      <c r="F893" s="0" t="n">
        <f aca="false">D893*E893</f>
        <v>36</v>
      </c>
      <c r="G893" s="0" t="n">
        <f aca="false">ROUNDUP(F893/75,0)</f>
        <v>1</v>
      </c>
    </row>
    <row r="894" customFormat="false" ht="15" hidden="false" customHeight="false" outlineLevel="0" collapsed="false">
      <c r="A894" s="0" t="s">
        <v>249</v>
      </c>
      <c r="B894" s="0" t="s">
        <v>349</v>
      </c>
      <c r="C894" s="0" t="s">
        <v>757</v>
      </c>
      <c r="D894" s="0" t="n">
        <v>6</v>
      </c>
      <c r="E894" s="0" t="n">
        <v>1</v>
      </c>
      <c r="F894" s="0" t="n">
        <f aca="false">D894*E894</f>
        <v>6</v>
      </c>
      <c r="G894" s="0" t="n">
        <f aca="false">ROUNDUP(F894/75,0)</f>
        <v>1</v>
      </c>
    </row>
    <row r="895" customFormat="false" ht="15" hidden="false" customHeight="false" outlineLevel="0" collapsed="false">
      <c r="A895" s="0" t="s">
        <v>249</v>
      </c>
      <c r="B895" s="0" t="s">
        <v>349</v>
      </c>
      <c r="C895" s="0" t="s">
        <v>753</v>
      </c>
      <c r="D895" s="0" t="n">
        <v>6</v>
      </c>
      <c r="E895" s="0" t="n">
        <v>4</v>
      </c>
      <c r="F895" s="0" t="n">
        <f aca="false">D895*E895</f>
        <v>24</v>
      </c>
      <c r="G895" s="0" t="n">
        <f aca="false">ROUNDUP(F895/75,0)</f>
        <v>1</v>
      </c>
    </row>
    <row r="896" customFormat="false" ht="15" hidden="false" customHeight="false" outlineLevel="0" collapsed="false">
      <c r="A896" s="0" t="s">
        <v>249</v>
      </c>
      <c r="B896" s="0" t="s">
        <v>349</v>
      </c>
      <c r="C896" s="0" t="s">
        <v>755</v>
      </c>
      <c r="D896" s="0" t="n">
        <v>6</v>
      </c>
      <c r="E896" s="0" t="n">
        <v>4</v>
      </c>
      <c r="F896" s="0" t="n">
        <f aca="false">D896*E896</f>
        <v>24</v>
      </c>
      <c r="G896" s="0" t="n">
        <f aca="false">ROUNDUP(F896/75,0)</f>
        <v>1</v>
      </c>
    </row>
    <row r="897" customFormat="false" ht="15" hidden="false" customHeight="false" outlineLevel="0" collapsed="false">
      <c r="A897" s="0" t="s">
        <v>249</v>
      </c>
      <c r="B897" s="0" t="s">
        <v>350</v>
      </c>
      <c r="C897" s="0" t="s">
        <v>756</v>
      </c>
      <c r="D897" s="0" t="n">
        <v>12</v>
      </c>
      <c r="E897" s="0" t="n">
        <v>7</v>
      </c>
      <c r="F897" s="0" t="n">
        <f aca="false">D897*E897</f>
        <v>84</v>
      </c>
      <c r="G897" s="0" t="n">
        <f aca="false">ROUNDUP(F897/75,0)</f>
        <v>2</v>
      </c>
    </row>
    <row r="898" customFormat="false" ht="15" hidden="false" customHeight="false" outlineLevel="0" collapsed="false">
      <c r="A898" s="0" t="s">
        <v>249</v>
      </c>
      <c r="B898" s="0" t="s">
        <v>350</v>
      </c>
      <c r="C898" s="0" t="s">
        <v>757</v>
      </c>
      <c r="D898" s="0" t="n">
        <v>6</v>
      </c>
      <c r="E898" s="0" t="n">
        <v>2</v>
      </c>
      <c r="F898" s="0" t="n">
        <f aca="false">D898*E898</f>
        <v>12</v>
      </c>
      <c r="G898" s="0" t="n">
        <f aca="false">ROUNDUP(F898/75,0)</f>
        <v>1</v>
      </c>
    </row>
    <row r="899" customFormat="false" ht="15" hidden="false" customHeight="false" outlineLevel="0" collapsed="false">
      <c r="A899" s="0" t="s">
        <v>249</v>
      </c>
      <c r="B899" s="0" t="s">
        <v>350</v>
      </c>
      <c r="C899" s="0" t="s">
        <v>753</v>
      </c>
      <c r="D899" s="0" t="n">
        <v>6</v>
      </c>
      <c r="E899" s="0" t="n">
        <v>5</v>
      </c>
      <c r="F899" s="0" t="n">
        <f aca="false">D899*E899</f>
        <v>30</v>
      </c>
      <c r="G899" s="0" t="n">
        <f aca="false">ROUNDUP(F899/75,0)</f>
        <v>1</v>
      </c>
    </row>
    <row r="900" customFormat="false" ht="15" hidden="false" customHeight="false" outlineLevel="0" collapsed="false">
      <c r="A900" s="0" t="s">
        <v>249</v>
      </c>
      <c r="B900" s="0" t="s">
        <v>350</v>
      </c>
      <c r="C900" s="0" t="s">
        <v>755</v>
      </c>
      <c r="D900" s="0" t="n">
        <v>6</v>
      </c>
      <c r="E900" s="0" t="n">
        <v>2</v>
      </c>
      <c r="F900" s="0" t="n">
        <f aca="false">D900*E900</f>
        <v>12</v>
      </c>
      <c r="G900" s="0" t="n">
        <f aca="false">ROUNDUP(F900/75,0)</f>
        <v>1</v>
      </c>
    </row>
    <row r="901" customFormat="false" ht="15" hidden="false" customHeight="false" outlineLevel="0" collapsed="false">
      <c r="A901" s="0" t="s">
        <v>249</v>
      </c>
      <c r="B901" s="0" t="s">
        <v>351</v>
      </c>
      <c r="C901" s="0" t="s">
        <v>756</v>
      </c>
      <c r="D901" s="0" t="n">
        <v>12</v>
      </c>
      <c r="E901" s="0" t="n">
        <v>1</v>
      </c>
      <c r="F901" s="0" t="n">
        <f aca="false">D901*E901</f>
        <v>12</v>
      </c>
      <c r="G901" s="0" t="n">
        <f aca="false">ROUNDUP(F901/75,0)</f>
        <v>1</v>
      </c>
    </row>
    <row r="902" customFormat="false" ht="15" hidden="false" customHeight="false" outlineLevel="0" collapsed="false">
      <c r="A902" s="0" t="s">
        <v>249</v>
      </c>
      <c r="B902" s="0" t="s">
        <v>351</v>
      </c>
      <c r="C902" s="0" t="s">
        <v>757</v>
      </c>
      <c r="D902" s="0" t="n">
        <v>6</v>
      </c>
      <c r="E902" s="0" t="n">
        <v>1</v>
      </c>
      <c r="F902" s="0" t="n">
        <f aca="false">D902*E902</f>
        <v>6</v>
      </c>
      <c r="G902" s="0" t="n">
        <f aca="false">ROUNDUP(F902/75,0)</f>
        <v>1</v>
      </c>
    </row>
    <row r="903" customFormat="false" ht="15" hidden="false" customHeight="false" outlineLevel="0" collapsed="false">
      <c r="A903" s="0" t="s">
        <v>249</v>
      </c>
      <c r="B903" s="0" t="s">
        <v>351</v>
      </c>
      <c r="C903" s="0" t="s">
        <v>753</v>
      </c>
      <c r="D903" s="0" t="n">
        <v>6</v>
      </c>
      <c r="E903" s="0" t="n">
        <v>4</v>
      </c>
      <c r="F903" s="0" t="n">
        <f aca="false">D903*E903</f>
        <v>24</v>
      </c>
      <c r="G903" s="0" t="n">
        <f aca="false">ROUNDUP(F903/75,0)</f>
        <v>1</v>
      </c>
    </row>
    <row r="904" customFormat="false" ht="15" hidden="false" customHeight="false" outlineLevel="0" collapsed="false">
      <c r="A904" s="0" t="s">
        <v>249</v>
      </c>
      <c r="B904" s="0" t="s">
        <v>351</v>
      </c>
      <c r="C904" s="0" t="s">
        <v>755</v>
      </c>
      <c r="D904" s="0" t="n">
        <v>6</v>
      </c>
      <c r="E904" s="0" t="n">
        <v>4</v>
      </c>
      <c r="F904" s="0" t="n">
        <f aca="false">D904*E904</f>
        <v>24</v>
      </c>
      <c r="G904" s="0" t="n">
        <f aca="false">ROUNDUP(F904/75,0)</f>
        <v>1</v>
      </c>
    </row>
    <row r="905" customFormat="false" ht="15" hidden="false" customHeight="false" outlineLevel="0" collapsed="false">
      <c r="A905" s="0" t="s">
        <v>249</v>
      </c>
      <c r="B905" s="0" t="s">
        <v>352</v>
      </c>
      <c r="C905" s="0" t="s">
        <v>756</v>
      </c>
      <c r="D905" s="0" t="n">
        <v>12</v>
      </c>
      <c r="E905" s="0" t="n">
        <v>4</v>
      </c>
      <c r="F905" s="0" t="n">
        <f aca="false">D905*E905</f>
        <v>48</v>
      </c>
      <c r="G905" s="0" t="n">
        <f aca="false">ROUNDUP(F905/75,0)</f>
        <v>1</v>
      </c>
    </row>
    <row r="906" customFormat="false" ht="15" hidden="false" customHeight="false" outlineLevel="0" collapsed="false">
      <c r="A906" s="0" t="s">
        <v>249</v>
      </c>
      <c r="B906" s="0" t="s">
        <v>352</v>
      </c>
      <c r="C906" s="0" t="s">
        <v>757</v>
      </c>
      <c r="D906" s="0" t="n">
        <v>6</v>
      </c>
      <c r="E906" s="0" t="n">
        <v>2</v>
      </c>
      <c r="F906" s="0" t="n">
        <f aca="false">D906*E906</f>
        <v>12</v>
      </c>
      <c r="G906" s="0" t="n">
        <f aca="false">ROUNDUP(F906/75,0)</f>
        <v>1</v>
      </c>
    </row>
    <row r="907" customFormat="false" ht="15" hidden="false" customHeight="false" outlineLevel="0" collapsed="false">
      <c r="A907" s="0" t="s">
        <v>249</v>
      </c>
      <c r="B907" s="0" t="s">
        <v>352</v>
      </c>
      <c r="C907" s="0" t="s">
        <v>753</v>
      </c>
      <c r="D907" s="0" t="n">
        <v>6</v>
      </c>
      <c r="E907" s="0" t="n">
        <v>4</v>
      </c>
      <c r="F907" s="0" t="n">
        <f aca="false">D907*E907</f>
        <v>24</v>
      </c>
      <c r="G907" s="0" t="n">
        <f aca="false">ROUNDUP(F907/75,0)</f>
        <v>1</v>
      </c>
    </row>
    <row r="908" customFormat="false" ht="15" hidden="false" customHeight="false" outlineLevel="0" collapsed="false">
      <c r="A908" s="0" t="s">
        <v>249</v>
      </c>
      <c r="B908" s="0" t="s">
        <v>352</v>
      </c>
      <c r="C908" s="0" t="s">
        <v>755</v>
      </c>
      <c r="D908" s="0" t="n">
        <v>6</v>
      </c>
      <c r="E908" s="0" t="n">
        <v>2</v>
      </c>
      <c r="F908" s="0" t="n">
        <f aca="false">D908*E908</f>
        <v>12</v>
      </c>
      <c r="G908" s="0" t="n">
        <f aca="false">ROUNDUP(F908/75,0)</f>
        <v>1</v>
      </c>
    </row>
    <row r="909" customFormat="false" ht="15" hidden="false" customHeight="false" outlineLevel="0" collapsed="false">
      <c r="A909" s="0" t="s">
        <v>249</v>
      </c>
      <c r="B909" s="0" t="s">
        <v>353</v>
      </c>
      <c r="C909" s="0" t="s">
        <v>757</v>
      </c>
      <c r="D909" s="0" t="n">
        <v>6</v>
      </c>
      <c r="E909" s="0" t="n">
        <v>2</v>
      </c>
      <c r="F909" s="0" t="n">
        <f aca="false">D909*E909</f>
        <v>12</v>
      </c>
      <c r="G909" s="0" t="n">
        <f aca="false">ROUNDUP(F909/75,0)</f>
        <v>1</v>
      </c>
    </row>
    <row r="910" customFormat="false" ht="15" hidden="false" customHeight="false" outlineLevel="0" collapsed="false">
      <c r="A910" s="0" t="s">
        <v>249</v>
      </c>
      <c r="B910" s="0" t="s">
        <v>353</v>
      </c>
      <c r="C910" s="0" t="s">
        <v>753</v>
      </c>
      <c r="D910" s="0" t="n">
        <v>6</v>
      </c>
      <c r="E910" s="0" t="n">
        <v>7</v>
      </c>
      <c r="F910" s="0" t="n">
        <f aca="false">D910*E910</f>
        <v>42</v>
      </c>
      <c r="G910" s="0" t="n">
        <f aca="false">ROUNDUP(F910/75,0)</f>
        <v>1</v>
      </c>
    </row>
    <row r="911" customFormat="false" ht="15" hidden="false" customHeight="false" outlineLevel="0" collapsed="false">
      <c r="A911" s="0" t="s">
        <v>249</v>
      </c>
      <c r="B911" s="0" t="s">
        <v>354</v>
      </c>
      <c r="C911" s="0" t="s">
        <v>757</v>
      </c>
      <c r="D911" s="0" t="n">
        <v>6</v>
      </c>
      <c r="E911" s="0" t="n">
        <v>2</v>
      </c>
      <c r="F911" s="0" t="n">
        <f aca="false">D911*E911</f>
        <v>12</v>
      </c>
      <c r="G911" s="0" t="n">
        <f aca="false">ROUNDUP(F911/75,0)</f>
        <v>1</v>
      </c>
    </row>
    <row r="912" customFormat="false" ht="15" hidden="false" customHeight="false" outlineLevel="0" collapsed="false">
      <c r="A912" s="0" t="s">
        <v>249</v>
      </c>
      <c r="B912" s="0" t="s">
        <v>354</v>
      </c>
      <c r="C912" s="0" t="s">
        <v>753</v>
      </c>
      <c r="D912" s="0" t="n">
        <v>6</v>
      </c>
      <c r="E912" s="0" t="n">
        <v>5</v>
      </c>
      <c r="F912" s="0" t="n">
        <f aca="false">D912*E912</f>
        <v>30</v>
      </c>
      <c r="G912" s="0" t="n">
        <f aca="false">ROUNDUP(F912/75,0)</f>
        <v>1</v>
      </c>
    </row>
    <row r="913" customFormat="false" ht="15" hidden="false" customHeight="false" outlineLevel="0" collapsed="false">
      <c r="A913" s="0" t="s">
        <v>249</v>
      </c>
      <c r="B913" s="0" t="s">
        <v>354</v>
      </c>
      <c r="C913" s="0" t="s">
        <v>755</v>
      </c>
      <c r="D913" s="0" t="n">
        <v>6</v>
      </c>
      <c r="E913" s="0" t="n">
        <v>5</v>
      </c>
      <c r="F913" s="0" t="n">
        <f aca="false">D913*E913</f>
        <v>30</v>
      </c>
      <c r="G913" s="0" t="n">
        <f aca="false">ROUNDUP(F913/75,0)</f>
        <v>1</v>
      </c>
    </row>
    <row r="914" customFormat="false" ht="15" hidden="false" customHeight="false" outlineLevel="0" collapsed="false">
      <c r="A914" s="0" t="s">
        <v>249</v>
      </c>
      <c r="B914" s="0" t="s">
        <v>355</v>
      </c>
      <c r="C914" s="0" t="s">
        <v>756</v>
      </c>
      <c r="D914" s="0" t="n">
        <v>12</v>
      </c>
      <c r="E914" s="0" t="n">
        <v>4</v>
      </c>
      <c r="F914" s="0" t="n">
        <f aca="false">D914*E914</f>
        <v>48</v>
      </c>
      <c r="G914" s="0" t="n">
        <f aca="false">ROUNDUP(F914/75,0)</f>
        <v>1</v>
      </c>
    </row>
    <row r="915" customFormat="false" ht="15" hidden="false" customHeight="false" outlineLevel="0" collapsed="false">
      <c r="A915" s="0" t="s">
        <v>249</v>
      </c>
      <c r="B915" s="0" t="s">
        <v>355</v>
      </c>
      <c r="C915" s="0" t="s">
        <v>757</v>
      </c>
      <c r="D915" s="0" t="n">
        <v>6</v>
      </c>
      <c r="E915" s="0" t="n">
        <v>2</v>
      </c>
      <c r="F915" s="0" t="n">
        <f aca="false">D915*E915</f>
        <v>12</v>
      </c>
      <c r="G915" s="0" t="n">
        <f aca="false">ROUNDUP(F915/75,0)</f>
        <v>1</v>
      </c>
    </row>
    <row r="916" customFormat="false" ht="15" hidden="false" customHeight="false" outlineLevel="0" collapsed="false">
      <c r="A916" s="0" t="s">
        <v>249</v>
      </c>
      <c r="B916" s="0" t="s">
        <v>355</v>
      </c>
      <c r="C916" s="0" t="s">
        <v>753</v>
      </c>
      <c r="D916" s="0" t="n">
        <v>6</v>
      </c>
      <c r="E916" s="0" t="n">
        <v>4</v>
      </c>
      <c r="F916" s="0" t="n">
        <f aca="false">D916*E916</f>
        <v>24</v>
      </c>
      <c r="G916" s="0" t="n">
        <f aca="false">ROUNDUP(F916/75,0)</f>
        <v>1</v>
      </c>
    </row>
    <row r="917" customFormat="false" ht="15" hidden="false" customHeight="false" outlineLevel="0" collapsed="false">
      <c r="A917" s="0" t="s">
        <v>249</v>
      </c>
      <c r="B917" s="0" t="s">
        <v>356</v>
      </c>
      <c r="C917" s="0" t="s">
        <v>756</v>
      </c>
      <c r="D917" s="0" t="n">
        <v>12</v>
      </c>
      <c r="E917" s="0" t="n">
        <v>1</v>
      </c>
      <c r="F917" s="0" t="n">
        <f aca="false">D917*E917</f>
        <v>12</v>
      </c>
      <c r="G917" s="0" t="n">
        <f aca="false">ROUNDUP(F917/75,0)</f>
        <v>1</v>
      </c>
    </row>
    <row r="918" customFormat="false" ht="15" hidden="false" customHeight="false" outlineLevel="0" collapsed="false">
      <c r="A918" s="0" t="s">
        <v>249</v>
      </c>
      <c r="B918" s="0" t="s">
        <v>356</v>
      </c>
      <c r="C918" s="0" t="s">
        <v>757</v>
      </c>
      <c r="D918" s="0" t="n">
        <v>6</v>
      </c>
      <c r="E918" s="0" t="n">
        <v>2</v>
      </c>
      <c r="F918" s="0" t="n">
        <f aca="false">D918*E918</f>
        <v>12</v>
      </c>
      <c r="G918" s="0" t="n">
        <f aca="false">ROUNDUP(F918/75,0)</f>
        <v>1</v>
      </c>
    </row>
    <row r="919" customFormat="false" ht="15" hidden="false" customHeight="false" outlineLevel="0" collapsed="false">
      <c r="A919" s="0" t="s">
        <v>249</v>
      </c>
      <c r="B919" s="0" t="s">
        <v>356</v>
      </c>
      <c r="C919" s="0" t="s">
        <v>753</v>
      </c>
      <c r="D919" s="0" t="n">
        <v>6</v>
      </c>
      <c r="E919" s="0" t="n">
        <v>4.5</v>
      </c>
      <c r="F919" s="0" t="n">
        <f aca="false">D919*E919</f>
        <v>27</v>
      </c>
      <c r="G919" s="0" t="n">
        <f aca="false">ROUNDUP(F919/75,0)</f>
        <v>1</v>
      </c>
    </row>
    <row r="920" customFormat="false" ht="15" hidden="false" customHeight="false" outlineLevel="0" collapsed="false">
      <c r="A920" s="0" t="s">
        <v>249</v>
      </c>
      <c r="B920" s="0" t="s">
        <v>356</v>
      </c>
      <c r="C920" s="0" t="s">
        <v>755</v>
      </c>
      <c r="D920" s="0" t="n">
        <v>6</v>
      </c>
      <c r="E920" s="0" t="n">
        <v>2</v>
      </c>
      <c r="F920" s="0" t="n">
        <f aca="false">D920*E920</f>
        <v>12</v>
      </c>
      <c r="G920" s="0" t="n">
        <f aca="false">ROUNDUP(F920/75,0)</f>
        <v>1</v>
      </c>
    </row>
    <row r="921" customFormat="false" ht="15" hidden="false" customHeight="false" outlineLevel="0" collapsed="false">
      <c r="A921" s="0" t="s">
        <v>249</v>
      </c>
      <c r="B921" s="0" t="s">
        <v>357</v>
      </c>
      <c r="C921" s="0" t="s">
        <v>753</v>
      </c>
      <c r="D921" s="0" t="n">
        <v>6</v>
      </c>
      <c r="E921" s="0" t="n">
        <v>4</v>
      </c>
      <c r="F921" s="0" t="n">
        <f aca="false">D921*E921</f>
        <v>24</v>
      </c>
      <c r="G921" s="0" t="n">
        <f aca="false">ROUNDUP(F921/75,0)</f>
        <v>1</v>
      </c>
    </row>
    <row r="922" customFormat="false" ht="15" hidden="false" customHeight="false" outlineLevel="0" collapsed="false">
      <c r="A922" s="0" t="s">
        <v>249</v>
      </c>
      <c r="B922" s="0" t="s">
        <v>357</v>
      </c>
      <c r="C922" s="0" t="s">
        <v>755</v>
      </c>
      <c r="D922" s="0" t="n">
        <v>6</v>
      </c>
      <c r="E922" s="0" t="n">
        <v>3</v>
      </c>
      <c r="F922" s="0" t="n">
        <f aca="false">D922*E922</f>
        <v>18</v>
      </c>
      <c r="G922" s="0" t="n">
        <f aca="false">ROUNDUP(F922/75,0)</f>
        <v>1</v>
      </c>
    </row>
    <row r="923" customFormat="false" ht="15" hidden="false" customHeight="false" outlineLevel="0" collapsed="false">
      <c r="A923" s="0" t="s">
        <v>249</v>
      </c>
      <c r="B923" s="0" t="s">
        <v>358</v>
      </c>
      <c r="C923" s="0" t="s">
        <v>756</v>
      </c>
      <c r="D923" s="0" t="n">
        <v>12</v>
      </c>
      <c r="E923" s="0" t="n">
        <v>1</v>
      </c>
      <c r="F923" s="0" t="n">
        <f aca="false">D923*E923</f>
        <v>12</v>
      </c>
      <c r="G923" s="0" t="n">
        <f aca="false">ROUNDUP(F923/75,0)</f>
        <v>1</v>
      </c>
    </row>
    <row r="924" customFormat="false" ht="15" hidden="false" customHeight="false" outlineLevel="0" collapsed="false">
      <c r="A924" s="0" t="s">
        <v>249</v>
      </c>
      <c r="B924" s="0" t="s">
        <v>358</v>
      </c>
      <c r="C924" s="0" t="s">
        <v>753</v>
      </c>
      <c r="D924" s="0" t="n">
        <v>6</v>
      </c>
      <c r="E924" s="0" t="n">
        <v>2</v>
      </c>
      <c r="F924" s="0" t="n">
        <f aca="false">D924*E924</f>
        <v>12</v>
      </c>
      <c r="G924" s="0" t="n">
        <f aca="false">ROUNDUP(F924/75,0)</f>
        <v>1</v>
      </c>
    </row>
    <row r="925" customFormat="false" ht="15" hidden="false" customHeight="false" outlineLevel="0" collapsed="false">
      <c r="A925" s="0" t="s">
        <v>249</v>
      </c>
      <c r="B925" s="0" t="s">
        <v>358</v>
      </c>
      <c r="C925" s="0" t="s">
        <v>755</v>
      </c>
      <c r="D925" s="0" t="n">
        <v>6</v>
      </c>
      <c r="E925" s="0" t="n">
        <v>4</v>
      </c>
      <c r="F925" s="0" t="n">
        <f aca="false">D925*E925</f>
        <v>24</v>
      </c>
      <c r="G925" s="0" t="n">
        <f aca="false">ROUNDUP(F925/75,0)</f>
        <v>1</v>
      </c>
    </row>
    <row r="926" customFormat="false" ht="15" hidden="false" customHeight="false" outlineLevel="0" collapsed="false">
      <c r="A926" s="0" t="s">
        <v>249</v>
      </c>
      <c r="B926" s="0" t="s">
        <v>359</v>
      </c>
      <c r="C926" s="0" t="s">
        <v>756</v>
      </c>
      <c r="D926" s="0" t="n">
        <v>12</v>
      </c>
      <c r="E926" s="0" t="n">
        <v>1</v>
      </c>
      <c r="F926" s="0" t="n">
        <f aca="false">D926*E926</f>
        <v>12</v>
      </c>
      <c r="G926" s="0" t="n">
        <f aca="false">ROUNDUP(F926/75,0)</f>
        <v>1</v>
      </c>
    </row>
    <row r="927" customFormat="false" ht="15" hidden="false" customHeight="false" outlineLevel="0" collapsed="false">
      <c r="A927" s="0" t="s">
        <v>249</v>
      </c>
      <c r="B927" s="0" t="s">
        <v>359</v>
      </c>
      <c r="C927" s="0" t="s">
        <v>757</v>
      </c>
      <c r="D927" s="0" t="n">
        <v>6</v>
      </c>
      <c r="E927" s="0" t="n">
        <v>2</v>
      </c>
      <c r="F927" s="0" t="n">
        <f aca="false">D927*E927</f>
        <v>12</v>
      </c>
      <c r="G927" s="0" t="n">
        <f aca="false">ROUNDUP(F927/75,0)</f>
        <v>1</v>
      </c>
    </row>
    <row r="928" customFormat="false" ht="15" hidden="false" customHeight="false" outlineLevel="0" collapsed="false">
      <c r="A928" s="0" t="s">
        <v>249</v>
      </c>
      <c r="B928" s="0" t="s">
        <v>359</v>
      </c>
      <c r="C928" s="0" t="s">
        <v>753</v>
      </c>
      <c r="D928" s="0" t="n">
        <v>6</v>
      </c>
      <c r="E928" s="0" t="n">
        <v>3</v>
      </c>
      <c r="F928" s="0" t="n">
        <f aca="false">D928*E928</f>
        <v>18</v>
      </c>
      <c r="G928" s="0" t="n">
        <f aca="false">ROUNDUP(F928/75,0)</f>
        <v>1</v>
      </c>
    </row>
    <row r="929" customFormat="false" ht="15" hidden="false" customHeight="false" outlineLevel="0" collapsed="false">
      <c r="A929" s="0" t="s">
        <v>249</v>
      </c>
      <c r="B929" s="0" t="s">
        <v>359</v>
      </c>
      <c r="C929" s="0" t="s">
        <v>755</v>
      </c>
      <c r="D929" s="0" t="n">
        <v>6</v>
      </c>
      <c r="E929" s="0" t="n">
        <v>2</v>
      </c>
      <c r="F929" s="0" t="n">
        <f aca="false">D929*E929</f>
        <v>12</v>
      </c>
      <c r="G929" s="0" t="n">
        <f aca="false">ROUNDUP(F929/75,0)</f>
        <v>1</v>
      </c>
    </row>
    <row r="930" customFormat="false" ht="15" hidden="false" customHeight="false" outlineLevel="0" collapsed="false">
      <c r="A930" s="0" t="s">
        <v>249</v>
      </c>
      <c r="B930" s="0" t="s">
        <v>360</v>
      </c>
      <c r="C930" s="0" t="s">
        <v>756</v>
      </c>
      <c r="D930" s="0" t="n">
        <v>12</v>
      </c>
      <c r="E930" s="0" t="n">
        <v>3</v>
      </c>
      <c r="F930" s="0" t="n">
        <f aca="false">D930*E930</f>
        <v>36</v>
      </c>
      <c r="G930" s="0" t="n">
        <f aca="false">ROUNDUP(F930/75,0)</f>
        <v>1</v>
      </c>
    </row>
    <row r="931" customFormat="false" ht="15" hidden="false" customHeight="false" outlineLevel="0" collapsed="false">
      <c r="A931" s="0" t="s">
        <v>249</v>
      </c>
      <c r="B931" s="0" t="s">
        <v>360</v>
      </c>
      <c r="C931" s="0" t="s">
        <v>757</v>
      </c>
      <c r="D931" s="0" t="n">
        <v>6</v>
      </c>
      <c r="E931" s="0" t="n">
        <v>2</v>
      </c>
      <c r="F931" s="0" t="n">
        <f aca="false">D931*E931</f>
        <v>12</v>
      </c>
      <c r="G931" s="0" t="n">
        <f aca="false">ROUNDUP(F931/75,0)</f>
        <v>1</v>
      </c>
    </row>
    <row r="932" customFormat="false" ht="15" hidden="false" customHeight="false" outlineLevel="0" collapsed="false">
      <c r="A932" s="0" t="s">
        <v>249</v>
      </c>
      <c r="B932" s="0" t="s">
        <v>360</v>
      </c>
      <c r="C932" s="0" t="s">
        <v>753</v>
      </c>
      <c r="D932" s="0" t="n">
        <v>6</v>
      </c>
      <c r="E932" s="0" t="n">
        <v>9</v>
      </c>
      <c r="F932" s="0" t="n">
        <f aca="false">D932*E932</f>
        <v>54</v>
      </c>
      <c r="G932" s="0" t="n">
        <f aca="false">ROUNDUP(F932/75,0)</f>
        <v>1</v>
      </c>
    </row>
    <row r="933" customFormat="false" ht="15" hidden="false" customHeight="false" outlineLevel="0" collapsed="false">
      <c r="A933" s="0" t="s">
        <v>249</v>
      </c>
      <c r="B933" s="0" t="s">
        <v>360</v>
      </c>
      <c r="C933" s="0" t="s">
        <v>755</v>
      </c>
      <c r="D933" s="0" t="n">
        <v>6</v>
      </c>
      <c r="E933" s="0" t="n">
        <v>4</v>
      </c>
      <c r="F933" s="0" t="n">
        <f aca="false">D933*E933</f>
        <v>24</v>
      </c>
      <c r="G933" s="0" t="n">
        <f aca="false">ROUNDUP(F933/75,0)</f>
        <v>1</v>
      </c>
    </row>
    <row r="934" customFormat="false" ht="15" hidden="false" customHeight="false" outlineLevel="0" collapsed="false">
      <c r="A934" s="0" t="s">
        <v>249</v>
      </c>
      <c r="B934" s="0" t="s">
        <v>361</v>
      </c>
      <c r="C934" s="0" t="s">
        <v>753</v>
      </c>
      <c r="D934" s="0" t="n">
        <v>6</v>
      </c>
      <c r="E934" s="0" t="n">
        <v>3</v>
      </c>
      <c r="F934" s="0" t="n">
        <f aca="false">D934*E934</f>
        <v>18</v>
      </c>
      <c r="G934" s="0" t="n">
        <f aca="false">ROUNDUP(F934/75,0)</f>
        <v>1</v>
      </c>
    </row>
    <row r="935" customFormat="false" ht="15" hidden="false" customHeight="false" outlineLevel="0" collapsed="false">
      <c r="A935" s="0" t="s">
        <v>249</v>
      </c>
      <c r="B935" s="0" t="s">
        <v>361</v>
      </c>
      <c r="C935" s="0" t="s">
        <v>755</v>
      </c>
      <c r="D935" s="0" t="n">
        <v>6</v>
      </c>
      <c r="E935" s="0" t="n">
        <v>1</v>
      </c>
      <c r="F935" s="0" t="n">
        <f aca="false">D935*E935</f>
        <v>6</v>
      </c>
      <c r="G935" s="0" t="n">
        <f aca="false">ROUNDUP(F935/75,0)</f>
        <v>1</v>
      </c>
    </row>
    <row r="936" customFormat="false" ht="15" hidden="false" customHeight="false" outlineLevel="0" collapsed="false">
      <c r="A936" s="0" t="s">
        <v>249</v>
      </c>
      <c r="B936" s="0" t="s">
        <v>362</v>
      </c>
      <c r="C936" s="0" t="s">
        <v>756</v>
      </c>
      <c r="D936" s="0" t="n">
        <v>12</v>
      </c>
      <c r="E936" s="0" t="n">
        <v>3</v>
      </c>
      <c r="F936" s="0" t="n">
        <f aca="false">D936*E936</f>
        <v>36</v>
      </c>
      <c r="G936" s="0" t="n">
        <f aca="false">ROUNDUP(F936/75,0)</f>
        <v>1</v>
      </c>
    </row>
    <row r="937" customFormat="false" ht="15" hidden="false" customHeight="false" outlineLevel="0" collapsed="false">
      <c r="A937" s="0" t="s">
        <v>249</v>
      </c>
      <c r="B937" s="0" t="s">
        <v>362</v>
      </c>
      <c r="C937" s="0" t="s">
        <v>757</v>
      </c>
      <c r="D937" s="0" t="n">
        <v>6</v>
      </c>
      <c r="E937" s="0" t="n">
        <v>4</v>
      </c>
      <c r="F937" s="0" t="n">
        <f aca="false">D937*E937</f>
        <v>24</v>
      </c>
      <c r="G937" s="0" t="n">
        <f aca="false">ROUNDUP(F937/75,0)</f>
        <v>1</v>
      </c>
    </row>
    <row r="938" customFormat="false" ht="15" hidden="false" customHeight="false" outlineLevel="0" collapsed="false">
      <c r="A938" s="0" t="s">
        <v>249</v>
      </c>
      <c r="B938" s="0" t="s">
        <v>362</v>
      </c>
      <c r="C938" s="0" t="s">
        <v>753</v>
      </c>
      <c r="D938" s="0" t="n">
        <v>6</v>
      </c>
      <c r="E938" s="0" t="n">
        <v>3</v>
      </c>
      <c r="F938" s="0" t="n">
        <f aca="false">D938*E938</f>
        <v>18</v>
      </c>
      <c r="G938" s="0" t="n">
        <f aca="false">ROUNDUP(F938/75,0)</f>
        <v>1</v>
      </c>
    </row>
    <row r="939" customFormat="false" ht="15" hidden="false" customHeight="false" outlineLevel="0" collapsed="false">
      <c r="A939" s="0" t="s">
        <v>249</v>
      </c>
      <c r="B939" s="0" t="s">
        <v>363</v>
      </c>
      <c r="C939" s="0" t="s">
        <v>756</v>
      </c>
      <c r="D939" s="0" t="n">
        <v>12</v>
      </c>
      <c r="E939" s="0" t="n">
        <v>1</v>
      </c>
      <c r="F939" s="0" t="n">
        <f aca="false">D939*E939</f>
        <v>12</v>
      </c>
      <c r="G939" s="0" t="n">
        <f aca="false">ROUNDUP(F939/75,0)</f>
        <v>1</v>
      </c>
    </row>
    <row r="940" customFormat="false" ht="15" hidden="false" customHeight="false" outlineLevel="0" collapsed="false">
      <c r="A940" s="0" t="s">
        <v>249</v>
      </c>
      <c r="B940" s="0" t="s">
        <v>363</v>
      </c>
      <c r="C940" s="0" t="s">
        <v>753</v>
      </c>
      <c r="D940" s="0" t="n">
        <v>6</v>
      </c>
      <c r="E940" s="0" t="n">
        <v>10</v>
      </c>
      <c r="F940" s="0" t="n">
        <f aca="false">D940*E940</f>
        <v>60</v>
      </c>
      <c r="G940" s="0" t="n">
        <f aca="false">ROUNDUP(F940/75,0)</f>
        <v>1</v>
      </c>
    </row>
    <row r="941" customFormat="false" ht="15" hidden="false" customHeight="false" outlineLevel="0" collapsed="false">
      <c r="A941" s="0" t="s">
        <v>249</v>
      </c>
      <c r="B941" s="0" t="s">
        <v>363</v>
      </c>
      <c r="C941" s="0" t="s">
        <v>755</v>
      </c>
      <c r="D941" s="0" t="n">
        <v>6</v>
      </c>
      <c r="E941" s="0" t="n">
        <v>5</v>
      </c>
      <c r="F941" s="0" t="n">
        <f aca="false">D941*E941</f>
        <v>30</v>
      </c>
      <c r="G941" s="0" t="n">
        <f aca="false">ROUNDUP(F941/75,0)</f>
        <v>1</v>
      </c>
    </row>
    <row r="942" customFormat="false" ht="15" hidden="false" customHeight="false" outlineLevel="0" collapsed="false">
      <c r="A942" s="0" t="s">
        <v>249</v>
      </c>
      <c r="B942" s="0" t="s">
        <v>364</v>
      </c>
      <c r="C942" s="0" t="s">
        <v>757</v>
      </c>
      <c r="D942" s="0" t="n">
        <v>6</v>
      </c>
      <c r="E942" s="0" t="n">
        <v>3</v>
      </c>
      <c r="F942" s="0" t="n">
        <f aca="false">D942*E942</f>
        <v>18</v>
      </c>
      <c r="G942" s="0" t="n">
        <f aca="false">ROUNDUP(F942/75,0)</f>
        <v>1</v>
      </c>
    </row>
    <row r="943" customFormat="false" ht="15" hidden="false" customHeight="false" outlineLevel="0" collapsed="false">
      <c r="A943" s="0" t="s">
        <v>249</v>
      </c>
      <c r="B943" s="0" t="s">
        <v>364</v>
      </c>
      <c r="C943" s="0" t="s">
        <v>753</v>
      </c>
      <c r="D943" s="0" t="n">
        <v>6</v>
      </c>
      <c r="E943" s="0" t="n">
        <v>8</v>
      </c>
      <c r="F943" s="0" t="n">
        <f aca="false">D943*E943</f>
        <v>48</v>
      </c>
      <c r="G943" s="0" t="n">
        <f aca="false">ROUNDUP(F943/75,0)</f>
        <v>1</v>
      </c>
    </row>
    <row r="944" customFormat="false" ht="15" hidden="false" customHeight="false" outlineLevel="0" collapsed="false">
      <c r="A944" s="0" t="s">
        <v>249</v>
      </c>
      <c r="B944" s="0" t="s">
        <v>365</v>
      </c>
      <c r="C944" s="0" t="s">
        <v>757</v>
      </c>
      <c r="D944" s="0" t="n">
        <v>6</v>
      </c>
      <c r="E944" s="0" t="n">
        <v>2</v>
      </c>
      <c r="F944" s="0" t="n">
        <f aca="false">D944*E944</f>
        <v>12</v>
      </c>
      <c r="G944" s="0" t="n">
        <f aca="false">ROUNDUP(F944/75,0)</f>
        <v>1</v>
      </c>
    </row>
    <row r="945" customFormat="false" ht="15" hidden="false" customHeight="false" outlineLevel="0" collapsed="false">
      <c r="A945" s="0" t="s">
        <v>249</v>
      </c>
      <c r="B945" s="0" t="s">
        <v>365</v>
      </c>
      <c r="C945" s="0" t="s">
        <v>753</v>
      </c>
      <c r="D945" s="0" t="n">
        <v>6</v>
      </c>
      <c r="E945" s="0" t="n">
        <v>3</v>
      </c>
      <c r="F945" s="0" t="n">
        <f aca="false">D945*E945</f>
        <v>18</v>
      </c>
      <c r="G945" s="0" t="n">
        <f aca="false">ROUNDUP(F945/75,0)</f>
        <v>1</v>
      </c>
    </row>
    <row r="946" customFormat="false" ht="15" hidden="false" customHeight="false" outlineLevel="0" collapsed="false">
      <c r="A946" s="0" t="s">
        <v>249</v>
      </c>
      <c r="B946" s="0" t="s">
        <v>365</v>
      </c>
      <c r="C946" s="0" t="s">
        <v>755</v>
      </c>
      <c r="D946" s="0" t="n">
        <v>6</v>
      </c>
      <c r="E946" s="0" t="n">
        <v>3</v>
      </c>
      <c r="F946" s="0" t="n">
        <f aca="false">D946*E946</f>
        <v>18</v>
      </c>
      <c r="G946" s="0" t="n">
        <f aca="false">ROUNDUP(F946/75,0)</f>
        <v>1</v>
      </c>
    </row>
    <row r="947" customFormat="false" ht="15" hidden="false" customHeight="false" outlineLevel="0" collapsed="false">
      <c r="A947" s="0" t="s">
        <v>249</v>
      </c>
      <c r="B947" s="0" t="s">
        <v>366</v>
      </c>
      <c r="C947" s="0" t="s">
        <v>756</v>
      </c>
      <c r="D947" s="0" t="n">
        <v>12</v>
      </c>
      <c r="E947" s="0" t="n">
        <v>9</v>
      </c>
      <c r="F947" s="0" t="n">
        <f aca="false">D947*E947</f>
        <v>108</v>
      </c>
      <c r="G947" s="0" t="n">
        <f aca="false">ROUNDUP(F947/75,0)</f>
        <v>2</v>
      </c>
    </row>
    <row r="948" customFormat="false" ht="15" hidden="false" customHeight="false" outlineLevel="0" collapsed="false">
      <c r="A948" s="0" t="s">
        <v>249</v>
      </c>
      <c r="B948" s="0" t="s">
        <v>366</v>
      </c>
      <c r="C948" s="0" t="s">
        <v>757</v>
      </c>
      <c r="D948" s="0" t="n">
        <v>6</v>
      </c>
      <c r="E948" s="0" t="n">
        <v>1</v>
      </c>
      <c r="F948" s="0" t="n">
        <f aca="false">D948*E948</f>
        <v>6</v>
      </c>
      <c r="G948" s="0" t="n">
        <f aca="false">ROUNDUP(F948/75,0)</f>
        <v>1</v>
      </c>
    </row>
    <row r="949" customFormat="false" ht="15" hidden="false" customHeight="false" outlineLevel="0" collapsed="false">
      <c r="A949" s="0" t="s">
        <v>249</v>
      </c>
      <c r="B949" s="0" t="s">
        <v>366</v>
      </c>
      <c r="C949" s="0" t="s">
        <v>753</v>
      </c>
      <c r="D949" s="0" t="n">
        <v>6</v>
      </c>
      <c r="E949" s="0" t="n">
        <v>1</v>
      </c>
      <c r="F949" s="0" t="n">
        <f aca="false">D949*E949</f>
        <v>6</v>
      </c>
      <c r="G949" s="0" t="n">
        <f aca="false">ROUNDUP(F949/75,0)</f>
        <v>1</v>
      </c>
    </row>
    <row r="950" customFormat="false" ht="15" hidden="false" customHeight="false" outlineLevel="0" collapsed="false">
      <c r="A950" s="0" t="s">
        <v>249</v>
      </c>
      <c r="B950" s="0" t="s">
        <v>366</v>
      </c>
      <c r="C950" s="0" t="s">
        <v>755</v>
      </c>
      <c r="D950" s="0" t="n">
        <v>6</v>
      </c>
      <c r="E950" s="0" t="n">
        <v>1</v>
      </c>
      <c r="F950" s="0" t="n">
        <f aca="false">D950*E950</f>
        <v>6</v>
      </c>
      <c r="G950" s="0" t="n">
        <f aca="false">ROUNDUP(F950/75,0)</f>
        <v>1</v>
      </c>
    </row>
    <row r="951" customFormat="false" ht="15" hidden="false" customHeight="false" outlineLevel="0" collapsed="false">
      <c r="A951" s="0" t="s">
        <v>249</v>
      </c>
      <c r="B951" s="0" t="s">
        <v>367</v>
      </c>
      <c r="C951" s="0" t="s">
        <v>757</v>
      </c>
      <c r="D951" s="0" t="n">
        <v>6</v>
      </c>
      <c r="E951" s="0" t="n">
        <v>4</v>
      </c>
      <c r="F951" s="0" t="n">
        <f aca="false">D951*E951</f>
        <v>24</v>
      </c>
      <c r="G951" s="0" t="n">
        <f aca="false">ROUNDUP(F951/75,0)</f>
        <v>1</v>
      </c>
    </row>
    <row r="952" customFormat="false" ht="15" hidden="false" customHeight="false" outlineLevel="0" collapsed="false">
      <c r="A952" s="0" t="s">
        <v>249</v>
      </c>
      <c r="B952" s="0" t="s">
        <v>367</v>
      </c>
      <c r="C952" s="0" t="s">
        <v>753</v>
      </c>
      <c r="D952" s="0" t="n">
        <v>6</v>
      </c>
      <c r="E952" s="0" t="n">
        <v>2</v>
      </c>
      <c r="F952" s="0" t="n">
        <f aca="false">D952*E952</f>
        <v>12</v>
      </c>
      <c r="G952" s="0" t="n">
        <f aca="false">ROUNDUP(F952/75,0)</f>
        <v>1</v>
      </c>
    </row>
    <row r="953" customFormat="false" ht="15" hidden="false" customHeight="false" outlineLevel="0" collapsed="false">
      <c r="A953" s="0" t="s">
        <v>249</v>
      </c>
      <c r="B953" s="0" t="s">
        <v>368</v>
      </c>
      <c r="C953" s="0" t="s">
        <v>756</v>
      </c>
      <c r="D953" s="0" t="n">
        <v>12</v>
      </c>
      <c r="E953" s="0" t="n">
        <v>4</v>
      </c>
      <c r="F953" s="0" t="n">
        <f aca="false">D953*E953</f>
        <v>48</v>
      </c>
      <c r="G953" s="0" t="n">
        <f aca="false">ROUNDUP(F953/75,0)</f>
        <v>1</v>
      </c>
    </row>
    <row r="954" customFormat="false" ht="15" hidden="false" customHeight="false" outlineLevel="0" collapsed="false">
      <c r="A954" s="0" t="s">
        <v>249</v>
      </c>
      <c r="B954" s="0" t="s">
        <v>368</v>
      </c>
      <c r="C954" s="0" t="s">
        <v>757</v>
      </c>
      <c r="D954" s="0" t="n">
        <v>6</v>
      </c>
      <c r="E954" s="0" t="n">
        <v>1</v>
      </c>
      <c r="F954" s="0" t="n">
        <f aca="false">D954*E954</f>
        <v>6</v>
      </c>
      <c r="G954" s="0" t="n">
        <f aca="false">ROUNDUP(F954/75,0)</f>
        <v>1</v>
      </c>
    </row>
    <row r="955" customFormat="false" ht="15" hidden="false" customHeight="false" outlineLevel="0" collapsed="false">
      <c r="A955" s="0" t="s">
        <v>249</v>
      </c>
      <c r="B955" s="0" t="s">
        <v>368</v>
      </c>
      <c r="C955" s="0" t="s">
        <v>753</v>
      </c>
      <c r="D955" s="0" t="n">
        <v>6</v>
      </c>
      <c r="E955" s="0" t="n">
        <v>4</v>
      </c>
      <c r="F955" s="0" t="n">
        <f aca="false">D955*E955</f>
        <v>24</v>
      </c>
      <c r="G955" s="0" t="n">
        <f aca="false">ROUNDUP(F955/75,0)</f>
        <v>1</v>
      </c>
    </row>
    <row r="956" customFormat="false" ht="15" hidden="false" customHeight="false" outlineLevel="0" collapsed="false">
      <c r="A956" s="0" t="s">
        <v>249</v>
      </c>
      <c r="B956" s="0" t="s">
        <v>368</v>
      </c>
      <c r="C956" s="0" t="s">
        <v>755</v>
      </c>
      <c r="D956" s="0" t="n">
        <v>6</v>
      </c>
      <c r="E956" s="0" t="n">
        <v>3</v>
      </c>
      <c r="F956" s="0" t="n">
        <f aca="false">D956*E956</f>
        <v>18</v>
      </c>
      <c r="G956" s="0" t="n">
        <f aca="false">ROUNDUP(F956/75,0)</f>
        <v>1</v>
      </c>
    </row>
    <row r="957" customFormat="false" ht="15" hidden="false" customHeight="false" outlineLevel="0" collapsed="false">
      <c r="A957" s="0" t="s">
        <v>249</v>
      </c>
      <c r="B957" s="0" t="s">
        <v>369</v>
      </c>
      <c r="C957" s="0" t="s">
        <v>757</v>
      </c>
      <c r="D957" s="0" t="n">
        <v>6</v>
      </c>
      <c r="E957" s="0" t="n">
        <v>1</v>
      </c>
      <c r="F957" s="0" t="n">
        <f aca="false">D957*E957</f>
        <v>6</v>
      </c>
      <c r="G957" s="0" t="n">
        <f aca="false">ROUNDUP(F957/75,0)</f>
        <v>1</v>
      </c>
    </row>
    <row r="958" customFormat="false" ht="15" hidden="false" customHeight="false" outlineLevel="0" collapsed="false">
      <c r="A958" s="0" t="s">
        <v>249</v>
      </c>
      <c r="B958" s="0" t="s">
        <v>369</v>
      </c>
      <c r="C958" s="0" t="s">
        <v>753</v>
      </c>
      <c r="D958" s="0" t="n">
        <v>6</v>
      </c>
      <c r="E958" s="0" t="n">
        <v>4</v>
      </c>
      <c r="F958" s="0" t="n">
        <f aca="false">D958*E958</f>
        <v>24</v>
      </c>
      <c r="G958" s="0" t="n">
        <f aca="false">ROUNDUP(F958/75,0)</f>
        <v>1</v>
      </c>
    </row>
    <row r="959" customFormat="false" ht="15" hidden="false" customHeight="false" outlineLevel="0" collapsed="false">
      <c r="A959" s="0" t="s">
        <v>249</v>
      </c>
      <c r="B959" s="0" t="s">
        <v>369</v>
      </c>
      <c r="C959" s="0" t="s">
        <v>755</v>
      </c>
      <c r="D959" s="0" t="n">
        <v>6</v>
      </c>
      <c r="E959" s="0" t="n">
        <v>3</v>
      </c>
      <c r="F959" s="0" t="n">
        <f aca="false">D959*E959</f>
        <v>18</v>
      </c>
      <c r="G959" s="0" t="n">
        <f aca="false">ROUNDUP(F959/75,0)</f>
        <v>1</v>
      </c>
    </row>
    <row r="960" customFormat="false" ht="15" hidden="false" customHeight="false" outlineLevel="0" collapsed="false">
      <c r="A960" s="0" t="s">
        <v>249</v>
      </c>
      <c r="B960" s="0" t="s">
        <v>370</v>
      </c>
      <c r="C960" s="0" t="s">
        <v>757</v>
      </c>
      <c r="D960" s="0" t="n">
        <v>6</v>
      </c>
      <c r="E960" s="0" t="n">
        <v>4</v>
      </c>
      <c r="F960" s="0" t="n">
        <f aca="false">D960*E960</f>
        <v>24</v>
      </c>
      <c r="G960" s="0" t="n">
        <f aca="false">ROUNDUP(F960/75,0)</f>
        <v>1</v>
      </c>
    </row>
    <row r="961" customFormat="false" ht="15" hidden="false" customHeight="false" outlineLevel="0" collapsed="false">
      <c r="A961" s="0" t="s">
        <v>249</v>
      </c>
      <c r="B961" s="0" t="s">
        <v>370</v>
      </c>
      <c r="C961" s="0" t="s">
        <v>753</v>
      </c>
      <c r="D961" s="0" t="n">
        <v>6</v>
      </c>
      <c r="E961" s="0" t="n">
        <v>4</v>
      </c>
      <c r="F961" s="0" t="n">
        <f aca="false">D961*E961</f>
        <v>24</v>
      </c>
      <c r="G961" s="0" t="n">
        <f aca="false">ROUNDUP(F961/75,0)</f>
        <v>1</v>
      </c>
    </row>
    <row r="962" customFormat="false" ht="15" hidden="false" customHeight="false" outlineLevel="0" collapsed="false">
      <c r="A962" s="0" t="s">
        <v>249</v>
      </c>
      <c r="B962" s="0" t="s">
        <v>370</v>
      </c>
      <c r="C962" s="0" t="s">
        <v>755</v>
      </c>
      <c r="D962" s="0" t="n">
        <v>6</v>
      </c>
      <c r="E962" s="0" t="n">
        <v>1</v>
      </c>
      <c r="F962" s="0" t="n">
        <f aca="false">D962*E962</f>
        <v>6</v>
      </c>
      <c r="G962" s="0" t="n">
        <f aca="false">ROUNDUP(F962/75,0)</f>
        <v>1</v>
      </c>
    </row>
    <row r="963" customFormat="false" ht="15" hidden="false" customHeight="false" outlineLevel="0" collapsed="false">
      <c r="A963" s="0" t="s">
        <v>249</v>
      </c>
      <c r="B963" s="0" t="s">
        <v>371</v>
      </c>
      <c r="C963" s="0" t="s">
        <v>756</v>
      </c>
      <c r="D963" s="0" t="n">
        <v>12</v>
      </c>
      <c r="E963" s="0" t="n">
        <v>3</v>
      </c>
      <c r="F963" s="0" t="n">
        <f aca="false">D963*E963</f>
        <v>36</v>
      </c>
      <c r="G963" s="0" t="n">
        <f aca="false">ROUNDUP(F963/75,0)</f>
        <v>1</v>
      </c>
    </row>
    <row r="964" customFormat="false" ht="15" hidden="false" customHeight="false" outlineLevel="0" collapsed="false">
      <c r="A964" s="0" t="s">
        <v>249</v>
      </c>
      <c r="B964" s="0" t="s">
        <v>371</v>
      </c>
      <c r="C964" s="0" t="s">
        <v>757</v>
      </c>
      <c r="D964" s="0" t="n">
        <v>6</v>
      </c>
      <c r="E964" s="0" t="n">
        <v>3</v>
      </c>
      <c r="F964" s="0" t="n">
        <f aca="false">D964*E964</f>
        <v>18</v>
      </c>
      <c r="G964" s="0" t="n">
        <f aca="false">ROUNDUP(F964/75,0)</f>
        <v>1</v>
      </c>
    </row>
    <row r="965" customFormat="false" ht="15" hidden="false" customHeight="false" outlineLevel="0" collapsed="false">
      <c r="A965" s="0" t="s">
        <v>249</v>
      </c>
      <c r="B965" s="0" t="s">
        <v>371</v>
      </c>
      <c r="C965" s="0" t="s">
        <v>753</v>
      </c>
      <c r="D965" s="0" t="n">
        <v>6</v>
      </c>
      <c r="E965" s="0" t="n">
        <v>10</v>
      </c>
      <c r="F965" s="0" t="n">
        <f aca="false">D965*E965</f>
        <v>60</v>
      </c>
      <c r="G965" s="0" t="n">
        <f aca="false">ROUNDUP(F965/75,0)</f>
        <v>1</v>
      </c>
    </row>
    <row r="966" customFormat="false" ht="15" hidden="false" customHeight="false" outlineLevel="0" collapsed="false">
      <c r="A966" s="0" t="s">
        <v>249</v>
      </c>
      <c r="B966" s="0" t="s">
        <v>371</v>
      </c>
      <c r="C966" s="0" t="s">
        <v>755</v>
      </c>
      <c r="D966" s="0" t="n">
        <v>6</v>
      </c>
      <c r="E966" s="0" t="n">
        <v>8</v>
      </c>
      <c r="F966" s="0" t="n">
        <f aca="false">D966*E966</f>
        <v>48</v>
      </c>
      <c r="G966" s="0" t="n">
        <f aca="false">ROUNDUP(F966/75,0)</f>
        <v>1</v>
      </c>
    </row>
    <row r="967" customFormat="false" ht="15" hidden="false" customHeight="false" outlineLevel="0" collapsed="false">
      <c r="A967" s="0" t="s">
        <v>249</v>
      </c>
      <c r="B967" s="0" t="s">
        <v>372</v>
      </c>
      <c r="C967" s="0" t="s">
        <v>756</v>
      </c>
      <c r="D967" s="0" t="n">
        <v>12</v>
      </c>
      <c r="E967" s="0" t="n">
        <v>3</v>
      </c>
      <c r="F967" s="0" t="n">
        <f aca="false">D967*E967</f>
        <v>36</v>
      </c>
      <c r="G967" s="0" t="n">
        <f aca="false">ROUNDUP(F967/75,0)</f>
        <v>1</v>
      </c>
    </row>
    <row r="968" customFormat="false" ht="15" hidden="false" customHeight="false" outlineLevel="0" collapsed="false">
      <c r="A968" s="0" t="s">
        <v>249</v>
      </c>
      <c r="B968" s="0" t="s">
        <v>372</v>
      </c>
      <c r="C968" s="0" t="s">
        <v>753</v>
      </c>
      <c r="D968" s="0" t="n">
        <v>6</v>
      </c>
      <c r="E968" s="0" t="n">
        <v>6</v>
      </c>
      <c r="F968" s="0" t="n">
        <f aca="false">D968*E968</f>
        <v>36</v>
      </c>
      <c r="G968" s="0" t="n">
        <f aca="false">ROUNDUP(F968/75,0)</f>
        <v>1</v>
      </c>
    </row>
    <row r="969" customFormat="false" ht="15" hidden="false" customHeight="false" outlineLevel="0" collapsed="false">
      <c r="A969" s="0" t="s">
        <v>249</v>
      </c>
      <c r="B969" s="0" t="s">
        <v>372</v>
      </c>
      <c r="C969" s="0" t="s">
        <v>755</v>
      </c>
      <c r="D969" s="0" t="n">
        <v>6</v>
      </c>
      <c r="E969" s="0" t="n">
        <v>4</v>
      </c>
      <c r="F969" s="0" t="n">
        <f aca="false">D969*E969</f>
        <v>24</v>
      </c>
      <c r="G969" s="0" t="n">
        <f aca="false">ROUNDUP(F969/75,0)</f>
        <v>1</v>
      </c>
    </row>
    <row r="970" customFormat="false" ht="15" hidden="false" customHeight="false" outlineLevel="0" collapsed="false">
      <c r="A970" s="0" t="s">
        <v>249</v>
      </c>
      <c r="B970" s="0" t="s">
        <v>373</v>
      </c>
      <c r="C970" s="0" t="s">
        <v>756</v>
      </c>
      <c r="D970" s="0" t="n">
        <v>12</v>
      </c>
      <c r="E970" s="0" t="n">
        <v>2</v>
      </c>
      <c r="F970" s="0" t="n">
        <f aca="false">D970*E970</f>
        <v>24</v>
      </c>
      <c r="G970" s="0" t="n">
        <f aca="false">ROUNDUP(F970/75,0)</f>
        <v>1</v>
      </c>
    </row>
    <row r="971" customFormat="false" ht="15" hidden="false" customHeight="false" outlineLevel="0" collapsed="false">
      <c r="A971" s="0" t="s">
        <v>249</v>
      </c>
      <c r="B971" s="0" t="s">
        <v>373</v>
      </c>
      <c r="C971" s="0" t="s">
        <v>753</v>
      </c>
      <c r="D971" s="0" t="n">
        <v>6</v>
      </c>
      <c r="E971" s="0" t="n">
        <v>2</v>
      </c>
      <c r="F971" s="0" t="n">
        <f aca="false">D971*E971</f>
        <v>12</v>
      </c>
      <c r="G971" s="0" t="n">
        <f aca="false">ROUNDUP(F971/75,0)</f>
        <v>1</v>
      </c>
    </row>
    <row r="972" customFormat="false" ht="15" hidden="false" customHeight="false" outlineLevel="0" collapsed="false">
      <c r="A972" s="0" t="s">
        <v>249</v>
      </c>
      <c r="B972" s="0" t="s">
        <v>373</v>
      </c>
      <c r="C972" s="0" t="s">
        <v>755</v>
      </c>
      <c r="D972" s="0" t="n">
        <v>6</v>
      </c>
      <c r="E972" s="0" t="n">
        <v>1</v>
      </c>
      <c r="F972" s="0" t="n">
        <f aca="false">D972*E972</f>
        <v>6</v>
      </c>
      <c r="G972" s="0" t="n">
        <f aca="false">ROUNDUP(F972/75,0)</f>
        <v>1</v>
      </c>
    </row>
    <row r="973" customFormat="false" ht="15" hidden="false" customHeight="false" outlineLevel="0" collapsed="false">
      <c r="A973" s="0" t="s">
        <v>249</v>
      </c>
      <c r="B973" s="0" t="s">
        <v>374</v>
      </c>
      <c r="C973" s="0" t="s">
        <v>756</v>
      </c>
      <c r="D973" s="0" t="n">
        <v>12</v>
      </c>
      <c r="E973" s="0" t="n">
        <v>3</v>
      </c>
      <c r="F973" s="0" t="n">
        <f aca="false">D973*E973</f>
        <v>36</v>
      </c>
      <c r="G973" s="0" t="n">
        <f aca="false">ROUNDUP(F973/75,0)</f>
        <v>1</v>
      </c>
    </row>
    <row r="974" customFormat="false" ht="15" hidden="false" customHeight="false" outlineLevel="0" collapsed="false">
      <c r="A974" s="0" t="s">
        <v>249</v>
      </c>
      <c r="B974" s="0" t="s">
        <v>374</v>
      </c>
      <c r="C974" s="0" t="s">
        <v>753</v>
      </c>
      <c r="D974" s="0" t="n">
        <v>6</v>
      </c>
      <c r="E974" s="0" t="n">
        <v>2</v>
      </c>
      <c r="F974" s="0" t="n">
        <f aca="false">D974*E974</f>
        <v>12</v>
      </c>
      <c r="G974" s="0" t="n">
        <f aca="false">ROUNDUP(F974/75,0)</f>
        <v>1</v>
      </c>
    </row>
    <row r="975" customFormat="false" ht="15" hidden="false" customHeight="false" outlineLevel="0" collapsed="false">
      <c r="A975" s="0" t="s">
        <v>249</v>
      </c>
      <c r="B975" s="0" t="s">
        <v>374</v>
      </c>
      <c r="C975" s="0" t="s">
        <v>755</v>
      </c>
      <c r="D975" s="0" t="n">
        <v>6</v>
      </c>
      <c r="E975" s="0" t="n">
        <v>2</v>
      </c>
      <c r="F975" s="0" t="n">
        <f aca="false">D975*E975</f>
        <v>12</v>
      </c>
      <c r="G975" s="0" t="n">
        <f aca="false">ROUNDUP(F975/75,0)</f>
        <v>1</v>
      </c>
    </row>
    <row r="976" customFormat="false" ht="15" hidden="false" customHeight="false" outlineLevel="0" collapsed="false">
      <c r="A976" s="0" t="s">
        <v>249</v>
      </c>
      <c r="B976" s="0" t="s">
        <v>375</v>
      </c>
      <c r="C976" s="0" t="s">
        <v>756</v>
      </c>
      <c r="D976" s="0" t="n">
        <v>12</v>
      </c>
      <c r="E976" s="0" t="n">
        <v>1</v>
      </c>
      <c r="F976" s="0" t="n">
        <f aca="false">D976*E976</f>
        <v>12</v>
      </c>
      <c r="G976" s="0" t="n">
        <f aca="false">ROUNDUP(F976/75,0)</f>
        <v>1</v>
      </c>
    </row>
    <row r="977" customFormat="false" ht="15" hidden="false" customHeight="false" outlineLevel="0" collapsed="false">
      <c r="A977" s="0" t="s">
        <v>249</v>
      </c>
      <c r="B977" s="0" t="s">
        <v>375</v>
      </c>
      <c r="C977" s="0" t="s">
        <v>757</v>
      </c>
      <c r="D977" s="0" t="n">
        <v>6</v>
      </c>
      <c r="E977" s="0" t="n">
        <v>1</v>
      </c>
      <c r="F977" s="0" t="n">
        <f aca="false">D977*E977</f>
        <v>6</v>
      </c>
      <c r="G977" s="0" t="n">
        <f aca="false">ROUNDUP(F977/75,0)</f>
        <v>1</v>
      </c>
    </row>
    <row r="978" customFormat="false" ht="15" hidden="false" customHeight="false" outlineLevel="0" collapsed="false">
      <c r="A978" s="0" t="s">
        <v>249</v>
      </c>
      <c r="B978" s="0" t="s">
        <v>375</v>
      </c>
      <c r="C978" s="0" t="s">
        <v>755</v>
      </c>
      <c r="D978" s="0" t="n">
        <v>6</v>
      </c>
      <c r="E978" s="0" t="n">
        <v>2</v>
      </c>
      <c r="F978" s="0" t="n">
        <f aca="false">D978*E978</f>
        <v>12</v>
      </c>
      <c r="G978" s="0" t="n">
        <f aca="false">ROUNDUP(F978/75,0)</f>
        <v>1</v>
      </c>
    </row>
    <row r="979" customFormat="false" ht="15" hidden="false" customHeight="false" outlineLevel="0" collapsed="false">
      <c r="A979" s="0" t="s">
        <v>249</v>
      </c>
      <c r="B979" s="0" t="s">
        <v>376</v>
      </c>
      <c r="C979" s="0" t="s">
        <v>757</v>
      </c>
      <c r="D979" s="0" t="n">
        <v>6</v>
      </c>
      <c r="E979" s="0" t="n">
        <v>1</v>
      </c>
      <c r="F979" s="0" t="n">
        <f aca="false">D979*E979</f>
        <v>6</v>
      </c>
      <c r="G979" s="0" t="n">
        <f aca="false">ROUNDUP(F979/75,0)</f>
        <v>1</v>
      </c>
    </row>
    <row r="980" customFormat="false" ht="15" hidden="false" customHeight="false" outlineLevel="0" collapsed="false">
      <c r="A980" s="0" t="s">
        <v>249</v>
      </c>
      <c r="B980" s="0" t="s">
        <v>376</v>
      </c>
      <c r="C980" s="0" t="s">
        <v>753</v>
      </c>
      <c r="D980" s="0" t="n">
        <v>6</v>
      </c>
      <c r="E980" s="0" t="n">
        <v>2</v>
      </c>
      <c r="F980" s="0" t="n">
        <f aca="false">D980*E980</f>
        <v>12</v>
      </c>
      <c r="G980" s="0" t="n">
        <f aca="false">ROUNDUP(F980/75,0)</f>
        <v>1</v>
      </c>
    </row>
    <row r="981" customFormat="false" ht="15" hidden="false" customHeight="false" outlineLevel="0" collapsed="false">
      <c r="A981" s="0" t="s">
        <v>249</v>
      </c>
      <c r="B981" s="0" t="s">
        <v>376</v>
      </c>
      <c r="C981" s="0" t="s">
        <v>755</v>
      </c>
      <c r="D981" s="0" t="n">
        <v>6</v>
      </c>
      <c r="E981" s="0" t="n">
        <v>6</v>
      </c>
      <c r="F981" s="0" t="n">
        <f aca="false">D981*E981</f>
        <v>36</v>
      </c>
      <c r="G981" s="0" t="n">
        <f aca="false">ROUNDUP(F981/75,0)</f>
        <v>1</v>
      </c>
    </row>
    <row r="982" customFormat="false" ht="15" hidden="false" customHeight="false" outlineLevel="0" collapsed="false">
      <c r="A982" s="0" t="s">
        <v>249</v>
      </c>
      <c r="B982" s="0" t="s">
        <v>377</v>
      </c>
      <c r="C982" s="0" t="s">
        <v>756</v>
      </c>
      <c r="D982" s="0" t="n">
        <v>12</v>
      </c>
      <c r="E982" s="0" t="n">
        <v>2</v>
      </c>
      <c r="F982" s="0" t="n">
        <f aca="false">D982*E982</f>
        <v>24</v>
      </c>
      <c r="G982" s="0" t="n">
        <f aca="false">ROUNDUP(F982/75,0)</f>
        <v>1</v>
      </c>
    </row>
    <row r="983" customFormat="false" ht="15" hidden="false" customHeight="false" outlineLevel="0" collapsed="false">
      <c r="A983" s="0" t="s">
        <v>249</v>
      </c>
      <c r="B983" s="0" t="s">
        <v>377</v>
      </c>
      <c r="C983" s="0" t="s">
        <v>753</v>
      </c>
      <c r="D983" s="0" t="n">
        <v>6</v>
      </c>
      <c r="E983" s="0" t="n">
        <v>1</v>
      </c>
      <c r="F983" s="0" t="n">
        <f aca="false">D983*E983</f>
        <v>6</v>
      </c>
      <c r="G983" s="0" t="n">
        <f aca="false">ROUNDUP(F983/75,0)</f>
        <v>1</v>
      </c>
    </row>
    <row r="984" customFormat="false" ht="15" hidden="false" customHeight="false" outlineLevel="0" collapsed="false">
      <c r="A984" s="0" t="s">
        <v>249</v>
      </c>
      <c r="B984" s="0" t="s">
        <v>377</v>
      </c>
      <c r="C984" s="0" t="s">
        <v>755</v>
      </c>
      <c r="D984" s="0" t="n">
        <v>6</v>
      </c>
      <c r="E984" s="0" t="n">
        <v>3</v>
      </c>
      <c r="F984" s="0" t="n">
        <f aca="false">D984*E984</f>
        <v>18</v>
      </c>
      <c r="G984" s="0" t="n">
        <f aca="false">ROUNDUP(F984/75,0)</f>
        <v>1</v>
      </c>
    </row>
    <row r="985" customFormat="false" ht="15" hidden="false" customHeight="false" outlineLevel="0" collapsed="false">
      <c r="A985" s="0" t="s">
        <v>249</v>
      </c>
      <c r="B985" s="0" t="s">
        <v>378</v>
      </c>
      <c r="C985" s="0" t="s">
        <v>757</v>
      </c>
      <c r="D985" s="0" t="n">
        <v>6</v>
      </c>
      <c r="E985" s="0" t="n">
        <v>1</v>
      </c>
      <c r="F985" s="0" t="n">
        <f aca="false">D985*E985</f>
        <v>6</v>
      </c>
      <c r="G985" s="0" t="n">
        <f aca="false">ROUNDUP(F985/75,0)</f>
        <v>1</v>
      </c>
    </row>
    <row r="986" customFormat="false" ht="15" hidden="false" customHeight="false" outlineLevel="0" collapsed="false">
      <c r="A986" s="0" t="s">
        <v>249</v>
      </c>
      <c r="B986" s="0" t="s">
        <v>378</v>
      </c>
      <c r="C986" s="0" t="s">
        <v>753</v>
      </c>
      <c r="D986" s="0" t="n">
        <v>6</v>
      </c>
      <c r="E986" s="0" t="n">
        <v>1</v>
      </c>
      <c r="F986" s="0" t="n">
        <f aca="false">D986*E986</f>
        <v>6</v>
      </c>
      <c r="G986" s="0" t="n">
        <f aca="false">ROUNDUP(F986/75,0)</f>
        <v>1</v>
      </c>
    </row>
    <row r="987" customFormat="false" ht="15" hidden="false" customHeight="false" outlineLevel="0" collapsed="false">
      <c r="A987" s="0" t="s">
        <v>249</v>
      </c>
      <c r="B987" s="0" t="s">
        <v>378</v>
      </c>
      <c r="C987" s="0" t="s">
        <v>755</v>
      </c>
      <c r="D987" s="0" t="n">
        <v>6</v>
      </c>
      <c r="E987" s="0" t="n">
        <v>1</v>
      </c>
      <c r="F987" s="0" t="n">
        <f aca="false">D987*E987</f>
        <v>6</v>
      </c>
      <c r="G987" s="0" t="n">
        <f aca="false">ROUNDUP(F987/75,0)</f>
        <v>1</v>
      </c>
    </row>
    <row r="988" customFormat="false" ht="15" hidden="false" customHeight="false" outlineLevel="0" collapsed="false">
      <c r="A988" s="0" t="s">
        <v>249</v>
      </c>
      <c r="B988" s="0" t="s">
        <v>379</v>
      </c>
      <c r="C988" s="0" t="s">
        <v>756</v>
      </c>
      <c r="D988" s="0" t="n">
        <v>12</v>
      </c>
      <c r="E988" s="0" t="n">
        <v>3</v>
      </c>
      <c r="F988" s="0" t="n">
        <f aca="false">D988*E988</f>
        <v>36</v>
      </c>
      <c r="G988" s="0" t="n">
        <f aca="false">ROUNDUP(F988/75,0)</f>
        <v>1</v>
      </c>
    </row>
    <row r="989" customFormat="false" ht="15" hidden="false" customHeight="false" outlineLevel="0" collapsed="false">
      <c r="A989" s="0" t="s">
        <v>249</v>
      </c>
      <c r="B989" s="0" t="s">
        <v>379</v>
      </c>
      <c r="C989" s="0" t="s">
        <v>753</v>
      </c>
      <c r="D989" s="0" t="n">
        <v>6</v>
      </c>
      <c r="E989" s="0" t="n">
        <v>1</v>
      </c>
      <c r="F989" s="0" t="n">
        <f aca="false">D989*E989</f>
        <v>6</v>
      </c>
      <c r="G989" s="0" t="n">
        <f aca="false">ROUNDUP(F989/75,0)</f>
        <v>1</v>
      </c>
    </row>
    <row r="990" customFormat="false" ht="15" hidden="false" customHeight="false" outlineLevel="0" collapsed="false">
      <c r="A990" s="0" t="s">
        <v>249</v>
      </c>
      <c r="B990" s="0" t="s">
        <v>379</v>
      </c>
      <c r="C990" s="0" t="s">
        <v>755</v>
      </c>
      <c r="D990" s="0" t="n">
        <v>6</v>
      </c>
      <c r="E990" s="0" t="n">
        <v>2</v>
      </c>
      <c r="F990" s="0" t="n">
        <f aca="false">D990*E990</f>
        <v>12</v>
      </c>
      <c r="G990" s="0" t="n">
        <f aca="false">ROUNDUP(F990/75,0)</f>
        <v>1</v>
      </c>
    </row>
    <row r="991" customFormat="false" ht="15" hidden="false" customHeight="false" outlineLevel="0" collapsed="false">
      <c r="A991" s="0" t="s">
        <v>249</v>
      </c>
      <c r="B991" s="0" t="s">
        <v>380</v>
      </c>
      <c r="C991" s="0" t="s">
        <v>756</v>
      </c>
      <c r="D991" s="0" t="n">
        <v>12</v>
      </c>
      <c r="E991" s="0" t="n">
        <v>2</v>
      </c>
      <c r="F991" s="0" t="n">
        <f aca="false">D991*E991</f>
        <v>24</v>
      </c>
      <c r="G991" s="0" t="n">
        <f aca="false">ROUNDUP(F991/75,0)</f>
        <v>1</v>
      </c>
    </row>
    <row r="992" customFormat="false" ht="15" hidden="false" customHeight="false" outlineLevel="0" collapsed="false">
      <c r="A992" s="0" t="s">
        <v>249</v>
      </c>
      <c r="B992" s="0" t="s">
        <v>380</v>
      </c>
      <c r="C992" s="0" t="s">
        <v>757</v>
      </c>
      <c r="D992" s="0" t="n">
        <v>6</v>
      </c>
      <c r="E992" s="0" t="n">
        <v>1</v>
      </c>
      <c r="F992" s="0" t="n">
        <f aca="false">D992*E992</f>
        <v>6</v>
      </c>
      <c r="G992" s="0" t="n">
        <f aca="false">ROUNDUP(F992/75,0)</f>
        <v>1</v>
      </c>
    </row>
    <row r="993" customFormat="false" ht="15" hidden="false" customHeight="false" outlineLevel="0" collapsed="false">
      <c r="A993" s="0" t="s">
        <v>249</v>
      </c>
      <c r="B993" s="0" t="s">
        <v>380</v>
      </c>
      <c r="C993" s="0" t="s">
        <v>753</v>
      </c>
      <c r="D993" s="0" t="n">
        <v>6</v>
      </c>
      <c r="E993" s="0" t="n">
        <v>3</v>
      </c>
      <c r="F993" s="0" t="n">
        <f aca="false">D993*E993</f>
        <v>18</v>
      </c>
      <c r="G993" s="0" t="n">
        <f aca="false">ROUNDUP(F993/75,0)</f>
        <v>1</v>
      </c>
    </row>
    <row r="994" customFormat="false" ht="15" hidden="false" customHeight="false" outlineLevel="0" collapsed="false">
      <c r="A994" s="0" t="s">
        <v>249</v>
      </c>
      <c r="B994" s="0" t="s">
        <v>380</v>
      </c>
      <c r="C994" s="0" t="s">
        <v>755</v>
      </c>
      <c r="D994" s="0" t="n">
        <v>6</v>
      </c>
      <c r="E994" s="0" t="n">
        <v>4</v>
      </c>
      <c r="F994" s="0" t="n">
        <f aca="false">D994*E994</f>
        <v>24</v>
      </c>
      <c r="G994" s="0" t="n">
        <f aca="false">ROUNDUP(F994/75,0)</f>
        <v>1</v>
      </c>
    </row>
    <row r="995" customFormat="false" ht="15" hidden="false" customHeight="false" outlineLevel="0" collapsed="false">
      <c r="A995" s="0" t="s">
        <v>249</v>
      </c>
      <c r="B995" s="0" t="s">
        <v>381</v>
      </c>
      <c r="C995" s="0" t="s">
        <v>756</v>
      </c>
      <c r="D995" s="0" t="n">
        <v>12</v>
      </c>
      <c r="E995" s="0" t="n">
        <v>2</v>
      </c>
      <c r="F995" s="0" t="n">
        <f aca="false">D995*E995</f>
        <v>24</v>
      </c>
      <c r="G995" s="0" t="n">
        <f aca="false">ROUNDUP(F995/75,0)</f>
        <v>1</v>
      </c>
    </row>
    <row r="996" customFormat="false" ht="15" hidden="false" customHeight="false" outlineLevel="0" collapsed="false">
      <c r="A996" s="0" t="s">
        <v>249</v>
      </c>
      <c r="B996" s="0" t="s">
        <v>381</v>
      </c>
      <c r="C996" s="0" t="s">
        <v>757</v>
      </c>
      <c r="D996" s="0" t="n">
        <v>6</v>
      </c>
      <c r="E996" s="0" t="n">
        <v>2</v>
      </c>
      <c r="F996" s="0" t="n">
        <f aca="false">D996*E996</f>
        <v>12</v>
      </c>
      <c r="G996" s="0" t="n">
        <f aca="false">ROUNDUP(F996/75,0)</f>
        <v>1</v>
      </c>
    </row>
    <row r="997" customFormat="false" ht="15" hidden="false" customHeight="false" outlineLevel="0" collapsed="false">
      <c r="A997" s="0" t="s">
        <v>249</v>
      </c>
      <c r="B997" s="0" t="s">
        <v>381</v>
      </c>
      <c r="C997" s="0" t="s">
        <v>753</v>
      </c>
      <c r="D997" s="0" t="n">
        <v>6</v>
      </c>
      <c r="E997" s="0" t="n">
        <v>3</v>
      </c>
      <c r="F997" s="0" t="n">
        <f aca="false">D997*E997</f>
        <v>18</v>
      </c>
      <c r="G997" s="0" t="n">
        <f aca="false">ROUNDUP(F997/75,0)</f>
        <v>1</v>
      </c>
    </row>
    <row r="998" customFormat="false" ht="15" hidden="false" customHeight="false" outlineLevel="0" collapsed="false">
      <c r="A998" s="0" t="s">
        <v>249</v>
      </c>
      <c r="B998" s="0" t="s">
        <v>381</v>
      </c>
      <c r="C998" s="0" t="s">
        <v>755</v>
      </c>
      <c r="D998" s="0" t="n">
        <v>6</v>
      </c>
      <c r="E998" s="0" t="n">
        <v>2</v>
      </c>
      <c r="F998" s="0" t="n">
        <f aca="false">D998*E998</f>
        <v>12</v>
      </c>
      <c r="G998" s="0" t="n">
        <f aca="false">ROUNDUP(F998/75,0)</f>
        <v>1</v>
      </c>
    </row>
    <row r="999" customFormat="false" ht="15" hidden="false" customHeight="false" outlineLevel="0" collapsed="false">
      <c r="A999" s="0" t="s">
        <v>249</v>
      </c>
      <c r="B999" s="0" t="s">
        <v>382</v>
      </c>
      <c r="C999" s="0" t="s">
        <v>757</v>
      </c>
      <c r="D999" s="0" t="n">
        <v>6</v>
      </c>
      <c r="E999" s="0" t="n">
        <v>4</v>
      </c>
      <c r="F999" s="0" t="n">
        <f aca="false">D999*E999</f>
        <v>24</v>
      </c>
      <c r="G999" s="0" t="n">
        <f aca="false">ROUNDUP(F999/75,0)</f>
        <v>1</v>
      </c>
    </row>
    <row r="1000" customFormat="false" ht="15" hidden="false" customHeight="false" outlineLevel="0" collapsed="false">
      <c r="A1000" s="0" t="s">
        <v>249</v>
      </c>
      <c r="B1000" s="0" t="s">
        <v>382</v>
      </c>
      <c r="C1000" s="0" t="s">
        <v>753</v>
      </c>
      <c r="D1000" s="0" t="n">
        <v>6</v>
      </c>
      <c r="E1000" s="0" t="n">
        <v>1</v>
      </c>
      <c r="F1000" s="0" t="n">
        <f aca="false">D1000*E1000</f>
        <v>6</v>
      </c>
      <c r="G1000" s="0" t="n">
        <f aca="false">ROUNDUP(F1000/75,0)</f>
        <v>1</v>
      </c>
    </row>
    <row r="1001" customFormat="false" ht="15" hidden="false" customHeight="false" outlineLevel="0" collapsed="false">
      <c r="A1001" s="0" t="s">
        <v>249</v>
      </c>
      <c r="B1001" s="0" t="s">
        <v>382</v>
      </c>
      <c r="C1001" s="0" t="s">
        <v>755</v>
      </c>
      <c r="D1001" s="0" t="n">
        <v>6</v>
      </c>
      <c r="E1001" s="0" t="n">
        <v>5</v>
      </c>
      <c r="F1001" s="0" t="n">
        <f aca="false">D1001*E1001</f>
        <v>30</v>
      </c>
      <c r="G1001" s="0" t="n">
        <f aca="false">ROUNDUP(F1001/75,0)</f>
        <v>1</v>
      </c>
    </row>
    <row r="1002" customFormat="false" ht="15" hidden="false" customHeight="false" outlineLevel="0" collapsed="false">
      <c r="A1002" s="0" t="s">
        <v>249</v>
      </c>
      <c r="B1002" s="0" t="s">
        <v>383</v>
      </c>
      <c r="C1002" s="0" t="s">
        <v>756</v>
      </c>
      <c r="D1002" s="0" t="n">
        <v>12</v>
      </c>
      <c r="E1002" s="0" t="n">
        <v>4</v>
      </c>
      <c r="F1002" s="0" t="n">
        <f aca="false">D1002*E1002</f>
        <v>48</v>
      </c>
      <c r="G1002" s="0" t="n">
        <f aca="false">ROUNDUP(F1002/75,0)</f>
        <v>1</v>
      </c>
    </row>
    <row r="1003" customFormat="false" ht="15" hidden="false" customHeight="false" outlineLevel="0" collapsed="false">
      <c r="A1003" s="0" t="s">
        <v>249</v>
      </c>
      <c r="B1003" s="0" t="s">
        <v>383</v>
      </c>
      <c r="C1003" s="0" t="s">
        <v>753</v>
      </c>
      <c r="D1003" s="0" t="n">
        <v>6</v>
      </c>
      <c r="E1003" s="0" t="n">
        <v>2</v>
      </c>
      <c r="F1003" s="0" t="n">
        <f aca="false">D1003*E1003</f>
        <v>12</v>
      </c>
      <c r="G1003" s="0" t="n">
        <f aca="false">ROUNDUP(F1003/75,0)</f>
        <v>1</v>
      </c>
    </row>
    <row r="1004" customFormat="false" ht="15" hidden="false" customHeight="false" outlineLevel="0" collapsed="false">
      <c r="A1004" s="0" t="s">
        <v>249</v>
      </c>
      <c r="B1004" s="0" t="s">
        <v>383</v>
      </c>
      <c r="C1004" s="0" t="s">
        <v>755</v>
      </c>
      <c r="D1004" s="0" t="n">
        <v>6</v>
      </c>
      <c r="E1004" s="0" t="n">
        <v>3</v>
      </c>
      <c r="F1004" s="0" t="n">
        <f aca="false">D1004*E1004</f>
        <v>18</v>
      </c>
      <c r="G1004" s="0" t="n">
        <f aca="false">ROUNDUP(F1004/75,0)</f>
        <v>1</v>
      </c>
    </row>
    <row r="1005" customFormat="false" ht="15" hidden="false" customHeight="false" outlineLevel="0" collapsed="false">
      <c r="A1005" s="0" t="s">
        <v>249</v>
      </c>
      <c r="B1005" s="0" t="s">
        <v>384</v>
      </c>
      <c r="C1005" s="0" t="s">
        <v>756</v>
      </c>
      <c r="D1005" s="0" t="n">
        <v>12</v>
      </c>
      <c r="E1005" s="0" t="n">
        <v>1</v>
      </c>
      <c r="F1005" s="0" t="n">
        <f aca="false">D1005*E1005</f>
        <v>12</v>
      </c>
      <c r="G1005" s="0" t="n">
        <f aca="false">ROUNDUP(F1005/75,0)</f>
        <v>1</v>
      </c>
    </row>
    <row r="1006" customFormat="false" ht="15" hidden="false" customHeight="false" outlineLevel="0" collapsed="false">
      <c r="A1006" s="0" t="s">
        <v>249</v>
      </c>
      <c r="B1006" s="0" t="s">
        <v>384</v>
      </c>
      <c r="C1006" s="0" t="s">
        <v>753</v>
      </c>
      <c r="D1006" s="0" t="n">
        <v>6</v>
      </c>
      <c r="E1006" s="0" t="n">
        <v>1</v>
      </c>
      <c r="F1006" s="0" t="n">
        <f aca="false">D1006*E1006</f>
        <v>6</v>
      </c>
      <c r="G1006" s="0" t="n">
        <f aca="false">ROUNDUP(F1006/75,0)</f>
        <v>1</v>
      </c>
    </row>
    <row r="1007" customFormat="false" ht="15" hidden="false" customHeight="false" outlineLevel="0" collapsed="false">
      <c r="A1007" s="0" t="s">
        <v>249</v>
      </c>
      <c r="B1007" s="0" t="s">
        <v>384</v>
      </c>
      <c r="C1007" s="0" t="s">
        <v>755</v>
      </c>
      <c r="D1007" s="0" t="n">
        <v>6</v>
      </c>
      <c r="E1007" s="0" t="n">
        <v>5</v>
      </c>
      <c r="F1007" s="0" t="n">
        <f aca="false">D1007*E1007</f>
        <v>30</v>
      </c>
      <c r="G1007" s="0" t="n">
        <f aca="false">ROUNDUP(F1007/75,0)</f>
        <v>1</v>
      </c>
    </row>
    <row r="1008" customFormat="false" ht="15" hidden="false" customHeight="false" outlineLevel="0" collapsed="false">
      <c r="A1008" s="0" t="s">
        <v>249</v>
      </c>
      <c r="B1008" s="0" t="s">
        <v>385</v>
      </c>
      <c r="C1008" s="0" t="s">
        <v>756</v>
      </c>
      <c r="D1008" s="0" t="n">
        <v>12</v>
      </c>
      <c r="E1008" s="0" t="n">
        <v>2</v>
      </c>
      <c r="F1008" s="0" t="n">
        <f aca="false">D1008*E1008</f>
        <v>24</v>
      </c>
      <c r="G1008" s="0" t="n">
        <f aca="false">ROUNDUP(F1008/75,0)</f>
        <v>1</v>
      </c>
    </row>
    <row r="1009" customFormat="false" ht="15" hidden="false" customHeight="false" outlineLevel="0" collapsed="false">
      <c r="A1009" s="0" t="s">
        <v>249</v>
      </c>
      <c r="B1009" s="0" t="s">
        <v>385</v>
      </c>
      <c r="C1009" s="0" t="s">
        <v>757</v>
      </c>
      <c r="D1009" s="0" t="n">
        <v>6</v>
      </c>
      <c r="E1009" s="0" t="n">
        <v>1</v>
      </c>
      <c r="F1009" s="0" t="n">
        <f aca="false">D1009*E1009</f>
        <v>6</v>
      </c>
      <c r="G1009" s="0" t="n">
        <f aca="false">ROUNDUP(F1009/75,0)</f>
        <v>1</v>
      </c>
    </row>
    <row r="1010" customFormat="false" ht="15" hidden="false" customHeight="false" outlineLevel="0" collapsed="false">
      <c r="A1010" s="0" t="s">
        <v>249</v>
      </c>
      <c r="B1010" s="0" t="s">
        <v>385</v>
      </c>
      <c r="C1010" s="0" t="s">
        <v>753</v>
      </c>
      <c r="D1010" s="0" t="n">
        <v>6</v>
      </c>
      <c r="E1010" s="0" t="n">
        <v>3</v>
      </c>
      <c r="F1010" s="0" t="n">
        <f aca="false">D1010*E1010</f>
        <v>18</v>
      </c>
      <c r="G1010" s="0" t="n">
        <f aca="false">ROUNDUP(F1010/75,0)</f>
        <v>1</v>
      </c>
    </row>
    <row r="1011" customFormat="false" ht="15" hidden="false" customHeight="false" outlineLevel="0" collapsed="false">
      <c r="A1011" s="0" t="s">
        <v>249</v>
      </c>
      <c r="B1011" s="0" t="s">
        <v>385</v>
      </c>
      <c r="C1011" s="0" t="s">
        <v>755</v>
      </c>
      <c r="D1011" s="0" t="n">
        <v>6</v>
      </c>
      <c r="E1011" s="0" t="n">
        <v>6</v>
      </c>
      <c r="F1011" s="0" t="n">
        <f aca="false">D1011*E1011</f>
        <v>36</v>
      </c>
      <c r="G1011" s="0" t="n">
        <f aca="false">ROUNDUP(F1011/75,0)</f>
        <v>1</v>
      </c>
    </row>
    <row r="1012" customFormat="false" ht="15" hidden="false" customHeight="false" outlineLevel="0" collapsed="false">
      <c r="A1012" s="0" t="s">
        <v>249</v>
      </c>
      <c r="B1012" s="0" t="s">
        <v>386</v>
      </c>
      <c r="C1012" s="0" t="s">
        <v>757</v>
      </c>
      <c r="D1012" s="0" t="n">
        <v>6</v>
      </c>
      <c r="E1012" s="0" t="n">
        <v>6</v>
      </c>
      <c r="F1012" s="0" t="n">
        <f aca="false">D1012*E1012</f>
        <v>36</v>
      </c>
      <c r="G1012" s="0" t="n">
        <f aca="false">ROUNDUP(F1012/75,0)</f>
        <v>1</v>
      </c>
    </row>
    <row r="1013" customFormat="false" ht="15" hidden="false" customHeight="false" outlineLevel="0" collapsed="false">
      <c r="A1013" s="0" t="s">
        <v>249</v>
      </c>
      <c r="B1013" s="0" t="s">
        <v>386</v>
      </c>
      <c r="C1013" s="0" t="s">
        <v>753</v>
      </c>
      <c r="D1013" s="0" t="n">
        <v>6</v>
      </c>
      <c r="E1013" s="0" t="n">
        <v>4</v>
      </c>
      <c r="F1013" s="0" t="n">
        <f aca="false">D1013*E1013</f>
        <v>24</v>
      </c>
      <c r="G1013" s="0" t="n">
        <f aca="false">ROUNDUP(F1013/75,0)</f>
        <v>1</v>
      </c>
    </row>
    <row r="1014" customFormat="false" ht="15" hidden="false" customHeight="false" outlineLevel="0" collapsed="false">
      <c r="A1014" s="0" t="s">
        <v>249</v>
      </c>
      <c r="B1014" s="0" t="s">
        <v>386</v>
      </c>
      <c r="C1014" s="0" t="s">
        <v>755</v>
      </c>
      <c r="D1014" s="0" t="n">
        <v>6</v>
      </c>
      <c r="E1014" s="0" t="n">
        <v>3</v>
      </c>
      <c r="F1014" s="0" t="n">
        <f aca="false">D1014*E1014</f>
        <v>18</v>
      </c>
      <c r="G1014" s="0" t="n">
        <f aca="false">ROUNDUP(F1014/75,0)</f>
        <v>1</v>
      </c>
    </row>
    <row r="1015" customFormat="false" ht="15" hidden="false" customHeight="false" outlineLevel="0" collapsed="false">
      <c r="A1015" s="0" t="s">
        <v>249</v>
      </c>
      <c r="B1015" s="0" t="s">
        <v>387</v>
      </c>
      <c r="C1015" s="0" t="s">
        <v>756</v>
      </c>
      <c r="D1015" s="0" t="n">
        <v>12</v>
      </c>
      <c r="E1015" s="0" t="n">
        <v>3</v>
      </c>
      <c r="F1015" s="0" t="n">
        <f aca="false">D1015*E1015</f>
        <v>36</v>
      </c>
      <c r="G1015" s="0" t="n">
        <f aca="false">ROUNDUP(F1015/75,0)</f>
        <v>1</v>
      </c>
    </row>
    <row r="1016" customFormat="false" ht="15" hidden="false" customHeight="false" outlineLevel="0" collapsed="false">
      <c r="A1016" s="0" t="s">
        <v>249</v>
      </c>
      <c r="B1016" s="0" t="s">
        <v>387</v>
      </c>
      <c r="C1016" s="0" t="s">
        <v>757</v>
      </c>
      <c r="D1016" s="0" t="n">
        <v>6</v>
      </c>
      <c r="E1016" s="0" t="n">
        <v>3</v>
      </c>
      <c r="F1016" s="0" t="n">
        <f aca="false">D1016*E1016</f>
        <v>18</v>
      </c>
      <c r="G1016" s="0" t="n">
        <f aca="false">ROUNDUP(F1016/75,0)</f>
        <v>1</v>
      </c>
    </row>
    <row r="1017" customFormat="false" ht="15" hidden="false" customHeight="false" outlineLevel="0" collapsed="false">
      <c r="A1017" s="0" t="s">
        <v>249</v>
      </c>
      <c r="B1017" s="0" t="s">
        <v>387</v>
      </c>
      <c r="C1017" s="0" t="s">
        <v>753</v>
      </c>
      <c r="D1017" s="0" t="n">
        <v>6</v>
      </c>
      <c r="E1017" s="0" t="n">
        <v>3</v>
      </c>
      <c r="F1017" s="0" t="n">
        <f aca="false">D1017*E1017</f>
        <v>18</v>
      </c>
      <c r="G1017" s="0" t="n">
        <f aca="false">ROUNDUP(F1017/75,0)</f>
        <v>1</v>
      </c>
    </row>
    <row r="1018" customFormat="false" ht="15" hidden="false" customHeight="false" outlineLevel="0" collapsed="false">
      <c r="A1018" s="0" t="s">
        <v>249</v>
      </c>
      <c r="B1018" s="0" t="s">
        <v>387</v>
      </c>
      <c r="C1018" s="0" t="s">
        <v>755</v>
      </c>
      <c r="D1018" s="0" t="n">
        <v>6</v>
      </c>
      <c r="E1018" s="0" t="n">
        <v>2</v>
      </c>
      <c r="F1018" s="0" t="n">
        <f aca="false">D1018*E1018</f>
        <v>12</v>
      </c>
      <c r="G1018" s="0" t="n">
        <f aca="false">ROUNDUP(F1018/75,0)</f>
        <v>1</v>
      </c>
    </row>
    <row r="1019" customFormat="false" ht="15" hidden="false" customHeight="false" outlineLevel="0" collapsed="false">
      <c r="A1019" s="0" t="s">
        <v>249</v>
      </c>
      <c r="B1019" s="0" t="s">
        <v>388</v>
      </c>
      <c r="C1019" s="0" t="s">
        <v>757</v>
      </c>
      <c r="D1019" s="0" t="n">
        <v>6</v>
      </c>
      <c r="E1019" s="0" t="n">
        <v>2</v>
      </c>
      <c r="F1019" s="0" t="n">
        <f aca="false">D1019*E1019</f>
        <v>12</v>
      </c>
      <c r="G1019" s="0" t="n">
        <f aca="false">ROUNDUP(F1019/75,0)</f>
        <v>1</v>
      </c>
    </row>
    <row r="1020" customFormat="false" ht="15" hidden="false" customHeight="false" outlineLevel="0" collapsed="false">
      <c r="A1020" s="0" t="s">
        <v>249</v>
      </c>
      <c r="B1020" s="0" t="s">
        <v>388</v>
      </c>
      <c r="C1020" s="0" t="s">
        <v>753</v>
      </c>
      <c r="D1020" s="0" t="n">
        <v>6</v>
      </c>
      <c r="E1020" s="0" t="n">
        <v>2</v>
      </c>
      <c r="F1020" s="0" t="n">
        <f aca="false">D1020*E1020</f>
        <v>12</v>
      </c>
      <c r="G1020" s="0" t="n">
        <f aca="false">ROUNDUP(F1020/75,0)</f>
        <v>1</v>
      </c>
    </row>
    <row r="1021" customFormat="false" ht="15" hidden="false" customHeight="false" outlineLevel="0" collapsed="false">
      <c r="A1021" s="0" t="s">
        <v>249</v>
      </c>
      <c r="B1021" s="0" t="s">
        <v>388</v>
      </c>
      <c r="C1021" s="0" t="s">
        <v>755</v>
      </c>
      <c r="D1021" s="0" t="n">
        <v>6</v>
      </c>
      <c r="E1021" s="0" t="n">
        <v>4</v>
      </c>
      <c r="F1021" s="0" t="n">
        <f aca="false">D1021*E1021</f>
        <v>24</v>
      </c>
      <c r="G1021" s="0" t="n">
        <f aca="false">ROUNDUP(F1021/75,0)</f>
        <v>1</v>
      </c>
    </row>
    <row r="1022" customFormat="false" ht="15" hidden="false" customHeight="false" outlineLevel="0" collapsed="false">
      <c r="A1022" s="0" t="s">
        <v>249</v>
      </c>
      <c r="B1022" s="0" t="s">
        <v>389</v>
      </c>
      <c r="C1022" s="0" t="s">
        <v>756</v>
      </c>
      <c r="D1022" s="0" t="n">
        <v>12</v>
      </c>
      <c r="E1022" s="0" t="n">
        <v>2</v>
      </c>
      <c r="F1022" s="0" t="n">
        <f aca="false">D1022*E1022</f>
        <v>24</v>
      </c>
      <c r="G1022" s="0" t="n">
        <f aca="false">ROUNDUP(F1022/75,0)</f>
        <v>1</v>
      </c>
    </row>
    <row r="1023" customFormat="false" ht="15" hidden="false" customHeight="false" outlineLevel="0" collapsed="false">
      <c r="A1023" s="0" t="s">
        <v>249</v>
      </c>
      <c r="B1023" s="0" t="s">
        <v>389</v>
      </c>
      <c r="C1023" s="0" t="s">
        <v>753</v>
      </c>
      <c r="D1023" s="0" t="n">
        <v>6</v>
      </c>
      <c r="E1023" s="0" t="n">
        <v>5</v>
      </c>
      <c r="F1023" s="0" t="n">
        <f aca="false">D1023*E1023</f>
        <v>30</v>
      </c>
      <c r="G1023" s="0" t="n">
        <f aca="false">ROUNDUP(F1023/75,0)</f>
        <v>1</v>
      </c>
    </row>
    <row r="1024" customFormat="false" ht="15" hidden="false" customHeight="false" outlineLevel="0" collapsed="false">
      <c r="A1024" s="0" t="s">
        <v>249</v>
      </c>
      <c r="B1024" s="0" t="s">
        <v>390</v>
      </c>
      <c r="C1024" s="0" t="s">
        <v>756</v>
      </c>
      <c r="D1024" s="0" t="n">
        <v>12</v>
      </c>
      <c r="E1024" s="0" t="n">
        <v>5</v>
      </c>
      <c r="F1024" s="0" t="n">
        <f aca="false">D1024*E1024</f>
        <v>60</v>
      </c>
      <c r="G1024" s="0" t="n">
        <f aca="false">ROUNDUP(F1024/75,0)</f>
        <v>1</v>
      </c>
    </row>
    <row r="1025" customFormat="false" ht="15" hidden="false" customHeight="false" outlineLevel="0" collapsed="false">
      <c r="A1025" s="0" t="s">
        <v>249</v>
      </c>
      <c r="B1025" s="0" t="s">
        <v>390</v>
      </c>
      <c r="C1025" s="0" t="s">
        <v>753</v>
      </c>
      <c r="D1025" s="0" t="n">
        <v>6</v>
      </c>
      <c r="E1025" s="0" t="n">
        <v>2</v>
      </c>
      <c r="F1025" s="0" t="n">
        <f aca="false">D1025*E1025</f>
        <v>12</v>
      </c>
      <c r="G1025" s="0" t="n">
        <f aca="false">ROUNDUP(F1025/75,0)</f>
        <v>1</v>
      </c>
    </row>
    <row r="1026" customFormat="false" ht="15" hidden="false" customHeight="false" outlineLevel="0" collapsed="false">
      <c r="A1026" s="0" t="s">
        <v>249</v>
      </c>
      <c r="B1026" s="0" t="s">
        <v>390</v>
      </c>
      <c r="C1026" s="0" t="s">
        <v>755</v>
      </c>
      <c r="D1026" s="0" t="n">
        <v>6</v>
      </c>
      <c r="E1026" s="0" t="n">
        <v>5</v>
      </c>
      <c r="F1026" s="0" t="n">
        <f aca="false">D1026*E1026</f>
        <v>30</v>
      </c>
      <c r="G1026" s="0" t="n">
        <f aca="false">ROUNDUP(F1026/75,0)</f>
        <v>1</v>
      </c>
    </row>
    <row r="1027" customFormat="false" ht="15" hidden="false" customHeight="false" outlineLevel="0" collapsed="false">
      <c r="A1027" s="0" t="s">
        <v>249</v>
      </c>
      <c r="B1027" s="0" t="s">
        <v>391</v>
      </c>
      <c r="C1027" s="0" t="s">
        <v>756</v>
      </c>
      <c r="D1027" s="0" t="n">
        <v>12</v>
      </c>
      <c r="E1027" s="0" t="n">
        <v>1</v>
      </c>
      <c r="F1027" s="0" t="n">
        <f aca="false">D1027*E1027</f>
        <v>12</v>
      </c>
      <c r="G1027" s="0" t="n">
        <f aca="false">ROUNDUP(F1027/75,0)</f>
        <v>1</v>
      </c>
    </row>
    <row r="1028" customFormat="false" ht="15" hidden="false" customHeight="false" outlineLevel="0" collapsed="false">
      <c r="A1028" s="0" t="s">
        <v>249</v>
      </c>
      <c r="B1028" s="0" t="s">
        <v>391</v>
      </c>
      <c r="C1028" s="0" t="s">
        <v>757</v>
      </c>
      <c r="D1028" s="0" t="n">
        <v>6</v>
      </c>
      <c r="E1028" s="0" t="n">
        <v>7</v>
      </c>
      <c r="F1028" s="0" t="n">
        <f aca="false">D1028*E1028</f>
        <v>42</v>
      </c>
      <c r="G1028" s="0" t="n">
        <f aca="false">ROUNDUP(F1028/75,0)</f>
        <v>1</v>
      </c>
    </row>
    <row r="1029" customFormat="false" ht="15" hidden="false" customHeight="false" outlineLevel="0" collapsed="false">
      <c r="A1029" s="0" t="s">
        <v>249</v>
      </c>
      <c r="B1029" s="0" t="s">
        <v>391</v>
      </c>
      <c r="C1029" s="0" t="s">
        <v>753</v>
      </c>
      <c r="D1029" s="0" t="n">
        <v>6</v>
      </c>
      <c r="E1029" s="0" t="n">
        <v>3</v>
      </c>
      <c r="F1029" s="0" t="n">
        <f aca="false">D1029*E1029</f>
        <v>18</v>
      </c>
      <c r="G1029" s="0" t="n">
        <f aca="false">ROUNDUP(F1029/75,0)</f>
        <v>1</v>
      </c>
    </row>
    <row r="1030" customFormat="false" ht="15" hidden="false" customHeight="false" outlineLevel="0" collapsed="false">
      <c r="A1030" s="0" t="s">
        <v>249</v>
      </c>
      <c r="B1030" s="0" t="s">
        <v>391</v>
      </c>
      <c r="C1030" s="0" t="s">
        <v>755</v>
      </c>
      <c r="D1030" s="0" t="n">
        <v>6</v>
      </c>
      <c r="E1030" s="0" t="n">
        <v>7</v>
      </c>
      <c r="F1030" s="0" t="n">
        <f aca="false">D1030*E1030</f>
        <v>42</v>
      </c>
      <c r="G1030" s="0" t="n">
        <f aca="false">ROUNDUP(F1030/75,0)</f>
        <v>1</v>
      </c>
    </row>
    <row r="1031" customFormat="false" ht="15" hidden="false" customHeight="false" outlineLevel="0" collapsed="false">
      <c r="A1031" s="0" t="s">
        <v>249</v>
      </c>
      <c r="B1031" s="0" t="s">
        <v>392</v>
      </c>
      <c r="C1031" s="0" t="s">
        <v>757</v>
      </c>
      <c r="D1031" s="0" t="n">
        <v>6</v>
      </c>
      <c r="E1031" s="0" t="n">
        <v>1</v>
      </c>
      <c r="F1031" s="0" t="n">
        <f aca="false">D1031*E1031</f>
        <v>6</v>
      </c>
      <c r="G1031" s="0" t="n">
        <f aca="false">ROUNDUP(F1031/75,0)</f>
        <v>1</v>
      </c>
    </row>
    <row r="1032" customFormat="false" ht="15" hidden="false" customHeight="false" outlineLevel="0" collapsed="false">
      <c r="A1032" s="0" t="s">
        <v>249</v>
      </c>
      <c r="B1032" s="0" t="s">
        <v>392</v>
      </c>
      <c r="C1032" s="0" t="s">
        <v>753</v>
      </c>
      <c r="D1032" s="0" t="n">
        <v>6</v>
      </c>
      <c r="E1032" s="0" t="n">
        <v>2</v>
      </c>
      <c r="F1032" s="0" t="n">
        <f aca="false">D1032*E1032</f>
        <v>12</v>
      </c>
      <c r="G1032" s="0" t="n">
        <f aca="false">ROUNDUP(F1032/75,0)</f>
        <v>1</v>
      </c>
    </row>
    <row r="1033" customFormat="false" ht="15" hidden="false" customHeight="false" outlineLevel="0" collapsed="false">
      <c r="A1033" s="0" t="s">
        <v>249</v>
      </c>
      <c r="B1033" s="0" t="s">
        <v>392</v>
      </c>
      <c r="C1033" s="0" t="s">
        <v>755</v>
      </c>
      <c r="D1033" s="0" t="n">
        <v>6</v>
      </c>
      <c r="E1033" s="0" t="n">
        <v>3</v>
      </c>
      <c r="F1033" s="0" t="n">
        <f aca="false">D1033*E1033</f>
        <v>18</v>
      </c>
      <c r="G1033" s="0" t="n">
        <f aca="false">ROUNDUP(F1033/75,0)</f>
        <v>1</v>
      </c>
    </row>
    <row r="1034" customFormat="false" ht="15" hidden="false" customHeight="false" outlineLevel="0" collapsed="false">
      <c r="A1034" s="0" t="s">
        <v>249</v>
      </c>
      <c r="B1034" s="0" t="s">
        <v>393</v>
      </c>
      <c r="C1034" s="0" t="s">
        <v>756</v>
      </c>
      <c r="D1034" s="0" t="n">
        <v>12</v>
      </c>
      <c r="E1034" s="0" t="n">
        <v>1</v>
      </c>
      <c r="F1034" s="0" t="n">
        <f aca="false">D1034*E1034</f>
        <v>12</v>
      </c>
      <c r="G1034" s="0" t="n">
        <f aca="false">ROUNDUP(F1034/75,0)</f>
        <v>1</v>
      </c>
    </row>
    <row r="1035" customFormat="false" ht="15" hidden="false" customHeight="false" outlineLevel="0" collapsed="false">
      <c r="A1035" s="0" t="s">
        <v>249</v>
      </c>
      <c r="B1035" s="0" t="s">
        <v>393</v>
      </c>
      <c r="C1035" s="0" t="s">
        <v>757</v>
      </c>
      <c r="D1035" s="0" t="n">
        <v>6</v>
      </c>
      <c r="E1035" s="0" t="n">
        <v>1</v>
      </c>
      <c r="F1035" s="0" t="n">
        <f aca="false">D1035*E1035</f>
        <v>6</v>
      </c>
      <c r="G1035" s="0" t="n">
        <f aca="false">ROUNDUP(F1035/75,0)</f>
        <v>1</v>
      </c>
    </row>
    <row r="1036" customFormat="false" ht="15" hidden="false" customHeight="false" outlineLevel="0" collapsed="false">
      <c r="A1036" s="0" t="s">
        <v>249</v>
      </c>
      <c r="B1036" s="0" t="s">
        <v>393</v>
      </c>
      <c r="C1036" s="0" t="s">
        <v>753</v>
      </c>
      <c r="D1036" s="0" t="n">
        <v>6</v>
      </c>
      <c r="E1036" s="0" t="n">
        <v>3</v>
      </c>
      <c r="F1036" s="0" t="n">
        <f aca="false">D1036*E1036</f>
        <v>18</v>
      </c>
      <c r="G1036" s="0" t="n">
        <f aca="false">ROUNDUP(F1036/75,0)</f>
        <v>1</v>
      </c>
    </row>
    <row r="1037" customFormat="false" ht="15" hidden="false" customHeight="false" outlineLevel="0" collapsed="false">
      <c r="A1037" s="0" t="s">
        <v>249</v>
      </c>
      <c r="B1037" s="0" t="s">
        <v>393</v>
      </c>
      <c r="C1037" s="0" t="s">
        <v>755</v>
      </c>
      <c r="D1037" s="0" t="n">
        <v>6</v>
      </c>
      <c r="E1037" s="0" t="n">
        <v>1</v>
      </c>
      <c r="F1037" s="0" t="n">
        <f aca="false">D1037*E1037</f>
        <v>6</v>
      </c>
      <c r="G1037" s="0" t="n">
        <f aca="false">ROUNDUP(F1037/75,0)</f>
        <v>1</v>
      </c>
    </row>
    <row r="1038" customFormat="false" ht="15" hidden="false" customHeight="false" outlineLevel="0" collapsed="false">
      <c r="A1038" s="0" t="s">
        <v>249</v>
      </c>
      <c r="B1038" s="0" t="s">
        <v>394</v>
      </c>
      <c r="C1038" s="0" t="s">
        <v>757</v>
      </c>
      <c r="D1038" s="0" t="n">
        <v>6</v>
      </c>
      <c r="E1038" s="0" t="n">
        <v>2</v>
      </c>
      <c r="F1038" s="0" t="n">
        <f aca="false">D1038*E1038</f>
        <v>12</v>
      </c>
      <c r="G1038" s="0" t="n">
        <f aca="false">ROUNDUP(F1038/75,0)</f>
        <v>1</v>
      </c>
    </row>
    <row r="1039" customFormat="false" ht="15" hidden="false" customHeight="false" outlineLevel="0" collapsed="false">
      <c r="A1039" s="0" t="s">
        <v>249</v>
      </c>
      <c r="B1039" s="0" t="s">
        <v>394</v>
      </c>
      <c r="C1039" s="0" t="s">
        <v>753</v>
      </c>
      <c r="D1039" s="0" t="n">
        <v>6</v>
      </c>
      <c r="E1039" s="0" t="n">
        <v>1</v>
      </c>
      <c r="F1039" s="0" t="n">
        <f aca="false">D1039*E1039</f>
        <v>6</v>
      </c>
      <c r="G1039" s="0" t="n">
        <f aca="false">ROUNDUP(F1039/75,0)</f>
        <v>1</v>
      </c>
    </row>
    <row r="1040" customFormat="false" ht="15" hidden="false" customHeight="false" outlineLevel="0" collapsed="false">
      <c r="A1040" s="0" t="s">
        <v>249</v>
      </c>
      <c r="B1040" s="0" t="s">
        <v>395</v>
      </c>
      <c r="C1040" s="0" t="s">
        <v>756</v>
      </c>
      <c r="D1040" s="0" t="n">
        <v>12</v>
      </c>
      <c r="E1040" s="0" t="n">
        <v>2</v>
      </c>
      <c r="F1040" s="0" t="n">
        <f aca="false">D1040*E1040</f>
        <v>24</v>
      </c>
      <c r="G1040" s="0" t="n">
        <f aca="false">ROUNDUP(F1040/75,0)</f>
        <v>1</v>
      </c>
    </row>
    <row r="1041" customFormat="false" ht="15" hidden="false" customHeight="false" outlineLevel="0" collapsed="false">
      <c r="A1041" s="0" t="s">
        <v>249</v>
      </c>
      <c r="B1041" s="0" t="s">
        <v>395</v>
      </c>
      <c r="C1041" s="0" t="s">
        <v>757</v>
      </c>
      <c r="D1041" s="0" t="n">
        <v>6</v>
      </c>
      <c r="E1041" s="0" t="n">
        <v>1</v>
      </c>
      <c r="F1041" s="0" t="n">
        <f aca="false">D1041*E1041</f>
        <v>6</v>
      </c>
      <c r="G1041" s="0" t="n">
        <f aca="false">ROUNDUP(F1041/75,0)</f>
        <v>1</v>
      </c>
    </row>
    <row r="1042" customFormat="false" ht="15" hidden="false" customHeight="false" outlineLevel="0" collapsed="false">
      <c r="A1042" s="0" t="s">
        <v>249</v>
      </c>
      <c r="B1042" s="0" t="s">
        <v>395</v>
      </c>
      <c r="C1042" s="0" t="s">
        <v>753</v>
      </c>
      <c r="D1042" s="0" t="n">
        <v>6</v>
      </c>
      <c r="E1042" s="0" t="n">
        <v>3</v>
      </c>
      <c r="F1042" s="0" t="n">
        <f aca="false">D1042*E1042</f>
        <v>18</v>
      </c>
      <c r="G1042" s="0" t="n">
        <f aca="false">ROUNDUP(F1042/75,0)</f>
        <v>1</v>
      </c>
    </row>
    <row r="1043" customFormat="false" ht="15" hidden="false" customHeight="false" outlineLevel="0" collapsed="false">
      <c r="A1043" s="0" t="s">
        <v>249</v>
      </c>
      <c r="B1043" s="0" t="s">
        <v>395</v>
      </c>
      <c r="C1043" s="0" t="s">
        <v>755</v>
      </c>
      <c r="D1043" s="0" t="n">
        <v>6</v>
      </c>
      <c r="E1043" s="0" t="n">
        <v>4</v>
      </c>
      <c r="F1043" s="0" t="n">
        <f aca="false">D1043*E1043</f>
        <v>24</v>
      </c>
      <c r="G1043" s="0" t="n">
        <f aca="false">ROUNDUP(F1043/75,0)</f>
        <v>1</v>
      </c>
    </row>
    <row r="1044" customFormat="false" ht="15" hidden="false" customHeight="false" outlineLevel="0" collapsed="false">
      <c r="A1044" s="0" t="s">
        <v>249</v>
      </c>
      <c r="B1044" s="0" t="s">
        <v>396</v>
      </c>
      <c r="C1044" s="0" t="s">
        <v>756</v>
      </c>
      <c r="D1044" s="0" t="n">
        <v>12</v>
      </c>
      <c r="E1044" s="0" t="n">
        <v>3</v>
      </c>
      <c r="F1044" s="0" t="n">
        <f aca="false">D1044*E1044</f>
        <v>36</v>
      </c>
      <c r="G1044" s="0" t="n">
        <f aca="false">ROUNDUP(F1044/75,0)</f>
        <v>1</v>
      </c>
    </row>
    <row r="1045" customFormat="false" ht="15" hidden="false" customHeight="false" outlineLevel="0" collapsed="false">
      <c r="A1045" s="0" t="s">
        <v>249</v>
      </c>
      <c r="B1045" s="0" t="s">
        <v>396</v>
      </c>
      <c r="C1045" s="0" t="s">
        <v>753</v>
      </c>
      <c r="D1045" s="0" t="n">
        <v>6</v>
      </c>
      <c r="E1045" s="0" t="n">
        <v>2</v>
      </c>
      <c r="F1045" s="0" t="n">
        <f aca="false">D1045*E1045</f>
        <v>12</v>
      </c>
      <c r="G1045" s="0" t="n">
        <f aca="false">ROUNDUP(F1045/75,0)</f>
        <v>1</v>
      </c>
    </row>
    <row r="1046" customFormat="false" ht="15" hidden="false" customHeight="false" outlineLevel="0" collapsed="false">
      <c r="A1046" s="0" t="s">
        <v>249</v>
      </c>
      <c r="B1046" s="0" t="s">
        <v>396</v>
      </c>
      <c r="C1046" s="0" t="s">
        <v>755</v>
      </c>
      <c r="D1046" s="0" t="n">
        <v>6</v>
      </c>
      <c r="E1046" s="0" t="n">
        <v>2</v>
      </c>
      <c r="F1046" s="0" t="n">
        <f aca="false">D1046*E1046</f>
        <v>12</v>
      </c>
      <c r="G1046" s="0" t="n">
        <f aca="false">ROUNDUP(F1046/75,0)</f>
        <v>1</v>
      </c>
    </row>
    <row r="1047" customFormat="false" ht="15" hidden="false" customHeight="false" outlineLevel="0" collapsed="false">
      <c r="A1047" s="0" t="s">
        <v>249</v>
      </c>
      <c r="B1047" s="0" t="s">
        <v>397</v>
      </c>
      <c r="C1047" s="0" t="s">
        <v>753</v>
      </c>
      <c r="D1047" s="0" t="n">
        <v>6</v>
      </c>
      <c r="E1047" s="0" t="n">
        <v>8</v>
      </c>
      <c r="F1047" s="0" t="n">
        <f aca="false">D1047*E1047</f>
        <v>48</v>
      </c>
      <c r="G1047" s="0" t="n">
        <f aca="false">ROUNDUP(F1047/75,0)</f>
        <v>1</v>
      </c>
    </row>
    <row r="1048" customFormat="false" ht="15" hidden="false" customHeight="false" outlineLevel="0" collapsed="false">
      <c r="A1048" s="0" t="s">
        <v>249</v>
      </c>
      <c r="B1048" s="0" t="s">
        <v>397</v>
      </c>
      <c r="C1048" s="0" t="s">
        <v>755</v>
      </c>
      <c r="D1048" s="0" t="n">
        <v>6</v>
      </c>
      <c r="E1048" s="0" t="n">
        <v>4</v>
      </c>
      <c r="F1048" s="0" t="n">
        <f aca="false">D1048*E1048</f>
        <v>24</v>
      </c>
      <c r="G1048" s="0" t="n">
        <f aca="false">ROUNDUP(F1048/75,0)</f>
        <v>1</v>
      </c>
    </row>
    <row r="1049" customFormat="false" ht="15" hidden="false" customHeight="false" outlineLevel="0" collapsed="false">
      <c r="A1049" s="0" t="s">
        <v>249</v>
      </c>
      <c r="B1049" s="0" t="s">
        <v>398</v>
      </c>
      <c r="C1049" s="0" t="s">
        <v>756</v>
      </c>
      <c r="D1049" s="0" t="n">
        <v>12</v>
      </c>
      <c r="E1049" s="0" t="n">
        <v>1</v>
      </c>
      <c r="F1049" s="0" t="n">
        <f aca="false">D1049*E1049</f>
        <v>12</v>
      </c>
      <c r="G1049" s="0" t="n">
        <f aca="false">ROUNDUP(F1049/75,0)</f>
        <v>1</v>
      </c>
    </row>
    <row r="1050" customFormat="false" ht="15" hidden="false" customHeight="false" outlineLevel="0" collapsed="false">
      <c r="A1050" s="0" t="s">
        <v>249</v>
      </c>
      <c r="B1050" s="0" t="s">
        <v>398</v>
      </c>
      <c r="C1050" s="0" t="s">
        <v>757</v>
      </c>
      <c r="D1050" s="0" t="n">
        <v>6</v>
      </c>
      <c r="E1050" s="0" t="n">
        <v>1</v>
      </c>
      <c r="F1050" s="0" t="n">
        <f aca="false">D1050*E1050</f>
        <v>6</v>
      </c>
      <c r="G1050" s="0" t="n">
        <f aca="false">ROUNDUP(F1050/75,0)</f>
        <v>1</v>
      </c>
    </row>
    <row r="1051" customFormat="false" ht="15" hidden="false" customHeight="false" outlineLevel="0" collapsed="false">
      <c r="A1051" s="0" t="s">
        <v>249</v>
      </c>
      <c r="B1051" s="0" t="s">
        <v>398</v>
      </c>
      <c r="C1051" s="0" t="s">
        <v>753</v>
      </c>
      <c r="D1051" s="0" t="n">
        <v>6</v>
      </c>
      <c r="E1051" s="0" t="n">
        <v>5</v>
      </c>
      <c r="F1051" s="0" t="n">
        <f aca="false">D1051*E1051</f>
        <v>30</v>
      </c>
      <c r="G1051" s="0" t="n">
        <f aca="false">ROUNDUP(F1051/75,0)</f>
        <v>1</v>
      </c>
    </row>
    <row r="1052" customFormat="false" ht="15" hidden="false" customHeight="false" outlineLevel="0" collapsed="false">
      <c r="A1052" s="0" t="s">
        <v>249</v>
      </c>
      <c r="B1052" s="0" t="s">
        <v>398</v>
      </c>
      <c r="C1052" s="0" t="s">
        <v>755</v>
      </c>
      <c r="D1052" s="0" t="n">
        <v>6</v>
      </c>
      <c r="E1052" s="0" t="n">
        <v>3</v>
      </c>
      <c r="F1052" s="0" t="n">
        <f aca="false">D1052*E1052</f>
        <v>18</v>
      </c>
      <c r="G1052" s="0" t="n">
        <f aca="false">ROUNDUP(F1052/75,0)</f>
        <v>1</v>
      </c>
    </row>
    <row r="1053" customFormat="false" ht="15" hidden="false" customHeight="false" outlineLevel="0" collapsed="false">
      <c r="A1053" s="0" t="s">
        <v>249</v>
      </c>
      <c r="B1053" s="0" t="s">
        <v>399</v>
      </c>
      <c r="C1053" s="0" t="s">
        <v>757</v>
      </c>
      <c r="D1053" s="0" t="n">
        <v>6</v>
      </c>
      <c r="E1053" s="0" t="n">
        <v>1</v>
      </c>
      <c r="F1053" s="0" t="n">
        <f aca="false">D1053*E1053</f>
        <v>6</v>
      </c>
      <c r="G1053" s="0" t="n">
        <f aca="false">ROUNDUP(F1053/75,0)</f>
        <v>1</v>
      </c>
    </row>
    <row r="1054" customFormat="false" ht="15" hidden="false" customHeight="false" outlineLevel="0" collapsed="false">
      <c r="A1054" s="0" t="s">
        <v>249</v>
      </c>
      <c r="B1054" s="0" t="s">
        <v>399</v>
      </c>
      <c r="C1054" s="0" t="s">
        <v>753</v>
      </c>
      <c r="D1054" s="0" t="n">
        <v>6</v>
      </c>
      <c r="E1054" s="0" t="n">
        <v>2</v>
      </c>
      <c r="F1054" s="0" t="n">
        <f aca="false">D1054*E1054</f>
        <v>12</v>
      </c>
      <c r="G1054" s="0" t="n">
        <f aca="false">ROUNDUP(F1054/75,0)</f>
        <v>1</v>
      </c>
    </row>
    <row r="1055" customFormat="false" ht="15" hidden="false" customHeight="false" outlineLevel="0" collapsed="false">
      <c r="A1055" s="0" t="s">
        <v>249</v>
      </c>
      <c r="B1055" s="0" t="s">
        <v>399</v>
      </c>
      <c r="C1055" s="0" t="s">
        <v>755</v>
      </c>
      <c r="D1055" s="0" t="n">
        <v>6</v>
      </c>
      <c r="E1055" s="0" t="n">
        <v>1</v>
      </c>
      <c r="F1055" s="0" t="n">
        <f aca="false">D1055*E1055</f>
        <v>6</v>
      </c>
      <c r="G1055" s="0" t="n">
        <f aca="false">ROUNDUP(F1055/75,0)</f>
        <v>1</v>
      </c>
    </row>
    <row r="1056" customFormat="false" ht="15" hidden="false" customHeight="false" outlineLevel="0" collapsed="false">
      <c r="A1056" s="0" t="s">
        <v>249</v>
      </c>
      <c r="B1056" s="0" t="s">
        <v>400</v>
      </c>
      <c r="C1056" s="0" t="s">
        <v>756</v>
      </c>
      <c r="D1056" s="0" t="n">
        <v>12</v>
      </c>
      <c r="E1056" s="0" t="n">
        <v>3</v>
      </c>
      <c r="F1056" s="0" t="n">
        <f aca="false">D1056*E1056</f>
        <v>36</v>
      </c>
      <c r="G1056" s="0" t="n">
        <f aca="false">ROUNDUP(F1056/75,0)</f>
        <v>1</v>
      </c>
    </row>
    <row r="1057" customFormat="false" ht="15" hidden="false" customHeight="false" outlineLevel="0" collapsed="false">
      <c r="A1057" s="0" t="s">
        <v>249</v>
      </c>
      <c r="B1057" s="0" t="s">
        <v>400</v>
      </c>
      <c r="C1057" s="0" t="s">
        <v>753</v>
      </c>
      <c r="D1057" s="0" t="n">
        <v>6</v>
      </c>
      <c r="E1057" s="0" t="n">
        <v>5</v>
      </c>
      <c r="F1057" s="0" t="n">
        <f aca="false">D1057*E1057</f>
        <v>30</v>
      </c>
      <c r="G1057" s="0" t="n">
        <f aca="false">ROUNDUP(F1057/75,0)</f>
        <v>1</v>
      </c>
    </row>
    <row r="1058" customFormat="false" ht="15" hidden="false" customHeight="false" outlineLevel="0" collapsed="false">
      <c r="A1058" s="0" t="s">
        <v>249</v>
      </c>
      <c r="B1058" s="0" t="s">
        <v>400</v>
      </c>
      <c r="C1058" s="0" t="s">
        <v>755</v>
      </c>
      <c r="D1058" s="0" t="n">
        <v>6</v>
      </c>
      <c r="E1058" s="0" t="n">
        <v>2</v>
      </c>
      <c r="F1058" s="0" t="n">
        <f aca="false">D1058*E1058</f>
        <v>12</v>
      </c>
      <c r="G1058" s="0" t="n">
        <f aca="false">ROUNDUP(F1058/75,0)</f>
        <v>1</v>
      </c>
    </row>
    <row r="1059" customFormat="false" ht="15" hidden="false" customHeight="false" outlineLevel="0" collapsed="false">
      <c r="A1059" s="0" t="s">
        <v>249</v>
      </c>
      <c r="B1059" s="0" t="s">
        <v>401</v>
      </c>
      <c r="C1059" s="0" t="s">
        <v>756</v>
      </c>
      <c r="D1059" s="0" t="n">
        <v>12</v>
      </c>
      <c r="E1059" s="0" t="n">
        <v>5</v>
      </c>
      <c r="F1059" s="0" t="n">
        <f aca="false">D1059*E1059</f>
        <v>60</v>
      </c>
      <c r="G1059" s="0" t="n">
        <f aca="false">ROUNDUP(F1059/75,0)</f>
        <v>1</v>
      </c>
    </row>
    <row r="1060" customFormat="false" ht="15" hidden="false" customHeight="false" outlineLevel="0" collapsed="false">
      <c r="A1060" s="0" t="s">
        <v>249</v>
      </c>
      <c r="B1060" s="0" t="s">
        <v>401</v>
      </c>
      <c r="C1060" s="0" t="s">
        <v>757</v>
      </c>
      <c r="D1060" s="0" t="n">
        <v>6</v>
      </c>
      <c r="E1060" s="0" t="n">
        <v>8</v>
      </c>
      <c r="F1060" s="0" t="n">
        <f aca="false">D1060*E1060</f>
        <v>48</v>
      </c>
      <c r="G1060" s="0" t="n">
        <f aca="false">ROUNDUP(F1060/75,0)</f>
        <v>1</v>
      </c>
    </row>
    <row r="1061" customFormat="false" ht="15" hidden="false" customHeight="false" outlineLevel="0" collapsed="false">
      <c r="A1061" s="0" t="s">
        <v>249</v>
      </c>
      <c r="B1061" s="0" t="s">
        <v>401</v>
      </c>
      <c r="C1061" s="0" t="s">
        <v>755</v>
      </c>
      <c r="D1061" s="0" t="n">
        <v>6</v>
      </c>
      <c r="E1061" s="0" t="n">
        <v>1</v>
      </c>
      <c r="F1061" s="0" t="n">
        <f aca="false">D1061*E1061</f>
        <v>6</v>
      </c>
      <c r="G1061" s="0" t="n">
        <f aca="false">ROUNDUP(F1061/75,0)</f>
        <v>1</v>
      </c>
    </row>
    <row r="1062" customFormat="false" ht="15" hidden="false" customHeight="false" outlineLevel="0" collapsed="false">
      <c r="A1062" s="0" t="s">
        <v>249</v>
      </c>
      <c r="B1062" s="0" t="s">
        <v>402</v>
      </c>
      <c r="C1062" s="0" t="s">
        <v>757</v>
      </c>
      <c r="D1062" s="0" t="n">
        <v>6</v>
      </c>
      <c r="E1062" s="0" t="n">
        <v>3</v>
      </c>
      <c r="F1062" s="0" t="n">
        <f aca="false">D1062*E1062</f>
        <v>18</v>
      </c>
      <c r="G1062" s="0" t="n">
        <f aca="false">ROUNDUP(F1062/75,0)</f>
        <v>1</v>
      </c>
    </row>
    <row r="1063" customFormat="false" ht="15" hidden="false" customHeight="false" outlineLevel="0" collapsed="false">
      <c r="A1063" s="0" t="s">
        <v>249</v>
      </c>
      <c r="B1063" s="0" t="s">
        <v>402</v>
      </c>
      <c r="C1063" s="0" t="s">
        <v>753</v>
      </c>
      <c r="D1063" s="0" t="n">
        <v>6</v>
      </c>
      <c r="E1063" s="0" t="n">
        <v>2</v>
      </c>
      <c r="F1063" s="0" t="n">
        <f aca="false">D1063*E1063</f>
        <v>12</v>
      </c>
      <c r="G1063" s="0" t="n">
        <f aca="false">ROUNDUP(F1063/75,0)</f>
        <v>1</v>
      </c>
    </row>
    <row r="1064" customFormat="false" ht="15" hidden="false" customHeight="false" outlineLevel="0" collapsed="false">
      <c r="A1064" s="0" t="s">
        <v>249</v>
      </c>
      <c r="B1064" s="0" t="s">
        <v>402</v>
      </c>
      <c r="C1064" s="0" t="s">
        <v>755</v>
      </c>
      <c r="D1064" s="0" t="n">
        <v>6</v>
      </c>
      <c r="E1064" s="0" t="n">
        <v>2</v>
      </c>
      <c r="F1064" s="0" t="n">
        <f aca="false">D1064*E1064</f>
        <v>12</v>
      </c>
      <c r="G1064" s="0" t="n">
        <f aca="false">ROUNDUP(F1064/75,0)</f>
        <v>1</v>
      </c>
    </row>
    <row r="1065" customFormat="false" ht="15" hidden="false" customHeight="false" outlineLevel="0" collapsed="false">
      <c r="A1065" s="0" t="s">
        <v>249</v>
      </c>
      <c r="B1065" s="0" t="s">
        <v>403</v>
      </c>
      <c r="C1065" s="0" t="s">
        <v>756</v>
      </c>
      <c r="D1065" s="0" t="n">
        <v>12</v>
      </c>
      <c r="E1065" s="0" t="n">
        <v>2</v>
      </c>
      <c r="F1065" s="0" t="n">
        <f aca="false">D1065*E1065</f>
        <v>24</v>
      </c>
      <c r="G1065" s="0" t="n">
        <f aca="false">ROUNDUP(F1065/75,0)</f>
        <v>1</v>
      </c>
    </row>
    <row r="1066" customFormat="false" ht="15" hidden="false" customHeight="false" outlineLevel="0" collapsed="false">
      <c r="A1066" s="0" t="s">
        <v>249</v>
      </c>
      <c r="B1066" s="0" t="s">
        <v>403</v>
      </c>
      <c r="C1066" s="0" t="s">
        <v>757</v>
      </c>
      <c r="D1066" s="0" t="n">
        <v>6</v>
      </c>
      <c r="E1066" s="0" t="n">
        <v>1</v>
      </c>
      <c r="F1066" s="0" t="n">
        <f aca="false">D1066*E1066</f>
        <v>6</v>
      </c>
      <c r="G1066" s="0" t="n">
        <f aca="false">ROUNDUP(F1066/75,0)</f>
        <v>1</v>
      </c>
    </row>
    <row r="1067" customFormat="false" ht="15" hidden="false" customHeight="false" outlineLevel="0" collapsed="false">
      <c r="A1067" s="0" t="s">
        <v>249</v>
      </c>
      <c r="B1067" s="0" t="s">
        <v>403</v>
      </c>
      <c r="C1067" s="0" t="s">
        <v>753</v>
      </c>
      <c r="D1067" s="0" t="n">
        <v>6</v>
      </c>
      <c r="E1067" s="0" t="n">
        <v>2</v>
      </c>
      <c r="F1067" s="0" t="n">
        <f aca="false">D1067*E1067</f>
        <v>12</v>
      </c>
      <c r="G1067" s="0" t="n">
        <f aca="false">ROUNDUP(F1067/75,0)</f>
        <v>1</v>
      </c>
    </row>
    <row r="1068" customFormat="false" ht="15" hidden="false" customHeight="false" outlineLevel="0" collapsed="false">
      <c r="A1068" s="0" t="s">
        <v>249</v>
      </c>
      <c r="B1068" s="0" t="s">
        <v>404</v>
      </c>
      <c r="C1068" s="0" t="s">
        <v>756</v>
      </c>
      <c r="D1068" s="0" t="n">
        <v>12</v>
      </c>
      <c r="E1068" s="0" t="n">
        <v>5</v>
      </c>
      <c r="F1068" s="0" t="n">
        <f aca="false">D1068*E1068</f>
        <v>60</v>
      </c>
      <c r="G1068" s="0" t="n">
        <f aca="false">ROUNDUP(F1068/75,0)</f>
        <v>1</v>
      </c>
    </row>
    <row r="1069" customFormat="false" ht="15" hidden="false" customHeight="false" outlineLevel="0" collapsed="false">
      <c r="A1069" s="0" t="s">
        <v>249</v>
      </c>
      <c r="B1069" s="0" t="s">
        <v>404</v>
      </c>
      <c r="C1069" s="0" t="s">
        <v>757</v>
      </c>
      <c r="D1069" s="0" t="n">
        <v>6</v>
      </c>
      <c r="E1069" s="0" t="n">
        <v>1</v>
      </c>
      <c r="F1069" s="0" t="n">
        <f aca="false">D1069*E1069</f>
        <v>6</v>
      </c>
      <c r="G1069" s="0" t="n">
        <f aca="false">ROUNDUP(F1069/75,0)</f>
        <v>1</v>
      </c>
    </row>
    <row r="1070" customFormat="false" ht="15" hidden="false" customHeight="false" outlineLevel="0" collapsed="false">
      <c r="A1070" s="0" t="s">
        <v>249</v>
      </c>
      <c r="B1070" s="0" t="s">
        <v>404</v>
      </c>
      <c r="C1070" s="0" t="s">
        <v>753</v>
      </c>
      <c r="D1070" s="0" t="n">
        <v>6</v>
      </c>
      <c r="E1070" s="0" t="n">
        <v>2</v>
      </c>
      <c r="F1070" s="0" t="n">
        <f aca="false">D1070*E1070</f>
        <v>12</v>
      </c>
      <c r="G1070" s="0" t="n">
        <f aca="false">ROUNDUP(F1070/75,0)</f>
        <v>1</v>
      </c>
    </row>
    <row r="1071" customFormat="false" ht="15" hidden="false" customHeight="false" outlineLevel="0" collapsed="false">
      <c r="A1071" s="0" t="s">
        <v>249</v>
      </c>
      <c r="B1071" s="0" t="s">
        <v>404</v>
      </c>
      <c r="C1071" s="0" t="s">
        <v>755</v>
      </c>
      <c r="D1071" s="0" t="n">
        <v>6</v>
      </c>
      <c r="E1071" s="0" t="n">
        <v>2</v>
      </c>
      <c r="F1071" s="0" t="n">
        <f aca="false">D1071*E1071</f>
        <v>12</v>
      </c>
      <c r="G1071" s="0" t="n">
        <f aca="false">ROUNDUP(F1071/75,0)</f>
        <v>1</v>
      </c>
    </row>
    <row r="1072" customFormat="false" ht="15" hidden="false" customHeight="false" outlineLevel="0" collapsed="false">
      <c r="A1072" s="0" t="s">
        <v>249</v>
      </c>
      <c r="B1072" s="0" t="s">
        <v>405</v>
      </c>
      <c r="C1072" s="0" t="s">
        <v>757</v>
      </c>
      <c r="D1072" s="0" t="n">
        <v>6</v>
      </c>
      <c r="E1072" s="0" t="n">
        <v>1</v>
      </c>
      <c r="F1072" s="0" t="n">
        <f aca="false">D1072*E1072</f>
        <v>6</v>
      </c>
      <c r="G1072" s="0" t="n">
        <f aca="false">ROUNDUP(F1072/75,0)</f>
        <v>1</v>
      </c>
    </row>
    <row r="1073" customFormat="false" ht="15" hidden="false" customHeight="false" outlineLevel="0" collapsed="false">
      <c r="A1073" s="0" t="s">
        <v>249</v>
      </c>
      <c r="B1073" s="0" t="s">
        <v>405</v>
      </c>
      <c r="C1073" s="0" t="s">
        <v>753</v>
      </c>
      <c r="D1073" s="0" t="n">
        <v>6</v>
      </c>
      <c r="E1073" s="0" t="n">
        <v>2</v>
      </c>
      <c r="F1073" s="0" t="n">
        <f aca="false">D1073*E1073</f>
        <v>12</v>
      </c>
      <c r="G1073" s="0" t="n">
        <f aca="false">ROUNDUP(F1073/75,0)</f>
        <v>1</v>
      </c>
    </row>
    <row r="1074" customFormat="false" ht="15" hidden="false" customHeight="false" outlineLevel="0" collapsed="false">
      <c r="A1074" s="0" t="s">
        <v>249</v>
      </c>
      <c r="B1074" s="0" t="s">
        <v>405</v>
      </c>
      <c r="C1074" s="0" t="s">
        <v>755</v>
      </c>
      <c r="D1074" s="0" t="n">
        <v>6</v>
      </c>
      <c r="E1074" s="0" t="n">
        <v>3</v>
      </c>
      <c r="F1074" s="0" t="n">
        <f aca="false">D1074*E1074</f>
        <v>18</v>
      </c>
      <c r="G1074" s="0" t="n">
        <f aca="false">ROUNDUP(F1074/75,0)</f>
        <v>1</v>
      </c>
    </row>
    <row r="1075" customFormat="false" ht="15" hidden="false" customHeight="false" outlineLevel="0" collapsed="false">
      <c r="A1075" s="0" t="s">
        <v>249</v>
      </c>
      <c r="B1075" s="0" t="s">
        <v>406</v>
      </c>
      <c r="C1075" s="0" t="s">
        <v>756</v>
      </c>
      <c r="D1075" s="0" t="n">
        <v>12</v>
      </c>
      <c r="E1075" s="0" t="n">
        <v>1</v>
      </c>
      <c r="F1075" s="0" t="n">
        <f aca="false">D1075*E1075</f>
        <v>12</v>
      </c>
      <c r="G1075" s="0" t="n">
        <f aca="false">ROUNDUP(F1075/75,0)</f>
        <v>1</v>
      </c>
    </row>
    <row r="1076" customFormat="false" ht="15" hidden="false" customHeight="false" outlineLevel="0" collapsed="false">
      <c r="A1076" s="0" t="s">
        <v>249</v>
      </c>
      <c r="B1076" s="0" t="s">
        <v>406</v>
      </c>
      <c r="C1076" s="0" t="s">
        <v>757</v>
      </c>
      <c r="D1076" s="0" t="n">
        <v>6</v>
      </c>
      <c r="E1076" s="0" t="n">
        <v>1</v>
      </c>
      <c r="F1076" s="0" t="n">
        <f aca="false">D1076*E1076</f>
        <v>6</v>
      </c>
      <c r="G1076" s="0" t="n">
        <f aca="false">ROUNDUP(F1076/75,0)</f>
        <v>1</v>
      </c>
    </row>
    <row r="1077" customFormat="false" ht="15" hidden="false" customHeight="false" outlineLevel="0" collapsed="false">
      <c r="A1077" s="0" t="s">
        <v>249</v>
      </c>
      <c r="B1077" s="0" t="s">
        <v>406</v>
      </c>
      <c r="C1077" s="0" t="s">
        <v>753</v>
      </c>
      <c r="D1077" s="0" t="n">
        <v>6</v>
      </c>
      <c r="E1077" s="0" t="n">
        <v>4</v>
      </c>
      <c r="F1077" s="0" t="n">
        <f aca="false">D1077*E1077</f>
        <v>24</v>
      </c>
      <c r="G1077" s="0" t="n">
        <f aca="false">ROUNDUP(F1077/75,0)</f>
        <v>1</v>
      </c>
    </row>
    <row r="1078" customFormat="false" ht="15" hidden="false" customHeight="false" outlineLevel="0" collapsed="false">
      <c r="A1078" s="0" t="s">
        <v>249</v>
      </c>
      <c r="B1078" s="0" t="s">
        <v>406</v>
      </c>
      <c r="C1078" s="0" t="s">
        <v>755</v>
      </c>
      <c r="D1078" s="0" t="n">
        <v>6</v>
      </c>
      <c r="E1078" s="0" t="n">
        <v>1</v>
      </c>
      <c r="F1078" s="0" t="n">
        <f aca="false">D1078*E1078</f>
        <v>6</v>
      </c>
      <c r="G1078" s="0" t="n">
        <f aca="false">ROUNDUP(F1078/75,0)</f>
        <v>1</v>
      </c>
    </row>
    <row r="1079" customFormat="false" ht="15" hidden="false" customHeight="false" outlineLevel="0" collapsed="false">
      <c r="A1079" s="0" t="s">
        <v>249</v>
      </c>
      <c r="B1079" s="0" t="s">
        <v>407</v>
      </c>
      <c r="C1079" s="0" t="s">
        <v>755</v>
      </c>
      <c r="D1079" s="0" t="n">
        <v>6</v>
      </c>
      <c r="E1079" s="0" t="n">
        <v>1</v>
      </c>
      <c r="F1079" s="0" t="n">
        <f aca="false">D1079*E1079</f>
        <v>6</v>
      </c>
      <c r="G1079" s="0" t="n">
        <f aca="false">ROUNDUP(F1079/75,0)</f>
        <v>1</v>
      </c>
    </row>
    <row r="1080" customFormat="false" ht="15" hidden="false" customHeight="false" outlineLevel="0" collapsed="false">
      <c r="A1080" s="0" t="s">
        <v>249</v>
      </c>
      <c r="B1080" s="0" t="s">
        <v>408</v>
      </c>
      <c r="C1080" s="0" t="s">
        <v>753</v>
      </c>
      <c r="D1080" s="0" t="n">
        <v>6</v>
      </c>
      <c r="E1080" s="0" t="n">
        <v>2</v>
      </c>
      <c r="F1080" s="0" t="n">
        <f aca="false">D1080*E1080</f>
        <v>12</v>
      </c>
      <c r="G1080" s="0" t="n">
        <f aca="false">ROUNDUP(F1080/75,0)</f>
        <v>1</v>
      </c>
    </row>
    <row r="1081" customFormat="false" ht="15" hidden="false" customHeight="false" outlineLevel="0" collapsed="false">
      <c r="A1081" s="0" t="s">
        <v>249</v>
      </c>
      <c r="B1081" s="0" t="s">
        <v>408</v>
      </c>
      <c r="C1081" s="0" t="s">
        <v>755</v>
      </c>
      <c r="D1081" s="0" t="n">
        <v>6</v>
      </c>
      <c r="E1081" s="0" t="n">
        <v>1</v>
      </c>
      <c r="F1081" s="0" t="n">
        <f aca="false">D1081*E1081</f>
        <v>6</v>
      </c>
      <c r="G1081" s="0" t="n">
        <f aca="false">ROUNDUP(F1081/75,0)</f>
        <v>1</v>
      </c>
    </row>
    <row r="1082" customFormat="false" ht="15" hidden="false" customHeight="false" outlineLevel="0" collapsed="false">
      <c r="A1082" s="0" t="s">
        <v>249</v>
      </c>
      <c r="B1082" s="0" t="s">
        <v>409</v>
      </c>
      <c r="C1082" s="0" t="s">
        <v>757</v>
      </c>
      <c r="D1082" s="0" t="n">
        <v>6</v>
      </c>
      <c r="E1082" s="0" t="n">
        <v>2</v>
      </c>
      <c r="F1082" s="0" t="n">
        <f aca="false">D1082*E1082</f>
        <v>12</v>
      </c>
      <c r="G1082" s="0" t="n">
        <f aca="false">ROUNDUP(F1082/75,0)</f>
        <v>1</v>
      </c>
    </row>
    <row r="1083" customFormat="false" ht="15" hidden="false" customHeight="false" outlineLevel="0" collapsed="false">
      <c r="A1083" s="0" t="s">
        <v>249</v>
      </c>
      <c r="B1083" s="0" t="s">
        <v>409</v>
      </c>
      <c r="C1083" s="0" t="s">
        <v>753</v>
      </c>
      <c r="D1083" s="0" t="n">
        <v>6</v>
      </c>
      <c r="E1083" s="0" t="n">
        <v>2</v>
      </c>
      <c r="F1083" s="0" t="n">
        <f aca="false">D1083*E1083</f>
        <v>12</v>
      </c>
      <c r="G1083" s="0" t="n">
        <f aca="false">ROUNDUP(F1083/75,0)</f>
        <v>1</v>
      </c>
    </row>
    <row r="1084" customFormat="false" ht="15" hidden="false" customHeight="false" outlineLevel="0" collapsed="false">
      <c r="A1084" s="0" t="s">
        <v>249</v>
      </c>
      <c r="B1084" s="0" t="s">
        <v>409</v>
      </c>
      <c r="C1084" s="0" t="s">
        <v>755</v>
      </c>
      <c r="D1084" s="0" t="n">
        <v>6</v>
      </c>
      <c r="E1084" s="0" t="n">
        <v>5</v>
      </c>
      <c r="F1084" s="0" t="n">
        <f aca="false">D1084*E1084</f>
        <v>30</v>
      </c>
      <c r="G1084" s="0" t="n">
        <f aca="false">ROUNDUP(F1084/75,0)</f>
        <v>1</v>
      </c>
    </row>
    <row r="1085" customFormat="false" ht="15" hidden="false" customHeight="false" outlineLevel="0" collapsed="false">
      <c r="A1085" s="0" t="s">
        <v>249</v>
      </c>
      <c r="B1085" s="0" t="s">
        <v>410</v>
      </c>
      <c r="C1085" s="0" t="s">
        <v>753</v>
      </c>
      <c r="D1085" s="0" t="n">
        <v>6</v>
      </c>
      <c r="E1085" s="0" t="n">
        <v>3</v>
      </c>
      <c r="F1085" s="0" t="n">
        <f aca="false">D1085*E1085</f>
        <v>18</v>
      </c>
      <c r="G1085" s="0" t="n">
        <f aca="false">ROUNDUP(F1085/75,0)</f>
        <v>1</v>
      </c>
    </row>
    <row r="1086" customFormat="false" ht="15" hidden="false" customHeight="false" outlineLevel="0" collapsed="false">
      <c r="A1086" s="0" t="s">
        <v>249</v>
      </c>
      <c r="B1086" s="0" t="s">
        <v>410</v>
      </c>
      <c r="C1086" s="0" t="s">
        <v>755</v>
      </c>
      <c r="D1086" s="0" t="n">
        <v>6</v>
      </c>
      <c r="E1086" s="0" t="n">
        <v>3</v>
      </c>
      <c r="F1086" s="0" t="n">
        <f aca="false">D1086*E1086</f>
        <v>18</v>
      </c>
      <c r="G1086" s="0" t="n">
        <f aca="false">ROUNDUP(F1086/75,0)</f>
        <v>1</v>
      </c>
    </row>
    <row r="1087" customFormat="false" ht="15" hidden="false" customHeight="false" outlineLevel="0" collapsed="false">
      <c r="A1087" s="0" t="s">
        <v>249</v>
      </c>
      <c r="B1087" s="0" t="s">
        <v>411</v>
      </c>
      <c r="C1087" s="0" t="s">
        <v>757</v>
      </c>
      <c r="D1087" s="0" t="n">
        <v>6</v>
      </c>
      <c r="E1087" s="0" t="n">
        <v>1</v>
      </c>
      <c r="F1087" s="0" t="n">
        <f aca="false">D1087*E1087</f>
        <v>6</v>
      </c>
      <c r="G1087" s="0" t="n">
        <f aca="false">ROUNDUP(F1087/75,0)</f>
        <v>1</v>
      </c>
    </row>
    <row r="1088" customFormat="false" ht="15" hidden="false" customHeight="false" outlineLevel="0" collapsed="false">
      <c r="A1088" s="0" t="s">
        <v>249</v>
      </c>
      <c r="B1088" s="0" t="s">
        <v>411</v>
      </c>
      <c r="C1088" s="0" t="s">
        <v>753</v>
      </c>
      <c r="D1088" s="0" t="n">
        <v>6</v>
      </c>
      <c r="E1088" s="0" t="n">
        <v>2</v>
      </c>
      <c r="F1088" s="0" t="n">
        <f aca="false">D1088*E1088</f>
        <v>12</v>
      </c>
      <c r="G1088" s="0" t="n">
        <f aca="false">ROUNDUP(F1088/75,0)</f>
        <v>1</v>
      </c>
    </row>
    <row r="1089" customFormat="false" ht="15" hidden="false" customHeight="false" outlineLevel="0" collapsed="false">
      <c r="A1089" s="0" t="s">
        <v>249</v>
      </c>
      <c r="B1089" s="0" t="s">
        <v>411</v>
      </c>
      <c r="C1089" s="0" t="s">
        <v>755</v>
      </c>
      <c r="D1089" s="0" t="n">
        <v>6</v>
      </c>
      <c r="E1089" s="0" t="n">
        <v>1</v>
      </c>
      <c r="F1089" s="0" t="n">
        <f aca="false">D1089*E1089</f>
        <v>6</v>
      </c>
      <c r="G1089" s="0" t="n">
        <f aca="false">ROUNDUP(F1089/75,0)</f>
        <v>1</v>
      </c>
    </row>
    <row r="1090" customFormat="false" ht="15" hidden="false" customHeight="false" outlineLevel="0" collapsed="false">
      <c r="A1090" s="0" t="s">
        <v>249</v>
      </c>
      <c r="B1090" s="0" t="s">
        <v>412</v>
      </c>
      <c r="C1090" s="0" t="s">
        <v>757</v>
      </c>
      <c r="D1090" s="0" t="n">
        <v>6</v>
      </c>
      <c r="E1090" s="0" t="n">
        <v>1</v>
      </c>
      <c r="F1090" s="0" t="n">
        <f aca="false">D1090*E1090</f>
        <v>6</v>
      </c>
      <c r="G1090" s="0" t="n">
        <f aca="false">ROUNDUP(F1090/75,0)</f>
        <v>1</v>
      </c>
    </row>
    <row r="1091" customFormat="false" ht="15" hidden="false" customHeight="false" outlineLevel="0" collapsed="false">
      <c r="A1091" s="0" t="s">
        <v>249</v>
      </c>
      <c r="B1091" s="0" t="s">
        <v>412</v>
      </c>
      <c r="C1091" s="0" t="s">
        <v>753</v>
      </c>
      <c r="D1091" s="0" t="n">
        <v>6</v>
      </c>
      <c r="E1091" s="0" t="n">
        <v>4</v>
      </c>
      <c r="F1091" s="0" t="n">
        <f aca="false">D1091*E1091</f>
        <v>24</v>
      </c>
      <c r="G1091" s="0" t="n">
        <f aca="false">ROUNDUP(F1091/75,0)</f>
        <v>1</v>
      </c>
    </row>
    <row r="1092" customFormat="false" ht="15" hidden="false" customHeight="false" outlineLevel="0" collapsed="false">
      <c r="A1092" s="0" t="s">
        <v>249</v>
      </c>
      <c r="B1092" s="0" t="s">
        <v>412</v>
      </c>
      <c r="C1092" s="0" t="s">
        <v>755</v>
      </c>
      <c r="D1092" s="0" t="n">
        <v>6</v>
      </c>
      <c r="E1092" s="0" t="n">
        <v>3</v>
      </c>
      <c r="F1092" s="0" t="n">
        <f aca="false">D1092*E1092</f>
        <v>18</v>
      </c>
      <c r="G1092" s="0" t="n">
        <f aca="false">ROUNDUP(F1092/75,0)</f>
        <v>1</v>
      </c>
    </row>
    <row r="1093" customFormat="false" ht="15" hidden="false" customHeight="false" outlineLevel="0" collapsed="false">
      <c r="A1093" s="0" t="s">
        <v>249</v>
      </c>
      <c r="B1093" s="0" t="s">
        <v>413</v>
      </c>
      <c r="C1093" s="0" t="s">
        <v>757</v>
      </c>
      <c r="D1093" s="0" t="n">
        <v>6</v>
      </c>
      <c r="E1093" s="0" t="n">
        <v>1</v>
      </c>
      <c r="F1093" s="0" t="n">
        <f aca="false">D1093*E1093</f>
        <v>6</v>
      </c>
      <c r="G1093" s="0" t="n">
        <f aca="false">ROUNDUP(F1093/75,0)</f>
        <v>1</v>
      </c>
    </row>
    <row r="1094" customFormat="false" ht="15" hidden="false" customHeight="false" outlineLevel="0" collapsed="false">
      <c r="A1094" s="0" t="s">
        <v>249</v>
      </c>
      <c r="B1094" s="0" t="s">
        <v>413</v>
      </c>
      <c r="C1094" s="0" t="s">
        <v>753</v>
      </c>
      <c r="D1094" s="0" t="n">
        <v>6</v>
      </c>
      <c r="E1094" s="0" t="n">
        <v>2</v>
      </c>
      <c r="F1094" s="0" t="n">
        <f aca="false">D1094*E1094</f>
        <v>12</v>
      </c>
      <c r="G1094" s="0" t="n">
        <f aca="false">ROUNDUP(F1094/75,0)</f>
        <v>1</v>
      </c>
    </row>
    <row r="1095" customFormat="false" ht="15" hidden="false" customHeight="false" outlineLevel="0" collapsed="false">
      <c r="A1095" s="0" t="s">
        <v>249</v>
      </c>
      <c r="B1095" s="0" t="s">
        <v>413</v>
      </c>
      <c r="C1095" s="0" t="s">
        <v>755</v>
      </c>
      <c r="D1095" s="0" t="n">
        <v>6</v>
      </c>
      <c r="E1095" s="0" t="n">
        <v>1</v>
      </c>
      <c r="F1095" s="0" t="n">
        <f aca="false">D1095*E1095</f>
        <v>6</v>
      </c>
      <c r="G1095" s="0" t="n">
        <f aca="false">ROUNDUP(F1095/75,0)</f>
        <v>1</v>
      </c>
    </row>
    <row r="1096" customFormat="false" ht="15" hidden="false" customHeight="false" outlineLevel="0" collapsed="false">
      <c r="A1096" s="0" t="s">
        <v>249</v>
      </c>
      <c r="B1096" s="0" t="s">
        <v>414</v>
      </c>
      <c r="C1096" s="0" t="s">
        <v>757</v>
      </c>
      <c r="D1096" s="0" t="n">
        <v>6</v>
      </c>
      <c r="E1096" s="0" t="n">
        <v>2</v>
      </c>
      <c r="F1096" s="0" t="n">
        <f aca="false">D1096*E1096</f>
        <v>12</v>
      </c>
      <c r="G1096" s="0" t="n">
        <f aca="false">ROUNDUP(F1096/75,0)</f>
        <v>1</v>
      </c>
    </row>
    <row r="1097" customFormat="false" ht="15" hidden="false" customHeight="false" outlineLevel="0" collapsed="false">
      <c r="A1097" s="0" t="s">
        <v>249</v>
      </c>
      <c r="B1097" s="0" t="s">
        <v>414</v>
      </c>
      <c r="C1097" s="0" t="s">
        <v>753</v>
      </c>
      <c r="D1097" s="0" t="n">
        <v>6</v>
      </c>
      <c r="E1097" s="0" t="n">
        <v>1</v>
      </c>
      <c r="F1097" s="0" t="n">
        <f aca="false">D1097*E1097</f>
        <v>6</v>
      </c>
      <c r="G1097" s="0" t="n">
        <f aca="false">ROUNDUP(F1097/75,0)</f>
        <v>1</v>
      </c>
    </row>
    <row r="1098" customFormat="false" ht="15" hidden="false" customHeight="false" outlineLevel="0" collapsed="false">
      <c r="A1098" s="0" t="s">
        <v>249</v>
      </c>
      <c r="B1098" s="0" t="s">
        <v>414</v>
      </c>
      <c r="C1098" s="0" t="s">
        <v>755</v>
      </c>
      <c r="D1098" s="0" t="n">
        <v>6</v>
      </c>
      <c r="E1098" s="0" t="n">
        <v>4</v>
      </c>
      <c r="F1098" s="0" t="n">
        <f aca="false">D1098*E1098</f>
        <v>24</v>
      </c>
      <c r="G1098" s="0" t="n">
        <f aca="false">ROUNDUP(F1098/75,0)</f>
        <v>1</v>
      </c>
    </row>
    <row r="1099" customFormat="false" ht="15" hidden="false" customHeight="false" outlineLevel="0" collapsed="false">
      <c r="A1099" s="0" t="s">
        <v>249</v>
      </c>
      <c r="B1099" s="0" t="s">
        <v>415</v>
      </c>
      <c r="C1099" s="0" t="s">
        <v>753</v>
      </c>
      <c r="D1099" s="0" t="n">
        <v>6</v>
      </c>
      <c r="E1099" s="0" t="n">
        <v>1</v>
      </c>
      <c r="F1099" s="0" t="n">
        <f aca="false">D1099*E1099</f>
        <v>6</v>
      </c>
      <c r="G1099" s="0" t="n">
        <f aca="false">ROUNDUP(F1099/75,0)</f>
        <v>1</v>
      </c>
    </row>
    <row r="1100" customFormat="false" ht="15" hidden="false" customHeight="false" outlineLevel="0" collapsed="false">
      <c r="A1100" s="0" t="s">
        <v>249</v>
      </c>
      <c r="B1100" s="0" t="s">
        <v>415</v>
      </c>
      <c r="C1100" s="0" t="s">
        <v>755</v>
      </c>
      <c r="D1100" s="0" t="n">
        <v>6</v>
      </c>
      <c r="E1100" s="0" t="n">
        <v>1</v>
      </c>
      <c r="F1100" s="0" t="n">
        <f aca="false">D1100*E1100</f>
        <v>6</v>
      </c>
      <c r="G1100" s="0" t="n">
        <f aca="false">ROUNDUP(F1100/75,0)</f>
        <v>1</v>
      </c>
    </row>
    <row r="1101" customFormat="false" ht="15" hidden="false" customHeight="false" outlineLevel="0" collapsed="false">
      <c r="A1101" s="0" t="s">
        <v>249</v>
      </c>
      <c r="B1101" s="0" t="s">
        <v>416</v>
      </c>
      <c r="C1101" s="0" t="s">
        <v>757</v>
      </c>
      <c r="D1101" s="0" t="n">
        <v>6</v>
      </c>
      <c r="E1101" s="0" t="n">
        <v>2</v>
      </c>
      <c r="F1101" s="0" t="n">
        <f aca="false">D1101*E1101</f>
        <v>12</v>
      </c>
      <c r="G1101" s="0" t="n">
        <f aca="false">ROUNDUP(F1101/75,0)</f>
        <v>1</v>
      </c>
    </row>
    <row r="1102" customFormat="false" ht="15" hidden="false" customHeight="false" outlineLevel="0" collapsed="false">
      <c r="A1102" s="0" t="s">
        <v>249</v>
      </c>
      <c r="B1102" s="0" t="s">
        <v>416</v>
      </c>
      <c r="C1102" s="0" t="s">
        <v>753</v>
      </c>
      <c r="D1102" s="0" t="n">
        <v>6</v>
      </c>
      <c r="E1102" s="0" t="n">
        <v>8</v>
      </c>
      <c r="F1102" s="0" t="n">
        <f aca="false">D1102*E1102</f>
        <v>48</v>
      </c>
      <c r="G1102" s="0" t="n">
        <f aca="false">ROUNDUP(F1102/75,0)</f>
        <v>1</v>
      </c>
    </row>
    <row r="1103" customFormat="false" ht="15" hidden="false" customHeight="false" outlineLevel="0" collapsed="false">
      <c r="A1103" s="0" t="s">
        <v>249</v>
      </c>
      <c r="B1103" s="0" t="s">
        <v>416</v>
      </c>
      <c r="C1103" s="0" t="s">
        <v>755</v>
      </c>
      <c r="D1103" s="0" t="n">
        <v>6</v>
      </c>
      <c r="E1103" s="0" t="n">
        <v>2</v>
      </c>
      <c r="F1103" s="0" t="n">
        <f aca="false">D1103*E1103</f>
        <v>12</v>
      </c>
      <c r="G1103" s="0" t="n">
        <f aca="false">ROUNDUP(F1103/75,0)</f>
        <v>1</v>
      </c>
    </row>
    <row r="1104" customFormat="false" ht="15" hidden="false" customHeight="false" outlineLevel="0" collapsed="false">
      <c r="A1104" s="0" t="s">
        <v>249</v>
      </c>
      <c r="B1104" s="0" t="s">
        <v>417</v>
      </c>
      <c r="C1104" s="0" t="s">
        <v>756</v>
      </c>
      <c r="D1104" s="0" t="n">
        <v>12</v>
      </c>
      <c r="E1104" s="0" t="n">
        <v>1</v>
      </c>
      <c r="F1104" s="0" t="n">
        <f aca="false">D1104*E1104</f>
        <v>12</v>
      </c>
      <c r="G1104" s="0" t="n">
        <f aca="false">ROUNDUP(F1104/75,0)</f>
        <v>1</v>
      </c>
    </row>
    <row r="1105" customFormat="false" ht="15" hidden="false" customHeight="false" outlineLevel="0" collapsed="false">
      <c r="A1105" s="0" t="s">
        <v>249</v>
      </c>
      <c r="B1105" s="0" t="s">
        <v>417</v>
      </c>
      <c r="C1105" s="0" t="s">
        <v>753</v>
      </c>
      <c r="D1105" s="0" t="n">
        <v>6</v>
      </c>
      <c r="E1105" s="0" t="n">
        <v>1</v>
      </c>
      <c r="F1105" s="0" t="n">
        <f aca="false">D1105*E1105</f>
        <v>6</v>
      </c>
      <c r="G1105" s="0" t="n">
        <f aca="false">ROUNDUP(F1105/75,0)</f>
        <v>1</v>
      </c>
    </row>
    <row r="1106" customFormat="false" ht="15" hidden="false" customHeight="false" outlineLevel="0" collapsed="false">
      <c r="A1106" s="0" t="s">
        <v>249</v>
      </c>
      <c r="B1106" s="0" t="s">
        <v>417</v>
      </c>
      <c r="C1106" s="0" t="s">
        <v>755</v>
      </c>
      <c r="D1106" s="0" t="n">
        <v>6</v>
      </c>
      <c r="E1106" s="0" t="n">
        <v>4</v>
      </c>
      <c r="F1106" s="0" t="n">
        <f aca="false">D1106*E1106</f>
        <v>24</v>
      </c>
      <c r="G1106" s="0" t="n">
        <f aca="false">ROUNDUP(F1106/75,0)</f>
        <v>1</v>
      </c>
    </row>
    <row r="1107" customFormat="false" ht="15" hidden="false" customHeight="false" outlineLevel="0" collapsed="false">
      <c r="A1107" s="0" t="s">
        <v>249</v>
      </c>
      <c r="B1107" s="0" t="s">
        <v>418</v>
      </c>
      <c r="C1107" s="0" t="s">
        <v>757</v>
      </c>
      <c r="D1107" s="0" t="n">
        <v>6</v>
      </c>
      <c r="E1107" s="0" t="n">
        <v>1</v>
      </c>
      <c r="F1107" s="0" t="n">
        <f aca="false">D1107*E1107</f>
        <v>6</v>
      </c>
      <c r="G1107" s="0" t="n">
        <f aca="false">ROUNDUP(F1107/75,0)</f>
        <v>1</v>
      </c>
    </row>
    <row r="1108" customFormat="false" ht="15" hidden="false" customHeight="false" outlineLevel="0" collapsed="false">
      <c r="A1108" s="0" t="s">
        <v>249</v>
      </c>
      <c r="B1108" s="0" t="s">
        <v>418</v>
      </c>
      <c r="C1108" s="0" t="s">
        <v>753</v>
      </c>
      <c r="D1108" s="0" t="n">
        <v>6</v>
      </c>
      <c r="E1108" s="0" t="n">
        <v>1</v>
      </c>
      <c r="F1108" s="0" t="n">
        <f aca="false">D1108*E1108</f>
        <v>6</v>
      </c>
      <c r="G1108" s="0" t="n">
        <f aca="false">ROUNDUP(F1108/75,0)</f>
        <v>1</v>
      </c>
    </row>
    <row r="1109" customFormat="false" ht="15" hidden="false" customHeight="false" outlineLevel="0" collapsed="false">
      <c r="A1109" s="0" t="s">
        <v>249</v>
      </c>
      <c r="B1109" s="0" t="s">
        <v>418</v>
      </c>
      <c r="C1109" s="0" t="s">
        <v>755</v>
      </c>
      <c r="D1109" s="0" t="n">
        <v>6</v>
      </c>
      <c r="E1109" s="0" t="n">
        <v>2</v>
      </c>
      <c r="F1109" s="0" t="n">
        <f aca="false">D1109*E1109</f>
        <v>12</v>
      </c>
      <c r="G1109" s="0" t="n">
        <f aca="false">ROUNDUP(F1109/75,0)</f>
        <v>1</v>
      </c>
    </row>
    <row r="1110" customFormat="false" ht="15" hidden="false" customHeight="false" outlineLevel="0" collapsed="false">
      <c r="A1110" s="0" t="s">
        <v>249</v>
      </c>
      <c r="B1110" s="0" t="s">
        <v>419</v>
      </c>
      <c r="C1110" s="0" t="s">
        <v>755</v>
      </c>
      <c r="D1110" s="0" t="n">
        <v>6</v>
      </c>
      <c r="E1110" s="0" t="n">
        <v>3</v>
      </c>
      <c r="F1110" s="0" t="n">
        <f aca="false">D1110*E1110</f>
        <v>18</v>
      </c>
      <c r="G1110" s="0" t="n">
        <f aca="false">ROUNDUP(F1110/75,0)</f>
        <v>1</v>
      </c>
    </row>
    <row r="1111" customFormat="false" ht="15" hidden="false" customHeight="false" outlineLevel="0" collapsed="false">
      <c r="A1111" s="0" t="s">
        <v>249</v>
      </c>
      <c r="B1111" s="0" t="s">
        <v>420</v>
      </c>
      <c r="C1111" s="0" t="s">
        <v>757</v>
      </c>
      <c r="D1111" s="0" t="n">
        <v>6</v>
      </c>
      <c r="E1111" s="0" t="n">
        <v>1</v>
      </c>
      <c r="F1111" s="0" t="n">
        <f aca="false">D1111*E1111</f>
        <v>6</v>
      </c>
      <c r="G1111" s="0" t="n">
        <f aca="false">ROUNDUP(F1111/75,0)</f>
        <v>1</v>
      </c>
    </row>
    <row r="1112" customFormat="false" ht="15" hidden="false" customHeight="false" outlineLevel="0" collapsed="false">
      <c r="A1112" s="0" t="s">
        <v>249</v>
      </c>
      <c r="B1112" s="0" t="s">
        <v>420</v>
      </c>
      <c r="C1112" s="0" t="s">
        <v>753</v>
      </c>
      <c r="D1112" s="0" t="n">
        <v>6</v>
      </c>
      <c r="E1112" s="0" t="n">
        <v>5</v>
      </c>
      <c r="F1112" s="0" t="n">
        <f aca="false">D1112*E1112</f>
        <v>30</v>
      </c>
      <c r="G1112" s="0" t="n">
        <f aca="false">ROUNDUP(F1112/75,0)</f>
        <v>1</v>
      </c>
    </row>
    <row r="1113" customFormat="false" ht="15" hidden="false" customHeight="false" outlineLevel="0" collapsed="false">
      <c r="A1113" s="0" t="s">
        <v>249</v>
      </c>
      <c r="B1113" s="0" t="s">
        <v>420</v>
      </c>
      <c r="C1113" s="0" t="s">
        <v>755</v>
      </c>
      <c r="D1113" s="0" t="n">
        <v>6</v>
      </c>
      <c r="E1113" s="0" t="n">
        <v>3</v>
      </c>
      <c r="F1113" s="0" t="n">
        <f aca="false">D1113*E1113</f>
        <v>18</v>
      </c>
      <c r="G1113" s="0" t="n">
        <f aca="false">ROUNDUP(F1113/75,0)</f>
        <v>1</v>
      </c>
    </row>
    <row r="1114" customFormat="false" ht="15" hidden="false" customHeight="false" outlineLevel="0" collapsed="false">
      <c r="A1114" s="0" t="s">
        <v>249</v>
      </c>
      <c r="B1114" s="0" t="s">
        <v>421</v>
      </c>
      <c r="C1114" s="0" t="s">
        <v>757</v>
      </c>
      <c r="D1114" s="0" t="n">
        <v>6</v>
      </c>
      <c r="E1114" s="0" t="n">
        <v>4</v>
      </c>
      <c r="F1114" s="0" t="n">
        <f aca="false">D1114*E1114</f>
        <v>24</v>
      </c>
      <c r="G1114" s="0" t="n">
        <f aca="false">ROUNDUP(F1114/75,0)</f>
        <v>1</v>
      </c>
    </row>
    <row r="1115" customFormat="false" ht="15" hidden="false" customHeight="false" outlineLevel="0" collapsed="false">
      <c r="A1115" s="0" t="s">
        <v>249</v>
      </c>
      <c r="B1115" s="0" t="s">
        <v>421</v>
      </c>
      <c r="C1115" s="0" t="s">
        <v>753</v>
      </c>
      <c r="D1115" s="0" t="n">
        <v>6</v>
      </c>
      <c r="E1115" s="0" t="n">
        <v>2</v>
      </c>
      <c r="F1115" s="0" t="n">
        <f aca="false">D1115*E1115</f>
        <v>12</v>
      </c>
      <c r="G1115" s="0" t="n">
        <f aca="false">ROUNDUP(F1115/75,0)</f>
        <v>1</v>
      </c>
    </row>
    <row r="1116" customFormat="false" ht="15" hidden="false" customHeight="false" outlineLevel="0" collapsed="false">
      <c r="A1116" s="0" t="s">
        <v>249</v>
      </c>
      <c r="B1116" s="0" t="s">
        <v>421</v>
      </c>
      <c r="C1116" s="0" t="s">
        <v>755</v>
      </c>
      <c r="D1116" s="0" t="n">
        <v>6</v>
      </c>
      <c r="E1116" s="0" t="n">
        <v>2</v>
      </c>
      <c r="F1116" s="0" t="n">
        <f aca="false">D1116*E1116</f>
        <v>12</v>
      </c>
      <c r="G1116" s="0" t="n">
        <f aca="false">ROUNDUP(F1116/75,0)</f>
        <v>1</v>
      </c>
    </row>
    <row r="1117" customFormat="false" ht="15" hidden="false" customHeight="false" outlineLevel="0" collapsed="false">
      <c r="A1117" s="0" t="s">
        <v>249</v>
      </c>
      <c r="B1117" s="0" t="s">
        <v>422</v>
      </c>
      <c r="C1117" s="0" t="s">
        <v>757</v>
      </c>
      <c r="D1117" s="0" t="n">
        <v>6</v>
      </c>
      <c r="E1117" s="0" t="n">
        <v>2</v>
      </c>
      <c r="F1117" s="0" t="n">
        <f aca="false">D1117*E1117</f>
        <v>12</v>
      </c>
      <c r="G1117" s="0" t="n">
        <f aca="false">ROUNDUP(F1117/75,0)</f>
        <v>1</v>
      </c>
    </row>
    <row r="1118" customFormat="false" ht="15" hidden="false" customHeight="false" outlineLevel="0" collapsed="false">
      <c r="A1118" s="0" t="s">
        <v>249</v>
      </c>
      <c r="B1118" s="0" t="s">
        <v>422</v>
      </c>
      <c r="C1118" s="0" t="s">
        <v>753</v>
      </c>
      <c r="D1118" s="0" t="n">
        <v>6</v>
      </c>
      <c r="E1118" s="0" t="n">
        <v>1</v>
      </c>
      <c r="F1118" s="0" t="n">
        <f aca="false">D1118*E1118</f>
        <v>6</v>
      </c>
      <c r="G1118" s="0" t="n">
        <f aca="false">ROUNDUP(F1118/75,0)</f>
        <v>1</v>
      </c>
    </row>
    <row r="1119" customFormat="false" ht="15" hidden="false" customHeight="false" outlineLevel="0" collapsed="false">
      <c r="A1119" s="0" t="s">
        <v>249</v>
      </c>
      <c r="B1119" s="0" t="s">
        <v>423</v>
      </c>
      <c r="C1119" s="0" t="s">
        <v>756</v>
      </c>
      <c r="D1119" s="0" t="n">
        <v>12</v>
      </c>
      <c r="E1119" s="0" t="n">
        <v>1</v>
      </c>
      <c r="F1119" s="0" t="n">
        <f aca="false">D1119*E1119</f>
        <v>12</v>
      </c>
      <c r="G1119" s="0" t="n">
        <f aca="false">ROUNDUP(F1119/75,0)</f>
        <v>1</v>
      </c>
    </row>
    <row r="1120" customFormat="false" ht="15" hidden="false" customHeight="false" outlineLevel="0" collapsed="false">
      <c r="A1120" s="0" t="s">
        <v>249</v>
      </c>
      <c r="B1120" s="0" t="s">
        <v>423</v>
      </c>
      <c r="C1120" s="0" t="s">
        <v>753</v>
      </c>
      <c r="D1120" s="0" t="n">
        <v>6</v>
      </c>
      <c r="E1120" s="0" t="n">
        <v>1</v>
      </c>
      <c r="F1120" s="0" t="n">
        <f aca="false">D1120*E1120</f>
        <v>6</v>
      </c>
      <c r="G1120" s="0" t="n">
        <f aca="false">ROUNDUP(F1120/75,0)</f>
        <v>1</v>
      </c>
    </row>
    <row r="1121" customFormat="false" ht="15" hidden="false" customHeight="false" outlineLevel="0" collapsed="false">
      <c r="A1121" s="0" t="s">
        <v>249</v>
      </c>
      <c r="B1121" s="0" t="s">
        <v>423</v>
      </c>
      <c r="C1121" s="0" t="s">
        <v>755</v>
      </c>
      <c r="D1121" s="0" t="n">
        <v>6</v>
      </c>
      <c r="E1121" s="0" t="n">
        <v>2</v>
      </c>
      <c r="F1121" s="0" t="n">
        <f aca="false">D1121*E1121</f>
        <v>12</v>
      </c>
      <c r="G1121" s="0" t="n">
        <f aca="false">ROUNDUP(F1121/75,0)</f>
        <v>1</v>
      </c>
    </row>
    <row r="1122" customFormat="false" ht="15" hidden="false" customHeight="false" outlineLevel="0" collapsed="false">
      <c r="A1122" s="0" t="s">
        <v>249</v>
      </c>
      <c r="B1122" s="0" t="s">
        <v>424</v>
      </c>
      <c r="C1122" s="0" t="s">
        <v>753</v>
      </c>
      <c r="D1122" s="0" t="n">
        <v>6</v>
      </c>
      <c r="E1122" s="0" t="n">
        <v>3</v>
      </c>
      <c r="F1122" s="0" t="n">
        <f aca="false">D1122*E1122</f>
        <v>18</v>
      </c>
      <c r="G1122" s="0" t="n">
        <f aca="false">ROUNDUP(F1122/75,0)</f>
        <v>1</v>
      </c>
    </row>
    <row r="1123" customFormat="false" ht="15" hidden="false" customHeight="false" outlineLevel="0" collapsed="false">
      <c r="A1123" s="0" t="s">
        <v>249</v>
      </c>
      <c r="B1123" s="0" t="s">
        <v>424</v>
      </c>
      <c r="C1123" s="0" t="s">
        <v>755</v>
      </c>
      <c r="D1123" s="0" t="n">
        <v>6</v>
      </c>
      <c r="E1123" s="0" t="n">
        <v>1</v>
      </c>
      <c r="F1123" s="0" t="n">
        <f aca="false">D1123*E1123</f>
        <v>6</v>
      </c>
      <c r="G1123" s="0" t="n">
        <f aca="false">ROUNDUP(F1123/75,0)</f>
        <v>1</v>
      </c>
    </row>
    <row r="1124" customFormat="false" ht="15" hidden="false" customHeight="false" outlineLevel="0" collapsed="false">
      <c r="A1124" s="0" t="s">
        <v>249</v>
      </c>
      <c r="B1124" s="0" t="s">
        <v>425</v>
      </c>
      <c r="C1124" s="0" t="s">
        <v>756</v>
      </c>
      <c r="D1124" s="0" t="n">
        <v>12</v>
      </c>
      <c r="E1124" s="0" t="n">
        <v>1</v>
      </c>
      <c r="F1124" s="0" t="n">
        <f aca="false">D1124*E1124</f>
        <v>12</v>
      </c>
      <c r="G1124" s="0" t="n">
        <f aca="false">ROUNDUP(F1124/75,0)</f>
        <v>1</v>
      </c>
    </row>
    <row r="1125" customFormat="false" ht="15" hidden="false" customHeight="false" outlineLevel="0" collapsed="false">
      <c r="A1125" s="0" t="s">
        <v>249</v>
      </c>
      <c r="B1125" s="0" t="s">
        <v>425</v>
      </c>
      <c r="C1125" s="0" t="s">
        <v>757</v>
      </c>
      <c r="D1125" s="0" t="n">
        <v>6</v>
      </c>
      <c r="E1125" s="0" t="n">
        <v>3</v>
      </c>
      <c r="F1125" s="0" t="n">
        <f aca="false">D1125*E1125</f>
        <v>18</v>
      </c>
      <c r="G1125" s="0" t="n">
        <f aca="false">ROUNDUP(F1125/75,0)</f>
        <v>1</v>
      </c>
    </row>
    <row r="1126" customFormat="false" ht="15" hidden="false" customHeight="false" outlineLevel="0" collapsed="false">
      <c r="A1126" s="0" t="s">
        <v>249</v>
      </c>
      <c r="B1126" s="0" t="s">
        <v>425</v>
      </c>
      <c r="C1126" s="0" t="s">
        <v>753</v>
      </c>
      <c r="D1126" s="0" t="n">
        <v>6</v>
      </c>
      <c r="E1126" s="0" t="n">
        <v>5</v>
      </c>
      <c r="F1126" s="0" t="n">
        <f aca="false">D1126*E1126</f>
        <v>30</v>
      </c>
      <c r="G1126" s="0" t="n">
        <f aca="false">ROUNDUP(F1126/75,0)</f>
        <v>1</v>
      </c>
    </row>
    <row r="1127" customFormat="false" ht="15" hidden="false" customHeight="false" outlineLevel="0" collapsed="false">
      <c r="A1127" s="0" t="s">
        <v>249</v>
      </c>
      <c r="B1127" s="0" t="s">
        <v>425</v>
      </c>
      <c r="C1127" s="0" t="s">
        <v>755</v>
      </c>
      <c r="D1127" s="0" t="n">
        <v>6</v>
      </c>
      <c r="E1127" s="0" t="n">
        <v>1</v>
      </c>
      <c r="F1127" s="0" t="n">
        <f aca="false">D1127*E1127</f>
        <v>6</v>
      </c>
      <c r="G1127" s="0" t="n">
        <f aca="false">ROUNDUP(F1127/75,0)</f>
        <v>1</v>
      </c>
    </row>
    <row r="1128" customFormat="false" ht="15" hidden="false" customHeight="false" outlineLevel="0" collapsed="false">
      <c r="A1128" s="0" t="s">
        <v>249</v>
      </c>
      <c r="B1128" s="0" t="s">
        <v>426</v>
      </c>
      <c r="C1128" s="0" t="s">
        <v>756</v>
      </c>
      <c r="D1128" s="0" t="n">
        <v>12</v>
      </c>
      <c r="E1128" s="0" t="n">
        <v>1</v>
      </c>
      <c r="F1128" s="0" t="n">
        <f aca="false">D1128*E1128</f>
        <v>12</v>
      </c>
      <c r="G1128" s="0" t="n">
        <f aca="false">ROUNDUP(F1128/75,0)</f>
        <v>1</v>
      </c>
    </row>
    <row r="1129" customFormat="false" ht="15" hidden="false" customHeight="false" outlineLevel="0" collapsed="false">
      <c r="A1129" s="0" t="s">
        <v>249</v>
      </c>
      <c r="B1129" s="0" t="s">
        <v>426</v>
      </c>
      <c r="C1129" s="0" t="s">
        <v>753</v>
      </c>
      <c r="D1129" s="0" t="n">
        <v>6</v>
      </c>
      <c r="E1129" s="0" t="n">
        <v>2</v>
      </c>
      <c r="F1129" s="0" t="n">
        <f aca="false">D1129*E1129</f>
        <v>12</v>
      </c>
      <c r="G1129" s="0" t="n">
        <f aca="false">ROUNDUP(F1129/75,0)</f>
        <v>1</v>
      </c>
    </row>
    <row r="1130" customFormat="false" ht="15" hidden="false" customHeight="false" outlineLevel="0" collapsed="false">
      <c r="A1130" s="0" t="s">
        <v>249</v>
      </c>
      <c r="B1130" s="0" t="s">
        <v>427</v>
      </c>
      <c r="C1130" s="0" t="s">
        <v>756</v>
      </c>
      <c r="D1130" s="0" t="n">
        <v>12</v>
      </c>
      <c r="E1130" s="0" t="n">
        <v>5</v>
      </c>
      <c r="F1130" s="0" t="n">
        <f aca="false">D1130*E1130</f>
        <v>60</v>
      </c>
      <c r="G1130" s="0" t="n">
        <f aca="false">ROUNDUP(F1130/75,0)</f>
        <v>1</v>
      </c>
    </row>
    <row r="1131" customFormat="false" ht="15" hidden="false" customHeight="false" outlineLevel="0" collapsed="false">
      <c r="A1131" s="0" t="s">
        <v>249</v>
      </c>
      <c r="B1131" s="0" t="s">
        <v>427</v>
      </c>
      <c r="C1131" s="0" t="s">
        <v>757</v>
      </c>
      <c r="D1131" s="0" t="n">
        <v>6</v>
      </c>
      <c r="E1131" s="0" t="n">
        <v>1</v>
      </c>
      <c r="F1131" s="0" t="n">
        <f aca="false">D1131*E1131</f>
        <v>6</v>
      </c>
      <c r="G1131" s="0" t="n">
        <f aca="false">ROUNDUP(F1131/75,0)</f>
        <v>1</v>
      </c>
    </row>
    <row r="1132" customFormat="false" ht="15" hidden="false" customHeight="false" outlineLevel="0" collapsed="false">
      <c r="A1132" s="0" t="s">
        <v>249</v>
      </c>
      <c r="B1132" s="0" t="s">
        <v>427</v>
      </c>
      <c r="C1132" s="0" t="s">
        <v>753</v>
      </c>
      <c r="D1132" s="0" t="n">
        <v>6</v>
      </c>
      <c r="E1132" s="0" t="n">
        <v>2</v>
      </c>
      <c r="F1132" s="0" t="n">
        <f aca="false">D1132*E1132</f>
        <v>12</v>
      </c>
      <c r="G1132" s="0" t="n">
        <f aca="false">ROUNDUP(F1132/75,0)</f>
        <v>1</v>
      </c>
    </row>
    <row r="1133" customFormat="false" ht="15" hidden="false" customHeight="false" outlineLevel="0" collapsed="false">
      <c r="A1133" s="0" t="s">
        <v>249</v>
      </c>
      <c r="B1133" s="0" t="s">
        <v>427</v>
      </c>
      <c r="C1133" s="0" t="s">
        <v>755</v>
      </c>
      <c r="D1133" s="0" t="n">
        <v>6</v>
      </c>
      <c r="E1133" s="0" t="n">
        <v>7</v>
      </c>
      <c r="F1133" s="0" t="n">
        <f aca="false">D1133*E1133</f>
        <v>42</v>
      </c>
      <c r="G1133" s="0" t="n">
        <f aca="false">ROUNDUP(F1133/75,0)</f>
        <v>1</v>
      </c>
    </row>
    <row r="1134" customFormat="false" ht="15" hidden="false" customHeight="false" outlineLevel="0" collapsed="false">
      <c r="A1134" s="0" t="s">
        <v>249</v>
      </c>
      <c r="B1134" s="0" t="s">
        <v>428</v>
      </c>
      <c r="C1134" s="0" t="s">
        <v>753</v>
      </c>
      <c r="D1134" s="0" t="n">
        <v>6</v>
      </c>
      <c r="E1134" s="0" t="n">
        <v>2</v>
      </c>
      <c r="F1134" s="0" t="n">
        <f aca="false">D1134*E1134</f>
        <v>12</v>
      </c>
      <c r="G1134" s="0" t="n">
        <f aca="false">ROUNDUP(F1134/75,0)</f>
        <v>1</v>
      </c>
    </row>
    <row r="1135" customFormat="false" ht="15" hidden="false" customHeight="false" outlineLevel="0" collapsed="false">
      <c r="A1135" s="0" t="s">
        <v>249</v>
      </c>
      <c r="B1135" s="0" t="s">
        <v>428</v>
      </c>
      <c r="C1135" s="0" t="s">
        <v>755</v>
      </c>
      <c r="D1135" s="0" t="n">
        <v>6</v>
      </c>
      <c r="E1135" s="0" t="n">
        <v>1</v>
      </c>
      <c r="F1135" s="0" t="n">
        <f aca="false">D1135*E1135</f>
        <v>6</v>
      </c>
      <c r="G1135" s="0" t="n">
        <f aca="false">ROUNDUP(F1135/75,0)</f>
        <v>1</v>
      </c>
    </row>
    <row r="1136" customFormat="false" ht="15" hidden="false" customHeight="false" outlineLevel="0" collapsed="false">
      <c r="A1136" s="0" t="s">
        <v>249</v>
      </c>
      <c r="B1136" s="0" t="s">
        <v>429</v>
      </c>
      <c r="C1136" s="0" t="s">
        <v>756</v>
      </c>
      <c r="D1136" s="0" t="n">
        <v>12</v>
      </c>
      <c r="E1136" s="0" t="n">
        <v>3</v>
      </c>
      <c r="F1136" s="0" t="n">
        <f aca="false">D1136*E1136</f>
        <v>36</v>
      </c>
      <c r="G1136" s="0" t="n">
        <f aca="false">ROUNDUP(F1136/75,0)</f>
        <v>1</v>
      </c>
    </row>
    <row r="1137" customFormat="false" ht="15" hidden="false" customHeight="false" outlineLevel="0" collapsed="false">
      <c r="A1137" s="0" t="s">
        <v>249</v>
      </c>
      <c r="B1137" s="0" t="s">
        <v>429</v>
      </c>
      <c r="C1137" s="0" t="s">
        <v>755</v>
      </c>
      <c r="D1137" s="0" t="n">
        <v>6</v>
      </c>
      <c r="E1137" s="0" t="n">
        <v>1</v>
      </c>
      <c r="F1137" s="0" t="n">
        <f aca="false">D1137*E1137</f>
        <v>6</v>
      </c>
      <c r="G1137" s="0" t="n">
        <f aca="false">ROUNDUP(F1137/75,0)</f>
        <v>1</v>
      </c>
    </row>
    <row r="1138" customFormat="false" ht="15" hidden="false" customHeight="false" outlineLevel="0" collapsed="false">
      <c r="A1138" s="0" t="s">
        <v>249</v>
      </c>
      <c r="B1138" s="0" t="s">
        <v>430</v>
      </c>
      <c r="C1138" s="0" t="s">
        <v>753</v>
      </c>
      <c r="D1138" s="0" t="n">
        <v>6</v>
      </c>
      <c r="E1138" s="0" t="n">
        <v>6</v>
      </c>
      <c r="F1138" s="0" t="n">
        <f aca="false">D1138*E1138</f>
        <v>36</v>
      </c>
      <c r="G1138" s="0" t="n">
        <f aca="false">ROUNDUP(F1138/75,0)</f>
        <v>1</v>
      </c>
    </row>
    <row r="1139" customFormat="false" ht="15" hidden="false" customHeight="false" outlineLevel="0" collapsed="false">
      <c r="A1139" s="0" t="s">
        <v>249</v>
      </c>
      <c r="B1139" s="0" t="s">
        <v>431</v>
      </c>
      <c r="C1139" s="0" t="s">
        <v>753</v>
      </c>
      <c r="D1139" s="0" t="n">
        <v>6</v>
      </c>
      <c r="E1139" s="0" t="n">
        <v>7</v>
      </c>
      <c r="F1139" s="0" t="n">
        <f aca="false">D1139*E1139</f>
        <v>42</v>
      </c>
      <c r="G1139" s="0" t="n">
        <f aca="false">ROUNDUP(F1139/75,0)</f>
        <v>1</v>
      </c>
    </row>
    <row r="1140" customFormat="false" ht="15" hidden="false" customHeight="false" outlineLevel="0" collapsed="false">
      <c r="A1140" s="0" t="s">
        <v>249</v>
      </c>
      <c r="B1140" s="0" t="s">
        <v>432</v>
      </c>
      <c r="C1140" s="0" t="s">
        <v>756</v>
      </c>
      <c r="D1140" s="0" t="n">
        <v>12</v>
      </c>
      <c r="E1140" s="0" t="n">
        <v>1</v>
      </c>
      <c r="F1140" s="0" t="n">
        <f aca="false">D1140*E1140</f>
        <v>12</v>
      </c>
      <c r="G1140" s="0" t="n">
        <f aca="false">ROUNDUP(F1140/75,0)</f>
        <v>1</v>
      </c>
    </row>
    <row r="1141" customFormat="false" ht="15" hidden="false" customHeight="false" outlineLevel="0" collapsed="false">
      <c r="A1141" s="0" t="s">
        <v>249</v>
      </c>
      <c r="B1141" s="0" t="s">
        <v>432</v>
      </c>
      <c r="C1141" s="0" t="s">
        <v>753</v>
      </c>
      <c r="D1141" s="0" t="n">
        <v>6</v>
      </c>
      <c r="E1141" s="0" t="n">
        <v>1</v>
      </c>
      <c r="F1141" s="0" t="n">
        <f aca="false">D1141*E1141</f>
        <v>6</v>
      </c>
      <c r="G1141" s="0" t="n">
        <f aca="false">ROUNDUP(F1141/75,0)</f>
        <v>1</v>
      </c>
    </row>
    <row r="1142" customFormat="false" ht="15" hidden="false" customHeight="false" outlineLevel="0" collapsed="false">
      <c r="A1142" s="0" t="s">
        <v>249</v>
      </c>
      <c r="B1142" s="0" t="s">
        <v>432</v>
      </c>
      <c r="C1142" s="0" t="s">
        <v>755</v>
      </c>
      <c r="D1142" s="0" t="n">
        <v>6</v>
      </c>
      <c r="E1142" s="0" t="n">
        <v>4</v>
      </c>
      <c r="F1142" s="0" t="n">
        <f aca="false">D1142*E1142</f>
        <v>24</v>
      </c>
      <c r="G1142" s="0" t="n">
        <f aca="false">ROUNDUP(F1142/75,0)</f>
        <v>1</v>
      </c>
    </row>
    <row r="1143" customFormat="false" ht="15" hidden="false" customHeight="false" outlineLevel="0" collapsed="false">
      <c r="A1143" s="0" t="s">
        <v>249</v>
      </c>
      <c r="B1143" s="0" t="s">
        <v>433</v>
      </c>
      <c r="C1143" s="0" t="s">
        <v>757</v>
      </c>
      <c r="D1143" s="0" t="n">
        <v>6</v>
      </c>
      <c r="E1143" s="0" t="n">
        <v>2</v>
      </c>
      <c r="F1143" s="0" t="n">
        <f aca="false">D1143*E1143</f>
        <v>12</v>
      </c>
      <c r="G1143" s="0" t="n">
        <f aca="false">ROUNDUP(F1143/75,0)</f>
        <v>1</v>
      </c>
    </row>
    <row r="1144" customFormat="false" ht="15" hidden="false" customHeight="false" outlineLevel="0" collapsed="false">
      <c r="A1144" s="0" t="s">
        <v>249</v>
      </c>
      <c r="B1144" s="0" t="s">
        <v>433</v>
      </c>
      <c r="C1144" s="0" t="s">
        <v>753</v>
      </c>
      <c r="D1144" s="0" t="n">
        <v>6</v>
      </c>
      <c r="E1144" s="0" t="n">
        <v>3</v>
      </c>
      <c r="F1144" s="0" t="n">
        <f aca="false">D1144*E1144</f>
        <v>18</v>
      </c>
      <c r="G1144" s="0" t="n">
        <f aca="false">ROUNDUP(F1144/75,0)</f>
        <v>1</v>
      </c>
    </row>
    <row r="1145" customFormat="false" ht="15" hidden="false" customHeight="false" outlineLevel="0" collapsed="false">
      <c r="A1145" s="0" t="s">
        <v>249</v>
      </c>
      <c r="B1145" s="0" t="s">
        <v>433</v>
      </c>
      <c r="C1145" s="0" t="s">
        <v>755</v>
      </c>
      <c r="D1145" s="0" t="n">
        <v>6</v>
      </c>
      <c r="E1145" s="0" t="n">
        <v>1</v>
      </c>
      <c r="F1145" s="0" t="n">
        <f aca="false">D1145*E1145</f>
        <v>6</v>
      </c>
      <c r="G1145" s="0" t="n">
        <f aca="false">ROUNDUP(F1145/75,0)</f>
        <v>1</v>
      </c>
    </row>
    <row r="1146" customFormat="false" ht="15" hidden="false" customHeight="false" outlineLevel="0" collapsed="false">
      <c r="A1146" s="0" t="s">
        <v>249</v>
      </c>
      <c r="B1146" s="0" t="s">
        <v>434</v>
      </c>
      <c r="C1146" s="0" t="s">
        <v>753</v>
      </c>
      <c r="D1146" s="0" t="n">
        <v>6</v>
      </c>
      <c r="E1146" s="0" t="n">
        <v>5</v>
      </c>
      <c r="F1146" s="0" t="n">
        <f aca="false">D1146*E1146</f>
        <v>30</v>
      </c>
      <c r="G1146" s="0" t="n">
        <f aca="false">ROUNDUP(F1146/75,0)</f>
        <v>1</v>
      </c>
    </row>
    <row r="1147" customFormat="false" ht="15" hidden="false" customHeight="false" outlineLevel="0" collapsed="false">
      <c r="A1147" s="0" t="s">
        <v>249</v>
      </c>
      <c r="B1147" s="0" t="s">
        <v>434</v>
      </c>
      <c r="C1147" s="0" t="s">
        <v>755</v>
      </c>
      <c r="D1147" s="0" t="n">
        <v>6</v>
      </c>
      <c r="E1147" s="0" t="n">
        <v>1</v>
      </c>
      <c r="F1147" s="0" t="n">
        <f aca="false">D1147*E1147</f>
        <v>6</v>
      </c>
      <c r="G1147" s="0" t="n">
        <f aca="false">ROUNDUP(F1147/75,0)</f>
        <v>1</v>
      </c>
    </row>
    <row r="1148" customFormat="false" ht="15" hidden="false" customHeight="false" outlineLevel="0" collapsed="false">
      <c r="A1148" s="0" t="s">
        <v>249</v>
      </c>
      <c r="B1148" s="0" t="s">
        <v>435</v>
      </c>
      <c r="C1148" s="0" t="s">
        <v>756</v>
      </c>
      <c r="D1148" s="0" t="n">
        <v>12</v>
      </c>
      <c r="E1148" s="0" t="n">
        <v>1</v>
      </c>
      <c r="F1148" s="0" t="n">
        <f aca="false">D1148*E1148</f>
        <v>12</v>
      </c>
      <c r="G1148" s="0" t="n">
        <f aca="false">ROUNDUP(F1148/75,0)</f>
        <v>1</v>
      </c>
    </row>
    <row r="1149" customFormat="false" ht="15" hidden="false" customHeight="false" outlineLevel="0" collapsed="false">
      <c r="A1149" s="0" t="s">
        <v>249</v>
      </c>
      <c r="B1149" s="0" t="s">
        <v>435</v>
      </c>
      <c r="C1149" s="0" t="s">
        <v>753</v>
      </c>
      <c r="D1149" s="0" t="n">
        <v>6</v>
      </c>
      <c r="E1149" s="0" t="n">
        <v>6</v>
      </c>
      <c r="F1149" s="0" t="n">
        <f aca="false">D1149*E1149</f>
        <v>36</v>
      </c>
      <c r="G1149" s="0" t="n">
        <f aca="false">ROUNDUP(F1149/75,0)</f>
        <v>1</v>
      </c>
    </row>
    <row r="1150" customFormat="false" ht="15" hidden="false" customHeight="false" outlineLevel="0" collapsed="false">
      <c r="A1150" s="0" t="s">
        <v>249</v>
      </c>
      <c r="B1150" s="0" t="s">
        <v>435</v>
      </c>
      <c r="C1150" s="0" t="s">
        <v>755</v>
      </c>
      <c r="D1150" s="0" t="n">
        <v>6</v>
      </c>
      <c r="E1150" s="0" t="n">
        <v>1</v>
      </c>
      <c r="F1150" s="0" t="n">
        <f aca="false">D1150*E1150</f>
        <v>6</v>
      </c>
      <c r="G1150" s="0" t="n">
        <f aca="false">ROUNDUP(F1150/75,0)</f>
        <v>1</v>
      </c>
    </row>
    <row r="1151" customFormat="false" ht="15" hidden="false" customHeight="false" outlineLevel="0" collapsed="false">
      <c r="A1151" s="0" t="s">
        <v>249</v>
      </c>
      <c r="B1151" s="0" t="s">
        <v>436</v>
      </c>
      <c r="C1151" s="0" t="s">
        <v>753</v>
      </c>
      <c r="D1151" s="0" t="n">
        <v>6</v>
      </c>
      <c r="E1151" s="0" t="n">
        <v>1</v>
      </c>
      <c r="F1151" s="0" t="n">
        <f aca="false">D1151*E1151</f>
        <v>6</v>
      </c>
      <c r="G1151" s="0" t="n">
        <f aca="false">ROUNDUP(F1151/75,0)</f>
        <v>1</v>
      </c>
    </row>
    <row r="1152" customFormat="false" ht="15" hidden="false" customHeight="false" outlineLevel="0" collapsed="false">
      <c r="A1152" s="0" t="s">
        <v>249</v>
      </c>
      <c r="B1152" s="0" t="s">
        <v>436</v>
      </c>
      <c r="C1152" s="0" t="s">
        <v>755</v>
      </c>
      <c r="D1152" s="0" t="n">
        <v>6</v>
      </c>
      <c r="E1152" s="0" t="n">
        <v>1</v>
      </c>
      <c r="F1152" s="0" t="n">
        <f aca="false">D1152*E1152</f>
        <v>6</v>
      </c>
      <c r="G1152" s="0" t="n">
        <f aca="false">ROUNDUP(F1152/75,0)</f>
        <v>1</v>
      </c>
    </row>
    <row r="1153" customFormat="false" ht="15" hidden="false" customHeight="false" outlineLevel="0" collapsed="false">
      <c r="A1153" s="0" t="s">
        <v>249</v>
      </c>
      <c r="B1153" s="0" t="s">
        <v>437</v>
      </c>
      <c r="C1153" s="0" t="s">
        <v>757</v>
      </c>
      <c r="D1153" s="0" t="n">
        <v>6</v>
      </c>
      <c r="E1153" s="0" t="n">
        <v>1</v>
      </c>
      <c r="F1153" s="0" t="n">
        <f aca="false">D1153*E1153</f>
        <v>6</v>
      </c>
      <c r="G1153" s="0" t="n">
        <f aca="false">ROUNDUP(F1153/75,0)</f>
        <v>1</v>
      </c>
    </row>
    <row r="1154" customFormat="false" ht="15" hidden="false" customHeight="false" outlineLevel="0" collapsed="false">
      <c r="A1154" s="0" t="s">
        <v>249</v>
      </c>
      <c r="B1154" s="0" t="s">
        <v>438</v>
      </c>
      <c r="C1154" s="0" t="s">
        <v>756</v>
      </c>
      <c r="D1154" s="0" t="n">
        <v>12</v>
      </c>
      <c r="E1154" s="0" t="n">
        <v>2</v>
      </c>
      <c r="F1154" s="0" t="n">
        <f aca="false">D1154*E1154</f>
        <v>24</v>
      </c>
      <c r="G1154" s="0" t="n">
        <f aca="false">ROUNDUP(F1154/75,0)</f>
        <v>1</v>
      </c>
    </row>
    <row r="1155" customFormat="false" ht="15" hidden="false" customHeight="false" outlineLevel="0" collapsed="false">
      <c r="A1155" s="0" t="s">
        <v>249</v>
      </c>
      <c r="B1155" s="0" t="s">
        <v>438</v>
      </c>
      <c r="C1155" s="0" t="s">
        <v>753</v>
      </c>
      <c r="D1155" s="0" t="n">
        <v>6</v>
      </c>
      <c r="E1155" s="0" t="n">
        <v>1</v>
      </c>
      <c r="F1155" s="0" t="n">
        <f aca="false">D1155*E1155</f>
        <v>6</v>
      </c>
      <c r="G1155" s="0" t="n">
        <f aca="false">ROUNDUP(F1155/75,0)</f>
        <v>1</v>
      </c>
    </row>
    <row r="1156" customFormat="false" ht="15" hidden="false" customHeight="false" outlineLevel="0" collapsed="false">
      <c r="A1156" s="0" t="s">
        <v>249</v>
      </c>
      <c r="B1156" s="0" t="s">
        <v>438</v>
      </c>
      <c r="C1156" s="0" t="s">
        <v>755</v>
      </c>
      <c r="D1156" s="0" t="n">
        <v>6</v>
      </c>
      <c r="E1156" s="0" t="n">
        <v>2</v>
      </c>
      <c r="F1156" s="0" t="n">
        <f aca="false">D1156*E1156</f>
        <v>12</v>
      </c>
      <c r="G1156" s="0" t="n">
        <f aca="false">ROUNDUP(F1156/75,0)</f>
        <v>1</v>
      </c>
    </row>
    <row r="1157" customFormat="false" ht="15" hidden="false" customHeight="false" outlineLevel="0" collapsed="false">
      <c r="A1157" s="0" t="s">
        <v>249</v>
      </c>
      <c r="B1157" s="0" t="s">
        <v>439</v>
      </c>
      <c r="C1157" s="0" t="s">
        <v>756</v>
      </c>
      <c r="D1157" s="0" t="n">
        <v>12</v>
      </c>
      <c r="E1157" s="0" t="n">
        <v>1</v>
      </c>
      <c r="F1157" s="0" t="n">
        <f aca="false">D1157*E1157</f>
        <v>12</v>
      </c>
      <c r="G1157" s="0" t="n">
        <f aca="false">ROUNDUP(F1157/75,0)</f>
        <v>1</v>
      </c>
    </row>
    <row r="1158" customFormat="false" ht="15" hidden="false" customHeight="false" outlineLevel="0" collapsed="false">
      <c r="A1158" s="0" t="s">
        <v>249</v>
      </c>
      <c r="B1158" s="0" t="s">
        <v>439</v>
      </c>
      <c r="C1158" s="0" t="s">
        <v>757</v>
      </c>
      <c r="D1158" s="0" t="n">
        <v>6</v>
      </c>
      <c r="E1158" s="0" t="n">
        <v>1</v>
      </c>
      <c r="F1158" s="0" t="n">
        <f aca="false">D1158*E1158</f>
        <v>6</v>
      </c>
      <c r="G1158" s="0" t="n">
        <f aca="false">ROUNDUP(F1158/75,0)</f>
        <v>1</v>
      </c>
    </row>
    <row r="1159" customFormat="false" ht="15" hidden="false" customHeight="false" outlineLevel="0" collapsed="false">
      <c r="A1159" s="0" t="s">
        <v>249</v>
      </c>
      <c r="B1159" s="0" t="s">
        <v>439</v>
      </c>
      <c r="C1159" s="0" t="s">
        <v>753</v>
      </c>
      <c r="D1159" s="0" t="n">
        <v>6</v>
      </c>
      <c r="E1159" s="0" t="n">
        <v>3</v>
      </c>
      <c r="F1159" s="0" t="n">
        <f aca="false">D1159*E1159</f>
        <v>18</v>
      </c>
      <c r="G1159" s="0" t="n">
        <f aca="false">ROUNDUP(F1159/75,0)</f>
        <v>1</v>
      </c>
    </row>
    <row r="1160" customFormat="false" ht="15" hidden="false" customHeight="false" outlineLevel="0" collapsed="false">
      <c r="A1160" s="0" t="s">
        <v>249</v>
      </c>
      <c r="B1160" s="0" t="s">
        <v>439</v>
      </c>
      <c r="C1160" s="0" t="s">
        <v>755</v>
      </c>
      <c r="D1160" s="0" t="n">
        <v>6</v>
      </c>
      <c r="E1160" s="0" t="n">
        <v>3</v>
      </c>
      <c r="F1160" s="0" t="n">
        <f aca="false">D1160*E1160</f>
        <v>18</v>
      </c>
      <c r="G1160" s="0" t="n">
        <f aca="false">ROUNDUP(F1160/75,0)</f>
        <v>1</v>
      </c>
    </row>
    <row r="1161" customFormat="false" ht="15" hidden="false" customHeight="false" outlineLevel="0" collapsed="false">
      <c r="A1161" s="0" t="s">
        <v>249</v>
      </c>
      <c r="B1161" s="0" t="s">
        <v>440</v>
      </c>
      <c r="C1161" s="0" t="s">
        <v>757</v>
      </c>
      <c r="D1161" s="0" t="n">
        <v>6</v>
      </c>
      <c r="E1161" s="0" t="n">
        <v>1</v>
      </c>
      <c r="F1161" s="0" t="n">
        <f aca="false">D1161*E1161</f>
        <v>6</v>
      </c>
      <c r="G1161" s="0" t="n">
        <f aca="false">ROUNDUP(F1161/75,0)</f>
        <v>1</v>
      </c>
    </row>
    <row r="1162" customFormat="false" ht="15" hidden="false" customHeight="false" outlineLevel="0" collapsed="false">
      <c r="A1162" s="0" t="s">
        <v>249</v>
      </c>
      <c r="B1162" s="0" t="s">
        <v>440</v>
      </c>
      <c r="C1162" s="0" t="s">
        <v>753</v>
      </c>
      <c r="D1162" s="0" t="n">
        <v>6</v>
      </c>
      <c r="E1162" s="0" t="n">
        <v>1</v>
      </c>
      <c r="F1162" s="0" t="n">
        <f aca="false">D1162*E1162</f>
        <v>6</v>
      </c>
      <c r="G1162" s="0" t="n">
        <f aca="false">ROUNDUP(F1162/75,0)</f>
        <v>1</v>
      </c>
    </row>
    <row r="1163" customFormat="false" ht="15" hidden="false" customHeight="false" outlineLevel="0" collapsed="false">
      <c r="A1163" s="0" t="s">
        <v>249</v>
      </c>
      <c r="B1163" s="0" t="s">
        <v>441</v>
      </c>
      <c r="C1163" s="0" t="s">
        <v>756</v>
      </c>
      <c r="D1163" s="0" t="n">
        <v>12</v>
      </c>
      <c r="E1163" s="0" t="n">
        <v>1</v>
      </c>
      <c r="F1163" s="0" t="n">
        <f aca="false">D1163*E1163</f>
        <v>12</v>
      </c>
      <c r="G1163" s="0" t="n">
        <f aca="false">ROUNDUP(F1163/75,0)</f>
        <v>1</v>
      </c>
    </row>
    <row r="1164" customFormat="false" ht="15" hidden="false" customHeight="false" outlineLevel="0" collapsed="false">
      <c r="A1164" s="0" t="s">
        <v>249</v>
      </c>
      <c r="B1164" s="0" t="s">
        <v>441</v>
      </c>
      <c r="C1164" s="0" t="s">
        <v>757</v>
      </c>
      <c r="D1164" s="0" t="n">
        <v>6</v>
      </c>
      <c r="E1164" s="0" t="n">
        <v>2</v>
      </c>
      <c r="F1164" s="0" t="n">
        <f aca="false">D1164*E1164</f>
        <v>12</v>
      </c>
      <c r="G1164" s="0" t="n">
        <f aca="false">ROUNDUP(F1164/75,0)</f>
        <v>1</v>
      </c>
    </row>
    <row r="1165" customFormat="false" ht="15" hidden="false" customHeight="false" outlineLevel="0" collapsed="false">
      <c r="A1165" s="0" t="s">
        <v>249</v>
      </c>
      <c r="B1165" s="0" t="s">
        <v>441</v>
      </c>
      <c r="C1165" s="0" t="s">
        <v>753</v>
      </c>
      <c r="D1165" s="0" t="n">
        <v>6</v>
      </c>
      <c r="E1165" s="0" t="n">
        <v>5</v>
      </c>
      <c r="F1165" s="0" t="n">
        <f aca="false">D1165*E1165</f>
        <v>30</v>
      </c>
      <c r="G1165" s="0" t="n">
        <f aca="false">ROUNDUP(F1165/75,0)</f>
        <v>1</v>
      </c>
    </row>
    <row r="1166" customFormat="false" ht="15" hidden="false" customHeight="false" outlineLevel="0" collapsed="false">
      <c r="A1166" s="0" t="s">
        <v>249</v>
      </c>
      <c r="B1166" s="0" t="s">
        <v>441</v>
      </c>
      <c r="C1166" s="0" t="s">
        <v>755</v>
      </c>
      <c r="D1166" s="0" t="n">
        <v>6</v>
      </c>
      <c r="E1166" s="0" t="n">
        <v>2</v>
      </c>
      <c r="F1166" s="0" t="n">
        <f aca="false">D1166*E1166</f>
        <v>12</v>
      </c>
      <c r="G1166" s="0" t="n">
        <f aca="false">ROUNDUP(F1166/75,0)</f>
        <v>1</v>
      </c>
    </row>
    <row r="1167" customFormat="false" ht="15" hidden="false" customHeight="false" outlineLevel="0" collapsed="false">
      <c r="A1167" s="0" t="s">
        <v>249</v>
      </c>
      <c r="B1167" s="0" t="s">
        <v>442</v>
      </c>
      <c r="C1167" s="0" t="s">
        <v>756</v>
      </c>
      <c r="D1167" s="0" t="n">
        <v>12</v>
      </c>
      <c r="E1167" s="0" t="n">
        <v>1</v>
      </c>
      <c r="F1167" s="0" t="n">
        <f aca="false">D1167*E1167</f>
        <v>12</v>
      </c>
      <c r="G1167" s="0" t="n">
        <f aca="false">ROUNDUP(F1167/75,0)</f>
        <v>1</v>
      </c>
    </row>
    <row r="1168" customFormat="false" ht="15" hidden="false" customHeight="false" outlineLevel="0" collapsed="false">
      <c r="A1168" s="0" t="s">
        <v>249</v>
      </c>
      <c r="B1168" s="0" t="s">
        <v>442</v>
      </c>
      <c r="C1168" s="0" t="s">
        <v>757</v>
      </c>
      <c r="D1168" s="0" t="n">
        <v>6</v>
      </c>
      <c r="E1168" s="0" t="n">
        <v>2</v>
      </c>
      <c r="F1168" s="0" t="n">
        <f aca="false">D1168*E1168</f>
        <v>12</v>
      </c>
      <c r="G1168" s="0" t="n">
        <f aca="false">ROUNDUP(F1168/75,0)</f>
        <v>1</v>
      </c>
    </row>
    <row r="1169" customFormat="false" ht="15" hidden="false" customHeight="false" outlineLevel="0" collapsed="false">
      <c r="A1169" s="0" t="s">
        <v>249</v>
      </c>
      <c r="B1169" s="0" t="s">
        <v>442</v>
      </c>
      <c r="C1169" s="0" t="s">
        <v>753</v>
      </c>
      <c r="D1169" s="0" t="n">
        <v>6</v>
      </c>
      <c r="E1169" s="0" t="n">
        <v>2</v>
      </c>
      <c r="F1169" s="0" t="n">
        <f aca="false">D1169*E1169</f>
        <v>12</v>
      </c>
      <c r="G1169" s="0" t="n">
        <f aca="false">ROUNDUP(F1169/75,0)</f>
        <v>1</v>
      </c>
    </row>
    <row r="1170" customFormat="false" ht="15" hidden="false" customHeight="false" outlineLevel="0" collapsed="false">
      <c r="A1170" s="0" t="s">
        <v>249</v>
      </c>
      <c r="B1170" s="0" t="s">
        <v>442</v>
      </c>
      <c r="C1170" s="0" t="s">
        <v>755</v>
      </c>
      <c r="D1170" s="0" t="n">
        <v>6</v>
      </c>
      <c r="E1170" s="0" t="n">
        <v>1</v>
      </c>
      <c r="F1170" s="0" t="n">
        <f aca="false">D1170*E1170</f>
        <v>6</v>
      </c>
      <c r="G1170" s="0" t="n">
        <f aca="false">ROUNDUP(F1170/75,0)</f>
        <v>1</v>
      </c>
    </row>
    <row r="1171" customFormat="false" ht="15" hidden="false" customHeight="false" outlineLevel="0" collapsed="false">
      <c r="A1171" s="0" t="s">
        <v>249</v>
      </c>
      <c r="B1171" s="0" t="s">
        <v>443</v>
      </c>
      <c r="C1171" s="0" t="s">
        <v>757</v>
      </c>
      <c r="D1171" s="0" t="n">
        <v>6</v>
      </c>
      <c r="E1171" s="0" t="n">
        <v>3</v>
      </c>
      <c r="F1171" s="0" t="n">
        <f aca="false">D1171*E1171</f>
        <v>18</v>
      </c>
      <c r="G1171" s="0" t="n">
        <f aca="false">ROUNDUP(F1171/75,0)</f>
        <v>1</v>
      </c>
    </row>
    <row r="1172" customFormat="false" ht="15" hidden="false" customHeight="false" outlineLevel="0" collapsed="false">
      <c r="A1172" s="0" t="s">
        <v>249</v>
      </c>
      <c r="B1172" s="0" t="s">
        <v>443</v>
      </c>
      <c r="C1172" s="0" t="s">
        <v>755</v>
      </c>
      <c r="D1172" s="0" t="n">
        <v>6</v>
      </c>
      <c r="E1172" s="0" t="n">
        <v>3</v>
      </c>
      <c r="F1172" s="0" t="n">
        <f aca="false">D1172*E1172</f>
        <v>18</v>
      </c>
      <c r="G1172" s="0" t="n">
        <f aca="false">ROUNDUP(F1172/75,0)</f>
        <v>1</v>
      </c>
    </row>
    <row r="1173" customFormat="false" ht="15" hidden="false" customHeight="false" outlineLevel="0" collapsed="false">
      <c r="A1173" s="0" t="s">
        <v>249</v>
      </c>
      <c r="B1173" s="0" t="s">
        <v>444</v>
      </c>
      <c r="C1173" s="0" t="s">
        <v>756</v>
      </c>
      <c r="D1173" s="0" t="n">
        <v>12</v>
      </c>
      <c r="E1173" s="0" t="n">
        <v>4</v>
      </c>
      <c r="F1173" s="0" t="n">
        <f aca="false">D1173*E1173</f>
        <v>48</v>
      </c>
      <c r="G1173" s="0" t="n">
        <f aca="false">ROUNDUP(F1173/75,0)</f>
        <v>1</v>
      </c>
    </row>
    <row r="1174" customFormat="false" ht="15" hidden="false" customHeight="false" outlineLevel="0" collapsed="false">
      <c r="A1174" s="0" t="s">
        <v>249</v>
      </c>
      <c r="B1174" s="0" t="s">
        <v>444</v>
      </c>
      <c r="C1174" s="0" t="s">
        <v>753</v>
      </c>
      <c r="D1174" s="0" t="n">
        <v>6</v>
      </c>
      <c r="E1174" s="0" t="n">
        <v>4</v>
      </c>
      <c r="F1174" s="0" t="n">
        <f aca="false">D1174*E1174</f>
        <v>24</v>
      </c>
      <c r="G1174" s="0" t="n">
        <f aca="false">ROUNDUP(F1174/75,0)</f>
        <v>1</v>
      </c>
    </row>
    <row r="1175" customFormat="false" ht="15" hidden="false" customHeight="false" outlineLevel="0" collapsed="false">
      <c r="A1175" s="0" t="s">
        <v>249</v>
      </c>
      <c r="B1175" s="0" t="s">
        <v>445</v>
      </c>
      <c r="C1175" s="0" t="s">
        <v>757</v>
      </c>
      <c r="D1175" s="0" t="n">
        <v>6</v>
      </c>
      <c r="E1175" s="0" t="n">
        <v>1</v>
      </c>
      <c r="F1175" s="0" t="n">
        <f aca="false">D1175*E1175</f>
        <v>6</v>
      </c>
      <c r="G1175" s="0" t="n">
        <f aca="false">ROUNDUP(F1175/75,0)</f>
        <v>1</v>
      </c>
    </row>
    <row r="1176" customFormat="false" ht="15" hidden="false" customHeight="false" outlineLevel="0" collapsed="false">
      <c r="A1176" s="0" t="s">
        <v>249</v>
      </c>
      <c r="B1176" s="0" t="s">
        <v>446</v>
      </c>
      <c r="C1176" s="0" t="s">
        <v>753</v>
      </c>
      <c r="D1176" s="0" t="n">
        <v>6</v>
      </c>
      <c r="E1176" s="0" t="n">
        <v>1</v>
      </c>
      <c r="F1176" s="0" t="n">
        <f aca="false">D1176*E1176</f>
        <v>6</v>
      </c>
      <c r="G1176" s="0" t="n">
        <f aca="false">ROUNDUP(F1176/75,0)</f>
        <v>1</v>
      </c>
    </row>
    <row r="1177" customFormat="false" ht="15" hidden="false" customHeight="false" outlineLevel="0" collapsed="false">
      <c r="A1177" s="0" t="s">
        <v>249</v>
      </c>
      <c r="B1177" s="0" t="s">
        <v>446</v>
      </c>
      <c r="C1177" s="0" t="s">
        <v>755</v>
      </c>
      <c r="D1177" s="0" t="n">
        <v>6</v>
      </c>
      <c r="E1177" s="0" t="n">
        <v>3</v>
      </c>
      <c r="F1177" s="0" t="n">
        <f aca="false">D1177*E1177</f>
        <v>18</v>
      </c>
      <c r="G1177" s="0" t="n">
        <f aca="false">ROUNDUP(F1177/75,0)</f>
        <v>1</v>
      </c>
    </row>
    <row r="1178" customFormat="false" ht="15" hidden="false" customHeight="false" outlineLevel="0" collapsed="false">
      <c r="A1178" s="0" t="s">
        <v>249</v>
      </c>
      <c r="B1178" s="0" t="s">
        <v>447</v>
      </c>
      <c r="C1178" s="0" t="s">
        <v>756</v>
      </c>
      <c r="D1178" s="0" t="n">
        <v>12</v>
      </c>
      <c r="E1178" s="0" t="n">
        <v>2</v>
      </c>
      <c r="F1178" s="0" t="n">
        <f aca="false">D1178*E1178</f>
        <v>24</v>
      </c>
      <c r="G1178" s="0" t="n">
        <f aca="false">ROUNDUP(F1178/75,0)</f>
        <v>1</v>
      </c>
    </row>
    <row r="1179" customFormat="false" ht="15" hidden="false" customHeight="false" outlineLevel="0" collapsed="false">
      <c r="A1179" s="0" t="s">
        <v>249</v>
      </c>
      <c r="B1179" s="0" t="s">
        <v>447</v>
      </c>
      <c r="C1179" s="0" t="s">
        <v>757</v>
      </c>
      <c r="D1179" s="0" t="n">
        <v>6</v>
      </c>
      <c r="E1179" s="0" t="n">
        <v>1</v>
      </c>
      <c r="F1179" s="0" t="n">
        <f aca="false">D1179*E1179</f>
        <v>6</v>
      </c>
      <c r="G1179" s="0" t="n">
        <f aca="false">ROUNDUP(F1179/75,0)</f>
        <v>1</v>
      </c>
    </row>
    <row r="1180" customFormat="false" ht="15" hidden="false" customHeight="false" outlineLevel="0" collapsed="false">
      <c r="A1180" s="0" t="s">
        <v>249</v>
      </c>
      <c r="B1180" s="0" t="s">
        <v>447</v>
      </c>
      <c r="C1180" s="0" t="s">
        <v>753</v>
      </c>
      <c r="D1180" s="0" t="n">
        <v>6</v>
      </c>
      <c r="E1180" s="0" t="n">
        <v>3</v>
      </c>
      <c r="F1180" s="0" t="n">
        <f aca="false">D1180*E1180</f>
        <v>18</v>
      </c>
      <c r="G1180" s="0" t="n">
        <f aca="false">ROUNDUP(F1180/75,0)</f>
        <v>1</v>
      </c>
    </row>
    <row r="1181" customFormat="false" ht="15" hidden="false" customHeight="false" outlineLevel="0" collapsed="false">
      <c r="A1181" s="0" t="s">
        <v>249</v>
      </c>
      <c r="B1181" s="0" t="s">
        <v>447</v>
      </c>
      <c r="C1181" s="0" t="s">
        <v>755</v>
      </c>
      <c r="D1181" s="0" t="n">
        <v>6</v>
      </c>
      <c r="E1181" s="0" t="n">
        <v>2</v>
      </c>
      <c r="F1181" s="0" t="n">
        <f aca="false">D1181*E1181</f>
        <v>12</v>
      </c>
      <c r="G1181" s="0" t="n">
        <f aca="false">ROUNDUP(F1181/75,0)</f>
        <v>1</v>
      </c>
    </row>
    <row r="1182" customFormat="false" ht="15" hidden="false" customHeight="false" outlineLevel="0" collapsed="false">
      <c r="A1182" s="0" t="s">
        <v>249</v>
      </c>
      <c r="B1182" s="0" t="s">
        <v>448</v>
      </c>
      <c r="C1182" s="0" t="s">
        <v>753</v>
      </c>
      <c r="D1182" s="0" t="n">
        <v>6</v>
      </c>
      <c r="E1182" s="0" t="n">
        <v>7</v>
      </c>
      <c r="F1182" s="0" t="n">
        <f aca="false">D1182*E1182</f>
        <v>42</v>
      </c>
      <c r="G1182" s="0" t="n">
        <f aca="false">ROUNDUP(F1182/75,0)</f>
        <v>1</v>
      </c>
    </row>
    <row r="1183" customFormat="false" ht="15" hidden="false" customHeight="false" outlineLevel="0" collapsed="false">
      <c r="A1183" s="0" t="s">
        <v>249</v>
      </c>
      <c r="B1183" s="0" t="s">
        <v>448</v>
      </c>
      <c r="C1183" s="0" t="s">
        <v>755</v>
      </c>
      <c r="D1183" s="0" t="n">
        <v>6</v>
      </c>
      <c r="E1183" s="0" t="n">
        <v>1</v>
      </c>
      <c r="F1183" s="0" t="n">
        <f aca="false">D1183*E1183</f>
        <v>6</v>
      </c>
      <c r="G1183" s="0" t="n">
        <f aca="false">ROUNDUP(F1183/75,0)</f>
        <v>1</v>
      </c>
    </row>
    <row r="1184" customFormat="false" ht="15" hidden="false" customHeight="false" outlineLevel="0" collapsed="false">
      <c r="A1184" s="0" t="s">
        <v>249</v>
      </c>
      <c r="B1184" s="0" t="s">
        <v>449</v>
      </c>
      <c r="C1184" s="0" t="s">
        <v>757</v>
      </c>
      <c r="D1184" s="0" t="n">
        <v>6</v>
      </c>
      <c r="E1184" s="0" t="n">
        <v>1</v>
      </c>
      <c r="F1184" s="0" t="n">
        <f aca="false">D1184*E1184</f>
        <v>6</v>
      </c>
      <c r="G1184" s="0" t="n">
        <f aca="false">ROUNDUP(F1184/75,0)</f>
        <v>1</v>
      </c>
    </row>
    <row r="1185" customFormat="false" ht="15" hidden="false" customHeight="false" outlineLevel="0" collapsed="false">
      <c r="A1185" s="0" t="s">
        <v>249</v>
      </c>
      <c r="B1185" s="0" t="s">
        <v>449</v>
      </c>
      <c r="C1185" s="0" t="s">
        <v>755</v>
      </c>
      <c r="D1185" s="0" t="n">
        <v>6</v>
      </c>
      <c r="E1185" s="0" t="n">
        <v>1</v>
      </c>
      <c r="F1185" s="0" t="n">
        <f aca="false">D1185*E1185</f>
        <v>6</v>
      </c>
      <c r="G1185" s="0" t="n">
        <f aca="false">ROUNDUP(F1185/75,0)</f>
        <v>1</v>
      </c>
    </row>
    <row r="1186" customFormat="false" ht="15" hidden="false" customHeight="false" outlineLevel="0" collapsed="false">
      <c r="A1186" s="0" t="s">
        <v>249</v>
      </c>
      <c r="B1186" s="0" t="s">
        <v>450</v>
      </c>
      <c r="C1186" s="0" t="s">
        <v>753</v>
      </c>
      <c r="D1186" s="0" t="n">
        <v>6</v>
      </c>
      <c r="E1186" s="0" t="n">
        <v>3</v>
      </c>
      <c r="F1186" s="0" t="n">
        <f aca="false">D1186*E1186</f>
        <v>18</v>
      </c>
      <c r="G1186" s="0" t="n">
        <f aca="false">ROUNDUP(F1186/75,0)</f>
        <v>1</v>
      </c>
    </row>
    <row r="1187" customFormat="false" ht="15" hidden="false" customHeight="false" outlineLevel="0" collapsed="false">
      <c r="A1187" s="0" t="s">
        <v>249</v>
      </c>
      <c r="B1187" s="0" t="s">
        <v>451</v>
      </c>
      <c r="C1187" s="0" t="s">
        <v>756</v>
      </c>
      <c r="D1187" s="0" t="n">
        <v>12</v>
      </c>
      <c r="E1187" s="0" t="n">
        <v>2</v>
      </c>
      <c r="F1187" s="0" t="n">
        <f aca="false">D1187*E1187</f>
        <v>24</v>
      </c>
      <c r="G1187" s="0" t="n">
        <f aca="false">ROUNDUP(F1187/75,0)</f>
        <v>1</v>
      </c>
    </row>
    <row r="1188" customFormat="false" ht="15" hidden="false" customHeight="false" outlineLevel="0" collapsed="false">
      <c r="A1188" s="0" t="s">
        <v>249</v>
      </c>
      <c r="B1188" s="0" t="s">
        <v>451</v>
      </c>
      <c r="C1188" s="0" t="s">
        <v>757</v>
      </c>
      <c r="D1188" s="0" t="n">
        <v>6</v>
      </c>
      <c r="E1188" s="0" t="n">
        <v>4</v>
      </c>
      <c r="F1188" s="0" t="n">
        <f aca="false">D1188*E1188</f>
        <v>24</v>
      </c>
      <c r="G1188" s="0" t="n">
        <f aca="false">ROUNDUP(F1188/75,0)</f>
        <v>1</v>
      </c>
    </row>
    <row r="1189" customFormat="false" ht="15" hidden="false" customHeight="false" outlineLevel="0" collapsed="false">
      <c r="A1189" s="0" t="s">
        <v>249</v>
      </c>
      <c r="B1189" s="0" t="s">
        <v>451</v>
      </c>
      <c r="C1189" s="0" t="s">
        <v>753</v>
      </c>
      <c r="D1189" s="0" t="n">
        <v>6</v>
      </c>
      <c r="E1189" s="0" t="n">
        <v>6</v>
      </c>
      <c r="F1189" s="0" t="n">
        <f aca="false">D1189*E1189</f>
        <v>36</v>
      </c>
      <c r="G1189" s="0" t="n">
        <f aca="false">ROUNDUP(F1189/75,0)</f>
        <v>1</v>
      </c>
    </row>
    <row r="1190" customFormat="false" ht="15" hidden="false" customHeight="false" outlineLevel="0" collapsed="false">
      <c r="A1190" s="0" t="s">
        <v>249</v>
      </c>
      <c r="B1190" s="0" t="s">
        <v>451</v>
      </c>
      <c r="C1190" s="0" t="s">
        <v>755</v>
      </c>
      <c r="D1190" s="0" t="n">
        <v>6</v>
      </c>
      <c r="E1190" s="0" t="n">
        <v>5</v>
      </c>
      <c r="F1190" s="0" t="n">
        <f aca="false">D1190*E1190</f>
        <v>30</v>
      </c>
      <c r="G1190" s="0" t="n">
        <f aca="false">ROUNDUP(F1190/75,0)</f>
        <v>1</v>
      </c>
    </row>
    <row r="1191" customFormat="false" ht="15" hidden="false" customHeight="false" outlineLevel="0" collapsed="false">
      <c r="A1191" s="0" t="s">
        <v>249</v>
      </c>
      <c r="B1191" s="0" t="s">
        <v>452</v>
      </c>
      <c r="C1191" s="0" t="s">
        <v>756</v>
      </c>
      <c r="D1191" s="0" t="n">
        <v>12</v>
      </c>
      <c r="E1191" s="0" t="n">
        <v>2</v>
      </c>
      <c r="F1191" s="0" t="n">
        <f aca="false">D1191*E1191</f>
        <v>24</v>
      </c>
      <c r="G1191" s="0" t="n">
        <f aca="false">ROUNDUP(F1191/75,0)</f>
        <v>1</v>
      </c>
    </row>
    <row r="1192" customFormat="false" ht="15" hidden="false" customHeight="false" outlineLevel="0" collapsed="false">
      <c r="A1192" s="0" t="s">
        <v>249</v>
      </c>
      <c r="B1192" s="0" t="s">
        <v>452</v>
      </c>
      <c r="C1192" s="0" t="s">
        <v>757</v>
      </c>
      <c r="D1192" s="0" t="n">
        <v>6</v>
      </c>
      <c r="E1192" s="0" t="n">
        <v>2</v>
      </c>
      <c r="F1192" s="0" t="n">
        <f aca="false">D1192*E1192</f>
        <v>12</v>
      </c>
      <c r="G1192" s="0" t="n">
        <f aca="false">ROUNDUP(F1192/75,0)</f>
        <v>1</v>
      </c>
    </row>
    <row r="1193" customFormat="false" ht="15" hidden="false" customHeight="false" outlineLevel="0" collapsed="false">
      <c r="A1193" s="0" t="s">
        <v>249</v>
      </c>
      <c r="B1193" s="0" t="s">
        <v>452</v>
      </c>
      <c r="C1193" s="0" t="s">
        <v>753</v>
      </c>
      <c r="D1193" s="0" t="n">
        <v>6</v>
      </c>
      <c r="E1193" s="0" t="n">
        <v>5</v>
      </c>
      <c r="F1193" s="0" t="n">
        <f aca="false">D1193*E1193</f>
        <v>30</v>
      </c>
      <c r="G1193" s="0" t="n">
        <f aca="false">ROUNDUP(F1193/75,0)</f>
        <v>1</v>
      </c>
    </row>
    <row r="1194" customFormat="false" ht="15" hidden="false" customHeight="false" outlineLevel="0" collapsed="false">
      <c r="A1194" s="0" t="s">
        <v>249</v>
      </c>
      <c r="B1194" s="0" t="s">
        <v>452</v>
      </c>
      <c r="C1194" s="0" t="s">
        <v>755</v>
      </c>
      <c r="D1194" s="0" t="n">
        <v>6</v>
      </c>
      <c r="E1194" s="0" t="n">
        <v>3</v>
      </c>
      <c r="F1194" s="0" t="n">
        <f aca="false">D1194*E1194</f>
        <v>18</v>
      </c>
      <c r="G1194" s="0" t="n">
        <f aca="false">ROUNDUP(F1194/75,0)</f>
        <v>1</v>
      </c>
    </row>
    <row r="1195" customFormat="false" ht="15" hidden="false" customHeight="false" outlineLevel="0" collapsed="false">
      <c r="A1195" s="0" t="s">
        <v>249</v>
      </c>
      <c r="B1195" s="0" t="s">
        <v>453</v>
      </c>
      <c r="C1195" s="0" t="s">
        <v>755</v>
      </c>
      <c r="D1195" s="0" t="n">
        <v>6</v>
      </c>
      <c r="E1195" s="0" t="n">
        <v>2</v>
      </c>
      <c r="F1195" s="0" t="n">
        <f aca="false">D1195*E1195</f>
        <v>12</v>
      </c>
      <c r="G1195" s="0" t="n">
        <f aca="false">ROUNDUP(F1195/75,0)</f>
        <v>1</v>
      </c>
    </row>
    <row r="1196" customFormat="false" ht="15" hidden="false" customHeight="false" outlineLevel="0" collapsed="false">
      <c r="A1196" s="0" t="s">
        <v>249</v>
      </c>
      <c r="B1196" s="0" t="s">
        <v>454</v>
      </c>
      <c r="C1196" s="0" t="s">
        <v>753</v>
      </c>
      <c r="D1196" s="0" t="n">
        <v>6</v>
      </c>
      <c r="E1196" s="0" t="n">
        <v>3</v>
      </c>
      <c r="F1196" s="0" t="n">
        <f aca="false">D1196*E1196</f>
        <v>18</v>
      </c>
      <c r="G1196" s="0" t="n">
        <f aca="false">ROUNDUP(F1196/75,0)</f>
        <v>1</v>
      </c>
    </row>
    <row r="1197" customFormat="false" ht="15" hidden="false" customHeight="false" outlineLevel="0" collapsed="false">
      <c r="A1197" s="0" t="s">
        <v>249</v>
      </c>
      <c r="B1197" s="0" t="s">
        <v>454</v>
      </c>
      <c r="C1197" s="0" t="s">
        <v>755</v>
      </c>
      <c r="D1197" s="0" t="n">
        <v>6</v>
      </c>
      <c r="E1197" s="0" t="n">
        <v>3</v>
      </c>
      <c r="F1197" s="0" t="n">
        <f aca="false">D1197*E1197</f>
        <v>18</v>
      </c>
      <c r="G1197" s="0" t="n">
        <f aca="false">ROUNDUP(F1197/75,0)</f>
        <v>1</v>
      </c>
    </row>
    <row r="1198" customFormat="false" ht="15" hidden="false" customHeight="false" outlineLevel="0" collapsed="false">
      <c r="A1198" s="0" t="s">
        <v>249</v>
      </c>
      <c r="B1198" s="0" t="s">
        <v>455</v>
      </c>
      <c r="C1198" s="0" t="s">
        <v>757</v>
      </c>
      <c r="D1198" s="0" t="n">
        <v>6</v>
      </c>
      <c r="E1198" s="0" t="n">
        <v>4</v>
      </c>
      <c r="F1198" s="0" t="n">
        <f aca="false">D1198*E1198</f>
        <v>24</v>
      </c>
      <c r="G1198" s="0" t="n">
        <f aca="false">ROUNDUP(F1198/75,0)</f>
        <v>1</v>
      </c>
    </row>
    <row r="1199" customFormat="false" ht="15" hidden="false" customHeight="false" outlineLevel="0" collapsed="false">
      <c r="A1199" s="0" t="s">
        <v>249</v>
      </c>
      <c r="B1199" s="0" t="s">
        <v>455</v>
      </c>
      <c r="C1199" s="0" t="s">
        <v>753</v>
      </c>
      <c r="D1199" s="0" t="n">
        <v>6</v>
      </c>
      <c r="E1199" s="0" t="n">
        <v>1</v>
      </c>
      <c r="F1199" s="0" t="n">
        <f aca="false">D1199*E1199</f>
        <v>6</v>
      </c>
      <c r="G1199" s="0" t="n">
        <f aca="false">ROUNDUP(F1199/75,0)</f>
        <v>1</v>
      </c>
    </row>
    <row r="1200" customFormat="false" ht="15" hidden="false" customHeight="false" outlineLevel="0" collapsed="false">
      <c r="A1200" s="0" t="s">
        <v>249</v>
      </c>
      <c r="B1200" s="0" t="s">
        <v>456</v>
      </c>
      <c r="C1200" s="0" t="s">
        <v>757</v>
      </c>
      <c r="D1200" s="0" t="n">
        <v>6</v>
      </c>
      <c r="E1200" s="0" t="n">
        <v>2</v>
      </c>
      <c r="F1200" s="0" t="n">
        <f aca="false">D1200*E1200</f>
        <v>12</v>
      </c>
      <c r="G1200" s="0" t="n">
        <f aca="false">ROUNDUP(F1200/75,0)</f>
        <v>1</v>
      </c>
    </row>
    <row r="1201" customFormat="false" ht="15" hidden="false" customHeight="false" outlineLevel="0" collapsed="false">
      <c r="A1201" s="0" t="s">
        <v>249</v>
      </c>
      <c r="B1201" s="0" t="s">
        <v>456</v>
      </c>
      <c r="C1201" s="0" t="s">
        <v>753</v>
      </c>
      <c r="D1201" s="0" t="n">
        <v>6</v>
      </c>
      <c r="E1201" s="0" t="n">
        <v>4</v>
      </c>
      <c r="F1201" s="0" t="n">
        <f aca="false">D1201*E1201</f>
        <v>24</v>
      </c>
      <c r="G1201" s="0" t="n">
        <f aca="false">ROUNDUP(F1201/75,0)</f>
        <v>1</v>
      </c>
    </row>
    <row r="1202" customFormat="false" ht="15" hidden="false" customHeight="false" outlineLevel="0" collapsed="false">
      <c r="A1202" s="0" t="s">
        <v>249</v>
      </c>
      <c r="B1202" s="0" t="s">
        <v>456</v>
      </c>
      <c r="C1202" s="0" t="s">
        <v>755</v>
      </c>
      <c r="D1202" s="0" t="n">
        <v>6</v>
      </c>
      <c r="E1202" s="0" t="n">
        <v>1</v>
      </c>
      <c r="F1202" s="0" t="n">
        <f aca="false">D1202*E1202</f>
        <v>6</v>
      </c>
      <c r="G1202" s="0" t="n">
        <f aca="false">ROUNDUP(F1202/75,0)</f>
        <v>1</v>
      </c>
    </row>
    <row r="1203" customFormat="false" ht="15" hidden="false" customHeight="false" outlineLevel="0" collapsed="false">
      <c r="A1203" s="0" t="s">
        <v>249</v>
      </c>
      <c r="B1203" s="0" t="s">
        <v>457</v>
      </c>
      <c r="C1203" s="0" t="s">
        <v>757</v>
      </c>
      <c r="D1203" s="0" t="n">
        <v>6</v>
      </c>
      <c r="E1203" s="0" t="n">
        <v>1</v>
      </c>
      <c r="F1203" s="0" t="n">
        <f aca="false">D1203*E1203</f>
        <v>6</v>
      </c>
      <c r="G1203" s="0" t="n">
        <f aca="false">ROUNDUP(F1203/75,0)</f>
        <v>1</v>
      </c>
    </row>
    <row r="1204" customFormat="false" ht="15" hidden="false" customHeight="false" outlineLevel="0" collapsed="false">
      <c r="A1204" s="0" t="s">
        <v>249</v>
      </c>
      <c r="B1204" s="0" t="s">
        <v>457</v>
      </c>
      <c r="C1204" s="0" t="s">
        <v>753</v>
      </c>
      <c r="D1204" s="0" t="n">
        <v>6</v>
      </c>
      <c r="E1204" s="0" t="n">
        <v>9</v>
      </c>
      <c r="F1204" s="0" t="n">
        <f aca="false">D1204*E1204</f>
        <v>54</v>
      </c>
      <c r="G1204" s="0" t="n">
        <f aca="false">ROUNDUP(F1204/75,0)</f>
        <v>1</v>
      </c>
    </row>
    <row r="1205" customFormat="false" ht="15" hidden="false" customHeight="false" outlineLevel="0" collapsed="false">
      <c r="A1205" s="0" t="s">
        <v>249</v>
      </c>
      <c r="B1205" s="0" t="s">
        <v>457</v>
      </c>
      <c r="C1205" s="0" t="s">
        <v>755</v>
      </c>
      <c r="D1205" s="0" t="n">
        <v>6</v>
      </c>
      <c r="E1205" s="0" t="n">
        <v>1</v>
      </c>
      <c r="F1205" s="0" t="n">
        <f aca="false">D1205*E1205</f>
        <v>6</v>
      </c>
      <c r="G1205" s="0" t="n">
        <f aca="false">ROUNDUP(F1205/75,0)</f>
        <v>1</v>
      </c>
    </row>
    <row r="1206" customFormat="false" ht="15" hidden="false" customHeight="false" outlineLevel="0" collapsed="false">
      <c r="A1206" s="0" t="s">
        <v>249</v>
      </c>
      <c r="B1206" s="0" t="s">
        <v>458</v>
      </c>
      <c r="C1206" s="0" t="s">
        <v>755</v>
      </c>
      <c r="D1206" s="0" t="n">
        <v>6</v>
      </c>
      <c r="E1206" s="0" t="n">
        <v>1</v>
      </c>
      <c r="F1206" s="0" t="n">
        <f aca="false">D1206*E1206</f>
        <v>6</v>
      </c>
      <c r="G1206" s="0" t="n">
        <f aca="false">ROUNDUP(F1206/75,0)</f>
        <v>1</v>
      </c>
    </row>
    <row r="1207" customFormat="false" ht="15" hidden="false" customHeight="false" outlineLevel="0" collapsed="false">
      <c r="A1207" s="0" t="s">
        <v>249</v>
      </c>
      <c r="B1207" s="0" t="s">
        <v>459</v>
      </c>
      <c r="C1207" s="0" t="s">
        <v>756</v>
      </c>
      <c r="D1207" s="0" t="n">
        <v>12</v>
      </c>
      <c r="E1207" s="0" t="n">
        <v>3</v>
      </c>
      <c r="F1207" s="0" t="n">
        <f aca="false">D1207*E1207</f>
        <v>36</v>
      </c>
      <c r="G1207" s="0" t="n">
        <f aca="false">ROUNDUP(F1207/75,0)</f>
        <v>1</v>
      </c>
    </row>
    <row r="1208" customFormat="false" ht="15" hidden="false" customHeight="false" outlineLevel="0" collapsed="false">
      <c r="A1208" s="0" t="s">
        <v>249</v>
      </c>
      <c r="B1208" s="0" t="s">
        <v>459</v>
      </c>
      <c r="C1208" s="0" t="s">
        <v>757</v>
      </c>
      <c r="D1208" s="0" t="n">
        <v>6</v>
      </c>
      <c r="E1208" s="0" t="n">
        <v>1</v>
      </c>
      <c r="F1208" s="0" t="n">
        <f aca="false">D1208*E1208</f>
        <v>6</v>
      </c>
      <c r="G1208" s="0" t="n">
        <f aca="false">ROUNDUP(F1208/75,0)</f>
        <v>1</v>
      </c>
    </row>
    <row r="1209" customFormat="false" ht="15" hidden="false" customHeight="false" outlineLevel="0" collapsed="false">
      <c r="A1209" s="0" t="s">
        <v>249</v>
      </c>
      <c r="B1209" s="0" t="s">
        <v>459</v>
      </c>
      <c r="C1209" s="0" t="s">
        <v>753</v>
      </c>
      <c r="D1209" s="0" t="n">
        <v>6</v>
      </c>
      <c r="E1209" s="0" t="n">
        <v>7</v>
      </c>
      <c r="F1209" s="0" t="n">
        <f aca="false">D1209*E1209</f>
        <v>42</v>
      </c>
      <c r="G1209" s="0" t="n">
        <f aca="false">ROUNDUP(F1209/75,0)</f>
        <v>1</v>
      </c>
    </row>
    <row r="1210" customFormat="false" ht="15" hidden="false" customHeight="false" outlineLevel="0" collapsed="false">
      <c r="A1210" s="0" t="s">
        <v>249</v>
      </c>
      <c r="B1210" s="0" t="s">
        <v>459</v>
      </c>
      <c r="C1210" s="0" t="s">
        <v>755</v>
      </c>
      <c r="D1210" s="0" t="n">
        <v>6</v>
      </c>
      <c r="E1210" s="0" t="n">
        <v>2</v>
      </c>
      <c r="F1210" s="0" t="n">
        <f aca="false">D1210*E1210</f>
        <v>12</v>
      </c>
      <c r="G1210" s="0" t="n">
        <f aca="false">ROUNDUP(F1210/75,0)</f>
        <v>1</v>
      </c>
    </row>
    <row r="1211" customFormat="false" ht="15" hidden="false" customHeight="false" outlineLevel="0" collapsed="false">
      <c r="A1211" s="0" t="s">
        <v>249</v>
      </c>
      <c r="B1211" s="0" t="s">
        <v>460</v>
      </c>
      <c r="C1211" s="0" t="s">
        <v>756</v>
      </c>
      <c r="D1211" s="0" t="n">
        <v>12</v>
      </c>
      <c r="E1211" s="0" t="n">
        <v>1</v>
      </c>
      <c r="F1211" s="0" t="n">
        <f aca="false">D1211*E1211</f>
        <v>12</v>
      </c>
      <c r="G1211" s="0" t="n">
        <f aca="false">ROUNDUP(F1211/75,0)</f>
        <v>1</v>
      </c>
    </row>
    <row r="1212" customFormat="false" ht="15" hidden="false" customHeight="false" outlineLevel="0" collapsed="false">
      <c r="A1212" s="0" t="s">
        <v>249</v>
      </c>
      <c r="B1212" s="0" t="s">
        <v>460</v>
      </c>
      <c r="C1212" s="0" t="s">
        <v>757</v>
      </c>
      <c r="D1212" s="0" t="n">
        <v>6</v>
      </c>
      <c r="E1212" s="0" t="n">
        <v>4</v>
      </c>
      <c r="F1212" s="0" t="n">
        <f aca="false">D1212*E1212</f>
        <v>24</v>
      </c>
      <c r="G1212" s="0" t="n">
        <f aca="false">ROUNDUP(F1212/75,0)</f>
        <v>1</v>
      </c>
    </row>
    <row r="1213" customFormat="false" ht="15" hidden="false" customHeight="false" outlineLevel="0" collapsed="false">
      <c r="A1213" s="0" t="s">
        <v>249</v>
      </c>
      <c r="B1213" s="0" t="s">
        <v>460</v>
      </c>
      <c r="C1213" s="0" t="s">
        <v>753</v>
      </c>
      <c r="D1213" s="0" t="n">
        <v>6</v>
      </c>
      <c r="E1213" s="0" t="n">
        <v>5</v>
      </c>
      <c r="F1213" s="0" t="n">
        <f aca="false">D1213*E1213</f>
        <v>30</v>
      </c>
      <c r="G1213" s="0" t="n">
        <f aca="false">ROUNDUP(F1213/75,0)</f>
        <v>1</v>
      </c>
    </row>
    <row r="1214" customFormat="false" ht="15" hidden="false" customHeight="false" outlineLevel="0" collapsed="false">
      <c r="A1214" s="0" t="s">
        <v>249</v>
      </c>
      <c r="B1214" s="0" t="s">
        <v>460</v>
      </c>
      <c r="C1214" s="0" t="s">
        <v>755</v>
      </c>
      <c r="D1214" s="0" t="n">
        <v>6</v>
      </c>
      <c r="E1214" s="0" t="n">
        <v>2</v>
      </c>
      <c r="F1214" s="0" t="n">
        <f aca="false">D1214*E1214</f>
        <v>12</v>
      </c>
      <c r="G1214" s="0" t="n">
        <f aca="false">ROUNDUP(F1214/75,0)</f>
        <v>1</v>
      </c>
    </row>
    <row r="1215" customFormat="false" ht="15" hidden="false" customHeight="false" outlineLevel="0" collapsed="false">
      <c r="A1215" s="0" t="s">
        <v>249</v>
      </c>
      <c r="B1215" s="0" t="s">
        <v>461</v>
      </c>
      <c r="C1215" s="0" t="s">
        <v>756</v>
      </c>
      <c r="D1215" s="0" t="n">
        <v>12</v>
      </c>
      <c r="E1215" s="0" t="n">
        <v>2</v>
      </c>
      <c r="F1215" s="0" t="n">
        <f aca="false">D1215*E1215</f>
        <v>24</v>
      </c>
      <c r="G1215" s="0" t="n">
        <f aca="false">ROUNDUP(F1215/75,0)</f>
        <v>1</v>
      </c>
    </row>
    <row r="1216" customFormat="false" ht="15" hidden="false" customHeight="false" outlineLevel="0" collapsed="false">
      <c r="A1216" s="0" t="s">
        <v>249</v>
      </c>
      <c r="B1216" s="0" t="s">
        <v>461</v>
      </c>
      <c r="C1216" s="0" t="s">
        <v>757</v>
      </c>
      <c r="D1216" s="0" t="n">
        <v>6</v>
      </c>
      <c r="E1216" s="0" t="n">
        <v>2</v>
      </c>
      <c r="F1216" s="0" t="n">
        <f aca="false">D1216*E1216</f>
        <v>12</v>
      </c>
      <c r="G1216" s="0" t="n">
        <f aca="false">ROUNDUP(F1216/75,0)</f>
        <v>1</v>
      </c>
    </row>
    <row r="1217" customFormat="false" ht="15" hidden="false" customHeight="false" outlineLevel="0" collapsed="false">
      <c r="A1217" s="0" t="s">
        <v>249</v>
      </c>
      <c r="B1217" s="0" t="s">
        <v>461</v>
      </c>
      <c r="C1217" s="0" t="s">
        <v>753</v>
      </c>
      <c r="D1217" s="0" t="n">
        <v>6</v>
      </c>
      <c r="E1217" s="0" t="n">
        <v>11</v>
      </c>
      <c r="F1217" s="0" t="n">
        <f aca="false">D1217*E1217</f>
        <v>66</v>
      </c>
      <c r="G1217" s="0" t="n">
        <f aca="false">ROUNDUP(F1217/75,0)</f>
        <v>1</v>
      </c>
    </row>
    <row r="1218" customFormat="false" ht="15" hidden="false" customHeight="false" outlineLevel="0" collapsed="false">
      <c r="A1218" s="0" t="s">
        <v>462</v>
      </c>
      <c r="B1218" s="0" t="s">
        <v>463</v>
      </c>
      <c r="C1218" s="0" t="s">
        <v>756</v>
      </c>
      <c r="D1218" s="0" t="n">
        <v>12</v>
      </c>
      <c r="E1218" s="0" t="n">
        <v>1</v>
      </c>
      <c r="F1218" s="0" t="n">
        <f aca="false">D1218*E1218</f>
        <v>12</v>
      </c>
      <c r="G1218" s="0" t="n">
        <f aca="false">ROUNDUP(F1218/75,0)</f>
        <v>1</v>
      </c>
    </row>
    <row r="1219" customFormat="false" ht="15" hidden="false" customHeight="false" outlineLevel="0" collapsed="false">
      <c r="A1219" s="0" t="s">
        <v>462</v>
      </c>
      <c r="B1219" s="0" t="s">
        <v>464</v>
      </c>
      <c r="C1219" s="0" t="s">
        <v>756</v>
      </c>
      <c r="D1219" s="0" t="n">
        <v>12</v>
      </c>
      <c r="E1219" s="0" t="n">
        <v>1</v>
      </c>
      <c r="F1219" s="0" t="n">
        <f aca="false">D1219*E1219</f>
        <v>12</v>
      </c>
      <c r="G1219" s="0" t="n">
        <f aca="false">ROUNDUP(F1219/75,0)</f>
        <v>1</v>
      </c>
    </row>
    <row r="1220" customFormat="false" ht="15" hidden="false" customHeight="false" outlineLevel="0" collapsed="false">
      <c r="A1220" s="0" t="s">
        <v>462</v>
      </c>
      <c r="B1220" s="0" t="s">
        <v>464</v>
      </c>
      <c r="C1220" s="0" t="s">
        <v>753</v>
      </c>
      <c r="D1220" s="0" t="n">
        <v>6</v>
      </c>
      <c r="E1220" s="0" t="n">
        <v>2</v>
      </c>
      <c r="F1220" s="0" t="n">
        <f aca="false">D1220*E1220</f>
        <v>12</v>
      </c>
      <c r="G1220" s="0" t="n">
        <f aca="false">ROUNDUP(F1220/75,0)</f>
        <v>1</v>
      </c>
    </row>
    <row r="1221" customFormat="false" ht="15" hidden="false" customHeight="false" outlineLevel="0" collapsed="false">
      <c r="A1221" s="0" t="s">
        <v>462</v>
      </c>
      <c r="B1221" s="0" t="s">
        <v>464</v>
      </c>
      <c r="C1221" s="0" t="s">
        <v>755</v>
      </c>
      <c r="D1221" s="0" t="n">
        <v>6</v>
      </c>
      <c r="E1221" s="0" t="n">
        <v>1</v>
      </c>
      <c r="F1221" s="0" t="n">
        <f aca="false">D1221*E1221</f>
        <v>6</v>
      </c>
      <c r="G1221" s="0" t="n">
        <f aca="false">ROUNDUP(F1221/75,0)</f>
        <v>1</v>
      </c>
    </row>
    <row r="1222" customFormat="false" ht="15" hidden="false" customHeight="false" outlineLevel="0" collapsed="false">
      <c r="A1222" s="0" t="s">
        <v>462</v>
      </c>
      <c r="B1222" s="0" t="s">
        <v>465</v>
      </c>
      <c r="C1222" s="0" t="s">
        <v>757</v>
      </c>
      <c r="D1222" s="0" t="n">
        <v>6</v>
      </c>
      <c r="E1222" s="0" t="n">
        <v>1</v>
      </c>
      <c r="F1222" s="0" t="n">
        <f aca="false">D1222*E1222</f>
        <v>6</v>
      </c>
      <c r="G1222" s="0" t="n">
        <f aca="false">ROUNDUP(F1222/75,0)</f>
        <v>1</v>
      </c>
    </row>
    <row r="1223" customFormat="false" ht="15" hidden="false" customHeight="false" outlineLevel="0" collapsed="false">
      <c r="A1223" s="0" t="s">
        <v>462</v>
      </c>
      <c r="B1223" s="0" t="s">
        <v>465</v>
      </c>
      <c r="C1223" s="0" t="s">
        <v>753</v>
      </c>
      <c r="D1223" s="0" t="n">
        <v>6</v>
      </c>
      <c r="E1223" s="0" t="n">
        <v>3</v>
      </c>
      <c r="F1223" s="0" t="n">
        <f aca="false">D1223*E1223</f>
        <v>18</v>
      </c>
      <c r="G1223" s="0" t="n">
        <f aca="false">ROUNDUP(F1223/75,0)</f>
        <v>1</v>
      </c>
    </row>
    <row r="1224" customFormat="false" ht="15" hidden="false" customHeight="false" outlineLevel="0" collapsed="false">
      <c r="A1224" s="0" t="s">
        <v>462</v>
      </c>
      <c r="B1224" s="0" t="s">
        <v>465</v>
      </c>
      <c r="C1224" s="0" t="s">
        <v>755</v>
      </c>
      <c r="D1224" s="0" t="n">
        <v>6</v>
      </c>
      <c r="E1224" s="0" t="n">
        <v>11</v>
      </c>
      <c r="F1224" s="0" t="n">
        <f aca="false">D1224*E1224</f>
        <v>66</v>
      </c>
      <c r="G1224" s="0" t="n">
        <f aca="false">ROUNDUP(F1224/75,0)</f>
        <v>1</v>
      </c>
    </row>
    <row r="1225" customFormat="false" ht="15" hidden="false" customHeight="false" outlineLevel="0" collapsed="false">
      <c r="A1225" s="0" t="s">
        <v>462</v>
      </c>
      <c r="B1225" s="0" t="s">
        <v>466</v>
      </c>
      <c r="C1225" s="0" t="s">
        <v>756</v>
      </c>
      <c r="D1225" s="0" t="n">
        <v>12</v>
      </c>
      <c r="E1225" s="0" t="n">
        <v>1</v>
      </c>
      <c r="F1225" s="0" t="n">
        <f aca="false">D1225*E1225</f>
        <v>12</v>
      </c>
      <c r="G1225" s="0" t="n">
        <f aca="false">ROUNDUP(F1225/75,0)</f>
        <v>1</v>
      </c>
    </row>
    <row r="1226" customFormat="false" ht="15" hidden="false" customHeight="false" outlineLevel="0" collapsed="false">
      <c r="A1226" s="0" t="s">
        <v>462</v>
      </c>
      <c r="B1226" s="0" t="s">
        <v>466</v>
      </c>
      <c r="C1226" s="0" t="s">
        <v>757</v>
      </c>
      <c r="D1226" s="0" t="n">
        <v>6</v>
      </c>
      <c r="E1226" s="0" t="n">
        <v>1</v>
      </c>
      <c r="F1226" s="0" t="n">
        <f aca="false">D1226*E1226</f>
        <v>6</v>
      </c>
      <c r="G1226" s="0" t="n">
        <f aca="false">ROUNDUP(F1226/75,0)</f>
        <v>1</v>
      </c>
    </row>
    <row r="1227" customFormat="false" ht="15" hidden="false" customHeight="false" outlineLevel="0" collapsed="false">
      <c r="A1227" s="0" t="s">
        <v>462</v>
      </c>
      <c r="B1227" s="0" t="s">
        <v>466</v>
      </c>
      <c r="C1227" s="0" t="s">
        <v>753</v>
      </c>
      <c r="D1227" s="0" t="n">
        <v>6</v>
      </c>
      <c r="E1227" s="0" t="n">
        <v>3</v>
      </c>
      <c r="F1227" s="0" t="n">
        <f aca="false">D1227*E1227</f>
        <v>18</v>
      </c>
      <c r="G1227" s="0" t="n">
        <f aca="false">ROUNDUP(F1227/75,0)</f>
        <v>1</v>
      </c>
    </row>
    <row r="1228" customFormat="false" ht="15" hidden="false" customHeight="false" outlineLevel="0" collapsed="false">
      <c r="A1228" s="0" t="s">
        <v>462</v>
      </c>
      <c r="B1228" s="0" t="s">
        <v>466</v>
      </c>
      <c r="C1228" s="0" t="s">
        <v>755</v>
      </c>
      <c r="D1228" s="0" t="n">
        <v>6</v>
      </c>
      <c r="E1228" s="0" t="n">
        <v>4</v>
      </c>
      <c r="F1228" s="0" t="n">
        <f aca="false">D1228*E1228</f>
        <v>24</v>
      </c>
      <c r="G1228" s="0" t="n">
        <f aca="false">ROUNDUP(F1228/75,0)</f>
        <v>1</v>
      </c>
    </row>
    <row r="1229" customFormat="false" ht="15" hidden="false" customHeight="false" outlineLevel="0" collapsed="false">
      <c r="A1229" s="0" t="s">
        <v>462</v>
      </c>
      <c r="B1229" s="0" t="s">
        <v>467</v>
      </c>
      <c r="C1229" s="0" t="s">
        <v>756</v>
      </c>
      <c r="D1229" s="0" t="n">
        <v>12</v>
      </c>
      <c r="E1229" s="0" t="n">
        <v>2</v>
      </c>
      <c r="F1229" s="0" t="n">
        <f aca="false">D1229*E1229</f>
        <v>24</v>
      </c>
      <c r="G1229" s="0" t="n">
        <f aca="false">ROUNDUP(F1229/75,0)</f>
        <v>1</v>
      </c>
    </row>
    <row r="1230" customFormat="false" ht="15" hidden="false" customHeight="false" outlineLevel="0" collapsed="false">
      <c r="A1230" s="0" t="s">
        <v>462</v>
      </c>
      <c r="B1230" s="0" t="s">
        <v>467</v>
      </c>
      <c r="C1230" s="0" t="s">
        <v>757</v>
      </c>
      <c r="D1230" s="0" t="n">
        <v>6</v>
      </c>
      <c r="E1230" s="0" t="n">
        <v>1</v>
      </c>
      <c r="F1230" s="0" t="n">
        <f aca="false">D1230*E1230</f>
        <v>6</v>
      </c>
      <c r="G1230" s="0" t="n">
        <f aca="false">ROUNDUP(F1230/75,0)</f>
        <v>1</v>
      </c>
    </row>
    <row r="1231" customFormat="false" ht="15" hidden="false" customHeight="false" outlineLevel="0" collapsed="false">
      <c r="A1231" s="0" t="s">
        <v>462</v>
      </c>
      <c r="B1231" s="0" t="s">
        <v>467</v>
      </c>
      <c r="C1231" s="0" t="s">
        <v>753</v>
      </c>
      <c r="D1231" s="0" t="n">
        <v>6</v>
      </c>
      <c r="E1231" s="0" t="n">
        <v>3</v>
      </c>
      <c r="F1231" s="0" t="n">
        <f aca="false">D1231*E1231</f>
        <v>18</v>
      </c>
      <c r="G1231" s="0" t="n">
        <f aca="false">ROUNDUP(F1231/75,0)</f>
        <v>1</v>
      </c>
    </row>
    <row r="1232" customFormat="false" ht="15" hidden="false" customHeight="false" outlineLevel="0" collapsed="false">
      <c r="A1232" s="0" t="s">
        <v>462</v>
      </c>
      <c r="B1232" s="0" t="s">
        <v>467</v>
      </c>
      <c r="C1232" s="0" t="s">
        <v>755</v>
      </c>
      <c r="D1232" s="0" t="n">
        <v>6</v>
      </c>
      <c r="E1232" s="0" t="n">
        <v>9</v>
      </c>
      <c r="F1232" s="0" t="n">
        <f aca="false">D1232*E1232</f>
        <v>54</v>
      </c>
      <c r="G1232" s="0" t="n">
        <f aca="false">ROUNDUP(F1232/75,0)</f>
        <v>1</v>
      </c>
    </row>
    <row r="1233" customFormat="false" ht="15" hidden="false" customHeight="false" outlineLevel="0" collapsed="false">
      <c r="A1233" s="0" t="s">
        <v>462</v>
      </c>
      <c r="B1233" s="0" t="s">
        <v>468</v>
      </c>
      <c r="C1233" s="0" t="s">
        <v>756</v>
      </c>
      <c r="D1233" s="0" t="n">
        <v>12</v>
      </c>
      <c r="E1233" s="0" t="n">
        <v>2</v>
      </c>
      <c r="F1233" s="0" t="n">
        <f aca="false">D1233*E1233</f>
        <v>24</v>
      </c>
      <c r="G1233" s="0" t="n">
        <f aca="false">ROUNDUP(F1233/75,0)</f>
        <v>1</v>
      </c>
    </row>
    <row r="1234" customFormat="false" ht="15" hidden="false" customHeight="false" outlineLevel="0" collapsed="false">
      <c r="A1234" s="0" t="s">
        <v>462</v>
      </c>
      <c r="B1234" s="0" t="s">
        <v>468</v>
      </c>
      <c r="C1234" s="0" t="s">
        <v>757</v>
      </c>
      <c r="D1234" s="0" t="n">
        <v>6</v>
      </c>
      <c r="E1234" s="0" t="n">
        <v>1</v>
      </c>
      <c r="F1234" s="0" t="n">
        <f aca="false">D1234*E1234</f>
        <v>6</v>
      </c>
      <c r="G1234" s="0" t="n">
        <f aca="false">ROUNDUP(F1234/75,0)</f>
        <v>1</v>
      </c>
    </row>
    <row r="1235" customFormat="false" ht="15" hidden="false" customHeight="false" outlineLevel="0" collapsed="false">
      <c r="A1235" s="0" t="s">
        <v>462</v>
      </c>
      <c r="B1235" s="0" t="s">
        <v>468</v>
      </c>
      <c r="C1235" s="0" t="s">
        <v>753</v>
      </c>
      <c r="D1235" s="0" t="n">
        <v>6</v>
      </c>
      <c r="E1235" s="0" t="n">
        <v>1</v>
      </c>
      <c r="F1235" s="0" t="n">
        <f aca="false">D1235*E1235</f>
        <v>6</v>
      </c>
      <c r="G1235" s="0" t="n">
        <f aca="false">ROUNDUP(F1235/75,0)</f>
        <v>1</v>
      </c>
    </row>
    <row r="1236" customFormat="false" ht="15" hidden="false" customHeight="false" outlineLevel="0" collapsed="false">
      <c r="A1236" s="0" t="s">
        <v>462</v>
      </c>
      <c r="B1236" s="0" t="s">
        <v>468</v>
      </c>
      <c r="C1236" s="0" t="s">
        <v>755</v>
      </c>
      <c r="D1236" s="0" t="n">
        <v>6</v>
      </c>
      <c r="E1236" s="0" t="n">
        <v>1</v>
      </c>
      <c r="F1236" s="0" t="n">
        <f aca="false">D1236*E1236</f>
        <v>6</v>
      </c>
      <c r="G1236" s="0" t="n">
        <f aca="false">ROUNDUP(F1236/75,0)</f>
        <v>1</v>
      </c>
    </row>
    <row r="1237" customFormat="false" ht="15" hidden="false" customHeight="false" outlineLevel="0" collapsed="false">
      <c r="A1237" s="0" t="s">
        <v>462</v>
      </c>
      <c r="B1237" s="0" t="s">
        <v>469</v>
      </c>
      <c r="C1237" s="0" t="s">
        <v>753</v>
      </c>
      <c r="D1237" s="0" t="n">
        <v>6</v>
      </c>
      <c r="E1237" s="0" t="n">
        <v>1</v>
      </c>
      <c r="F1237" s="0" t="n">
        <f aca="false">D1237*E1237</f>
        <v>6</v>
      </c>
      <c r="G1237" s="0" t="n">
        <f aca="false">ROUNDUP(F1237/75,0)</f>
        <v>1</v>
      </c>
    </row>
    <row r="1238" customFormat="false" ht="15" hidden="false" customHeight="false" outlineLevel="0" collapsed="false">
      <c r="A1238" s="0" t="s">
        <v>462</v>
      </c>
      <c r="B1238" s="0" t="s">
        <v>470</v>
      </c>
      <c r="C1238" s="0" t="s">
        <v>756</v>
      </c>
      <c r="D1238" s="0" t="n">
        <v>12</v>
      </c>
      <c r="E1238" s="0" t="n">
        <v>2</v>
      </c>
      <c r="F1238" s="0" t="n">
        <f aca="false">D1238*E1238</f>
        <v>24</v>
      </c>
      <c r="G1238" s="0" t="n">
        <f aca="false">ROUNDUP(F1238/75,0)</f>
        <v>1</v>
      </c>
    </row>
    <row r="1239" customFormat="false" ht="15" hidden="false" customHeight="false" outlineLevel="0" collapsed="false">
      <c r="A1239" s="0" t="s">
        <v>462</v>
      </c>
      <c r="B1239" s="0" t="s">
        <v>470</v>
      </c>
      <c r="C1239" s="0" t="s">
        <v>757</v>
      </c>
      <c r="D1239" s="0" t="n">
        <v>6</v>
      </c>
      <c r="E1239" s="0" t="n">
        <v>2</v>
      </c>
      <c r="F1239" s="0" t="n">
        <f aca="false">D1239*E1239</f>
        <v>12</v>
      </c>
      <c r="G1239" s="0" t="n">
        <f aca="false">ROUNDUP(F1239/75,0)</f>
        <v>1</v>
      </c>
    </row>
    <row r="1240" customFormat="false" ht="15" hidden="false" customHeight="false" outlineLevel="0" collapsed="false">
      <c r="A1240" s="0" t="s">
        <v>462</v>
      </c>
      <c r="B1240" s="0" t="s">
        <v>470</v>
      </c>
      <c r="C1240" s="0" t="s">
        <v>753</v>
      </c>
      <c r="D1240" s="0" t="n">
        <v>6</v>
      </c>
      <c r="E1240" s="0" t="n">
        <v>3</v>
      </c>
      <c r="F1240" s="0" t="n">
        <f aca="false">D1240*E1240</f>
        <v>18</v>
      </c>
      <c r="G1240" s="0" t="n">
        <f aca="false">ROUNDUP(F1240/75,0)</f>
        <v>1</v>
      </c>
    </row>
    <row r="1241" customFormat="false" ht="15" hidden="false" customHeight="false" outlineLevel="0" collapsed="false">
      <c r="A1241" s="0" t="s">
        <v>462</v>
      </c>
      <c r="B1241" s="0" t="s">
        <v>471</v>
      </c>
      <c r="C1241" s="0" t="s">
        <v>757</v>
      </c>
      <c r="D1241" s="0" t="n">
        <v>6</v>
      </c>
      <c r="E1241" s="0" t="n">
        <v>1</v>
      </c>
      <c r="F1241" s="0" t="n">
        <f aca="false">D1241*E1241</f>
        <v>6</v>
      </c>
      <c r="G1241" s="0" t="n">
        <f aca="false">ROUNDUP(F1241/75,0)</f>
        <v>1</v>
      </c>
    </row>
    <row r="1242" customFormat="false" ht="15" hidden="false" customHeight="false" outlineLevel="0" collapsed="false">
      <c r="A1242" s="0" t="s">
        <v>462</v>
      </c>
      <c r="B1242" s="0" t="s">
        <v>471</v>
      </c>
      <c r="C1242" s="0" t="s">
        <v>753</v>
      </c>
      <c r="D1242" s="0" t="n">
        <v>6</v>
      </c>
      <c r="E1242" s="0" t="n">
        <v>6</v>
      </c>
      <c r="F1242" s="0" t="n">
        <f aca="false">D1242*E1242</f>
        <v>36</v>
      </c>
      <c r="G1242" s="0" t="n">
        <f aca="false">ROUNDUP(F1242/75,0)</f>
        <v>1</v>
      </c>
    </row>
    <row r="1243" customFormat="false" ht="15" hidden="false" customHeight="false" outlineLevel="0" collapsed="false">
      <c r="A1243" s="0" t="s">
        <v>462</v>
      </c>
      <c r="B1243" s="0" t="s">
        <v>471</v>
      </c>
      <c r="C1243" s="0" t="s">
        <v>755</v>
      </c>
      <c r="D1243" s="0" t="n">
        <v>6</v>
      </c>
      <c r="E1243" s="0" t="n">
        <v>1</v>
      </c>
      <c r="F1243" s="0" t="n">
        <f aca="false">D1243*E1243</f>
        <v>6</v>
      </c>
      <c r="G1243" s="0" t="n">
        <f aca="false">ROUNDUP(F1243/75,0)</f>
        <v>1</v>
      </c>
    </row>
    <row r="1244" customFormat="false" ht="15" hidden="false" customHeight="false" outlineLevel="0" collapsed="false">
      <c r="A1244" s="0" t="s">
        <v>462</v>
      </c>
      <c r="B1244" s="0" t="s">
        <v>472</v>
      </c>
      <c r="C1244" s="0" t="s">
        <v>753</v>
      </c>
      <c r="D1244" s="0" t="n">
        <v>6</v>
      </c>
      <c r="E1244" s="0" t="n">
        <v>1</v>
      </c>
      <c r="F1244" s="0" t="n">
        <f aca="false">D1244*E1244</f>
        <v>6</v>
      </c>
      <c r="G1244" s="0" t="n">
        <f aca="false">ROUNDUP(F1244/75,0)</f>
        <v>1</v>
      </c>
    </row>
    <row r="1245" customFormat="false" ht="15" hidden="false" customHeight="false" outlineLevel="0" collapsed="false">
      <c r="A1245" s="0" t="s">
        <v>462</v>
      </c>
      <c r="B1245" s="0" t="s">
        <v>472</v>
      </c>
      <c r="C1245" s="0" t="s">
        <v>755</v>
      </c>
      <c r="D1245" s="0" t="n">
        <v>6</v>
      </c>
      <c r="E1245" s="0" t="n">
        <v>3</v>
      </c>
      <c r="F1245" s="0" t="n">
        <f aca="false">D1245*E1245</f>
        <v>18</v>
      </c>
      <c r="G1245" s="0" t="n">
        <f aca="false">ROUNDUP(F1245/75,0)</f>
        <v>1</v>
      </c>
    </row>
    <row r="1246" customFormat="false" ht="15" hidden="false" customHeight="false" outlineLevel="0" collapsed="false">
      <c r="A1246" s="0" t="s">
        <v>462</v>
      </c>
      <c r="B1246" s="0" t="s">
        <v>473</v>
      </c>
      <c r="C1246" s="0" t="s">
        <v>757</v>
      </c>
      <c r="D1246" s="0" t="n">
        <v>6</v>
      </c>
      <c r="E1246" s="0" t="n">
        <v>2</v>
      </c>
      <c r="F1246" s="0" t="n">
        <f aca="false">D1246*E1246</f>
        <v>12</v>
      </c>
      <c r="G1246" s="0" t="n">
        <f aca="false">ROUNDUP(F1246/75,0)</f>
        <v>1</v>
      </c>
    </row>
    <row r="1247" customFormat="false" ht="15" hidden="false" customHeight="false" outlineLevel="0" collapsed="false">
      <c r="A1247" s="0" t="s">
        <v>462</v>
      </c>
      <c r="B1247" s="0" t="s">
        <v>473</v>
      </c>
      <c r="C1247" s="0" t="s">
        <v>755</v>
      </c>
      <c r="D1247" s="0" t="n">
        <v>6</v>
      </c>
      <c r="E1247" s="0" t="n">
        <v>4</v>
      </c>
      <c r="F1247" s="0" t="n">
        <f aca="false">D1247*E1247</f>
        <v>24</v>
      </c>
      <c r="G1247" s="0" t="n">
        <f aca="false">ROUNDUP(F1247/75,0)</f>
        <v>1</v>
      </c>
    </row>
    <row r="1248" customFormat="false" ht="15" hidden="false" customHeight="false" outlineLevel="0" collapsed="false">
      <c r="A1248" s="0" t="s">
        <v>462</v>
      </c>
      <c r="B1248" s="0" t="s">
        <v>474</v>
      </c>
      <c r="C1248" s="0" t="s">
        <v>757</v>
      </c>
      <c r="D1248" s="0" t="n">
        <v>6</v>
      </c>
      <c r="E1248" s="0" t="n">
        <v>2</v>
      </c>
      <c r="F1248" s="0" t="n">
        <f aca="false">D1248*E1248</f>
        <v>12</v>
      </c>
      <c r="G1248" s="0" t="n">
        <f aca="false">ROUNDUP(F1248/75,0)</f>
        <v>1</v>
      </c>
    </row>
    <row r="1249" customFormat="false" ht="15" hidden="false" customHeight="false" outlineLevel="0" collapsed="false">
      <c r="A1249" s="0" t="s">
        <v>462</v>
      </c>
      <c r="B1249" s="0" t="s">
        <v>474</v>
      </c>
      <c r="C1249" s="0" t="s">
        <v>753</v>
      </c>
      <c r="D1249" s="0" t="n">
        <v>6</v>
      </c>
      <c r="E1249" s="0" t="n">
        <v>1</v>
      </c>
      <c r="F1249" s="0" t="n">
        <f aca="false">D1249*E1249</f>
        <v>6</v>
      </c>
      <c r="G1249" s="0" t="n">
        <f aca="false">ROUNDUP(F1249/75,0)</f>
        <v>1</v>
      </c>
    </row>
    <row r="1250" customFormat="false" ht="15" hidden="false" customHeight="false" outlineLevel="0" collapsed="false">
      <c r="A1250" s="0" t="s">
        <v>462</v>
      </c>
      <c r="B1250" s="0" t="s">
        <v>474</v>
      </c>
      <c r="C1250" s="0" t="s">
        <v>755</v>
      </c>
      <c r="D1250" s="0" t="n">
        <v>6</v>
      </c>
      <c r="E1250" s="0" t="n">
        <v>2</v>
      </c>
      <c r="F1250" s="0" t="n">
        <f aca="false">D1250*E1250</f>
        <v>12</v>
      </c>
      <c r="G1250" s="0" t="n">
        <f aca="false">ROUNDUP(F1250/75,0)</f>
        <v>1</v>
      </c>
    </row>
    <row r="1251" customFormat="false" ht="15" hidden="false" customHeight="false" outlineLevel="0" collapsed="false">
      <c r="A1251" s="0" t="s">
        <v>462</v>
      </c>
      <c r="B1251" s="0" t="s">
        <v>475</v>
      </c>
      <c r="C1251" s="0" t="s">
        <v>757</v>
      </c>
      <c r="D1251" s="0" t="n">
        <v>6</v>
      </c>
      <c r="E1251" s="0" t="n">
        <v>1</v>
      </c>
      <c r="F1251" s="0" t="n">
        <f aca="false">D1251*E1251</f>
        <v>6</v>
      </c>
      <c r="G1251" s="0" t="n">
        <f aca="false">ROUNDUP(F1251/75,0)</f>
        <v>1</v>
      </c>
    </row>
    <row r="1252" customFormat="false" ht="15" hidden="false" customHeight="false" outlineLevel="0" collapsed="false">
      <c r="A1252" s="0" t="s">
        <v>462</v>
      </c>
      <c r="B1252" s="0" t="s">
        <v>475</v>
      </c>
      <c r="C1252" s="0" t="s">
        <v>753</v>
      </c>
      <c r="D1252" s="0" t="n">
        <v>6</v>
      </c>
      <c r="E1252" s="0" t="n">
        <v>3</v>
      </c>
      <c r="F1252" s="0" t="n">
        <f aca="false">D1252*E1252</f>
        <v>18</v>
      </c>
      <c r="G1252" s="0" t="n">
        <f aca="false">ROUNDUP(F1252/75,0)</f>
        <v>1</v>
      </c>
    </row>
    <row r="1253" customFormat="false" ht="15" hidden="false" customHeight="false" outlineLevel="0" collapsed="false">
      <c r="A1253" s="0" t="s">
        <v>462</v>
      </c>
      <c r="B1253" s="0" t="s">
        <v>475</v>
      </c>
      <c r="C1253" s="0" t="s">
        <v>755</v>
      </c>
      <c r="D1253" s="0" t="n">
        <v>6</v>
      </c>
      <c r="E1253" s="0" t="n">
        <v>3</v>
      </c>
      <c r="F1253" s="0" t="n">
        <f aca="false">D1253*E1253</f>
        <v>18</v>
      </c>
      <c r="G1253" s="0" t="n">
        <f aca="false">ROUNDUP(F1253/75,0)</f>
        <v>1</v>
      </c>
    </row>
    <row r="1254" customFormat="false" ht="15" hidden="false" customHeight="false" outlineLevel="0" collapsed="false">
      <c r="A1254" s="0" t="s">
        <v>462</v>
      </c>
      <c r="B1254" s="0" t="s">
        <v>476</v>
      </c>
      <c r="C1254" s="0" t="s">
        <v>757</v>
      </c>
      <c r="D1254" s="0" t="n">
        <v>6</v>
      </c>
      <c r="E1254" s="0" t="n">
        <v>2</v>
      </c>
      <c r="F1254" s="0" t="n">
        <f aca="false">D1254*E1254</f>
        <v>12</v>
      </c>
      <c r="G1254" s="0" t="n">
        <f aca="false">ROUNDUP(F1254/75,0)</f>
        <v>1</v>
      </c>
    </row>
    <row r="1255" customFormat="false" ht="15" hidden="false" customHeight="false" outlineLevel="0" collapsed="false">
      <c r="A1255" s="0" t="s">
        <v>462</v>
      </c>
      <c r="B1255" s="0" t="s">
        <v>476</v>
      </c>
      <c r="C1255" s="0" t="s">
        <v>753</v>
      </c>
      <c r="D1255" s="0" t="n">
        <v>6</v>
      </c>
      <c r="E1255" s="0" t="n">
        <v>4</v>
      </c>
      <c r="F1255" s="0" t="n">
        <f aca="false">D1255*E1255</f>
        <v>24</v>
      </c>
      <c r="G1255" s="0" t="n">
        <f aca="false">ROUNDUP(F1255/75,0)</f>
        <v>1</v>
      </c>
    </row>
    <row r="1256" customFormat="false" ht="15" hidden="false" customHeight="false" outlineLevel="0" collapsed="false">
      <c r="A1256" s="0" t="s">
        <v>462</v>
      </c>
      <c r="B1256" s="0" t="s">
        <v>476</v>
      </c>
      <c r="C1256" s="0" t="s">
        <v>755</v>
      </c>
      <c r="D1256" s="0" t="n">
        <v>6</v>
      </c>
      <c r="E1256" s="0" t="n">
        <v>1</v>
      </c>
      <c r="F1256" s="0" t="n">
        <f aca="false">D1256*E1256</f>
        <v>6</v>
      </c>
      <c r="G1256" s="0" t="n">
        <f aca="false">ROUNDUP(F1256/75,0)</f>
        <v>1</v>
      </c>
    </row>
    <row r="1257" customFormat="false" ht="15" hidden="false" customHeight="false" outlineLevel="0" collapsed="false">
      <c r="A1257" s="0" t="s">
        <v>462</v>
      </c>
      <c r="B1257" s="0" t="s">
        <v>477</v>
      </c>
      <c r="C1257" s="0" t="s">
        <v>756</v>
      </c>
      <c r="D1257" s="0" t="n">
        <v>12</v>
      </c>
      <c r="E1257" s="0" t="n">
        <v>3</v>
      </c>
      <c r="F1257" s="0" t="n">
        <f aca="false">D1257*E1257</f>
        <v>36</v>
      </c>
      <c r="G1257" s="0" t="n">
        <f aca="false">ROUNDUP(F1257/75,0)</f>
        <v>1</v>
      </c>
    </row>
    <row r="1258" customFormat="false" ht="15" hidden="false" customHeight="false" outlineLevel="0" collapsed="false">
      <c r="A1258" s="0" t="s">
        <v>462</v>
      </c>
      <c r="B1258" s="0" t="s">
        <v>477</v>
      </c>
      <c r="C1258" s="0" t="s">
        <v>757</v>
      </c>
      <c r="D1258" s="0" t="n">
        <v>6</v>
      </c>
      <c r="E1258" s="0" t="n">
        <v>1</v>
      </c>
      <c r="F1258" s="0" t="n">
        <f aca="false">D1258*E1258</f>
        <v>6</v>
      </c>
      <c r="G1258" s="0" t="n">
        <f aca="false">ROUNDUP(F1258/75,0)</f>
        <v>1</v>
      </c>
    </row>
    <row r="1259" customFormat="false" ht="15" hidden="false" customHeight="false" outlineLevel="0" collapsed="false">
      <c r="A1259" s="0" t="s">
        <v>462</v>
      </c>
      <c r="B1259" s="0" t="s">
        <v>477</v>
      </c>
      <c r="C1259" s="0" t="s">
        <v>753</v>
      </c>
      <c r="D1259" s="0" t="n">
        <v>6</v>
      </c>
      <c r="E1259" s="0" t="n">
        <v>2</v>
      </c>
      <c r="F1259" s="0" t="n">
        <f aca="false">D1259*E1259</f>
        <v>12</v>
      </c>
      <c r="G1259" s="0" t="n">
        <f aca="false">ROUNDUP(F1259/75,0)</f>
        <v>1</v>
      </c>
    </row>
    <row r="1260" customFormat="false" ht="15" hidden="false" customHeight="false" outlineLevel="0" collapsed="false">
      <c r="A1260" s="0" t="s">
        <v>462</v>
      </c>
      <c r="B1260" s="0" t="s">
        <v>477</v>
      </c>
      <c r="C1260" s="0" t="s">
        <v>755</v>
      </c>
      <c r="D1260" s="0" t="n">
        <v>6</v>
      </c>
      <c r="E1260" s="0" t="n">
        <v>2</v>
      </c>
      <c r="F1260" s="0" t="n">
        <f aca="false">D1260*E1260</f>
        <v>12</v>
      </c>
      <c r="G1260" s="0" t="n">
        <f aca="false">ROUNDUP(F1260/75,0)</f>
        <v>1</v>
      </c>
    </row>
    <row r="1261" customFormat="false" ht="15" hidden="false" customHeight="false" outlineLevel="0" collapsed="false">
      <c r="A1261" s="0" t="s">
        <v>462</v>
      </c>
      <c r="B1261" s="0" t="s">
        <v>478</v>
      </c>
      <c r="C1261" s="0" t="s">
        <v>756</v>
      </c>
      <c r="D1261" s="0" t="n">
        <v>12</v>
      </c>
      <c r="E1261" s="0" t="n">
        <v>4</v>
      </c>
      <c r="F1261" s="0" t="n">
        <f aca="false">D1261*E1261</f>
        <v>48</v>
      </c>
      <c r="G1261" s="0" t="n">
        <f aca="false">ROUNDUP(F1261/75,0)</f>
        <v>1</v>
      </c>
    </row>
    <row r="1262" customFormat="false" ht="15" hidden="false" customHeight="false" outlineLevel="0" collapsed="false">
      <c r="A1262" s="0" t="s">
        <v>462</v>
      </c>
      <c r="B1262" s="0" t="s">
        <v>478</v>
      </c>
      <c r="C1262" s="0" t="s">
        <v>757</v>
      </c>
      <c r="D1262" s="0" t="n">
        <v>6</v>
      </c>
      <c r="E1262" s="0" t="n">
        <v>1</v>
      </c>
      <c r="F1262" s="0" t="n">
        <f aca="false">D1262*E1262</f>
        <v>6</v>
      </c>
      <c r="G1262" s="0" t="n">
        <f aca="false">ROUNDUP(F1262/75,0)</f>
        <v>1</v>
      </c>
    </row>
    <row r="1263" customFormat="false" ht="15" hidden="false" customHeight="false" outlineLevel="0" collapsed="false">
      <c r="A1263" s="0" t="s">
        <v>462</v>
      </c>
      <c r="B1263" s="0" t="s">
        <v>478</v>
      </c>
      <c r="C1263" s="0" t="s">
        <v>753</v>
      </c>
      <c r="D1263" s="0" t="n">
        <v>6</v>
      </c>
      <c r="E1263" s="0" t="n">
        <v>3</v>
      </c>
      <c r="F1263" s="0" t="n">
        <f aca="false">D1263*E1263</f>
        <v>18</v>
      </c>
      <c r="G1263" s="0" t="n">
        <f aca="false">ROUNDUP(F1263/75,0)</f>
        <v>1</v>
      </c>
    </row>
    <row r="1264" customFormat="false" ht="15" hidden="false" customHeight="false" outlineLevel="0" collapsed="false">
      <c r="A1264" s="0" t="s">
        <v>462</v>
      </c>
      <c r="B1264" s="0" t="s">
        <v>478</v>
      </c>
      <c r="C1264" s="0" t="s">
        <v>755</v>
      </c>
      <c r="D1264" s="0" t="n">
        <v>6</v>
      </c>
      <c r="E1264" s="0" t="n">
        <v>3</v>
      </c>
      <c r="F1264" s="0" t="n">
        <f aca="false">D1264*E1264</f>
        <v>18</v>
      </c>
      <c r="G1264" s="0" t="n">
        <f aca="false">ROUNDUP(F1264/75,0)</f>
        <v>1</v>
      </c>
    </row>
    <row r="1265" customFormat="false" ht="15" hidden="false" customHeight="false" outlineLevel="0" collapsed="false">
      <c r="A1265" s="0" t="s">
        <v>462</v>
      </c>
      <c r="B1265" s="0" t="s">
        <v>479</v>
      </c>
      <c r="C1265" s="0" t="s">
        <v>756</v>
      </c>
      <c r="D1265" s="0" t="n">
        <v>12</v>
      </c>
      <c r="E1265" s="0" t="n">
        <v>3</v>
      </c>
      <c r="F1265" s="0" t="n">
        <f aca="false">D1265*E1265</f>
        <v>36</v>
      </c>
      <c r="G1265" s="0" t="n">
        <f aca="false">ROUNDUP(F1265/75,0)</f>
        <v>1</v>
      </c>
    </row>
    <row r="1266" customFormat="false" ht="15" hidden="false" customHeight="false" outlineLevel="0" collapsed="false">
      <c r="A1266" s="0" t="s">
        <v>462</v>
      </c>
      <c r="B1266" s="0" t="s">
        <v>479</v>
      </c>
      <c r="C1266" s="0" t="s">
        <v>757</v>
      </c>
      <c r="D1266" s="0" t="n">
        <v>6</v>
      </c>
      <c r="E1266" s="0" t="n">
        <v>1</v>
      </c>
      <c r="F1266" s="0" t="n">
        <f aca="false">D1266*E1266</f>
        <v>6</v>
      </c>
      <c r="G1266" s="0" t="n">
        <f aca="false">ROUNDUP(F1266/75,0)</f>
        <v>1</v>
      </c>
    </row>
    <row r="1267" customFormat="false" ht="15" hidden="false" customHeight="false" outlineLevel="0" collapsed="false">
      <c r="A1267" s="0" t="s">
        <v>462</v>
      </c>
      <c r="B1267" s="0" t="s">
        <v>479</v>
      </c>
      <c r="C1267" s="0" t="s">
        <v>753</v>
      </c>
      <c r="D1267" s="0" t="n">
        <v>6</v>
      </c>
      <c r="E1267" s="0" t="n">
        <v>3</v>
      </c>
      <c r="F1267" s="0" t="n">
        <f aca="false">D1267*E1267</f>
        <v>18</v>
      </c>
      <c r="G1267" s="0" t="n">
        <f aca="false">ROUNDUP(F1267/75,0)</f>
        <v>1</v>
      </c>
    </row>
    <row r="1268" customFormat="false" ht="15" hidden="false" customHeight="false" outlineLevel="0" collapsed="false">
      <c r="A1268" s="0" t="s">
        <v>462</v>
      </c>
      <c r="B1268" s="0" t="s">
        <v>479</v>
      </c>
      <c r="C1268" s="0" t="s">
        <v>755</v>
      </c>
      <c r="D1268" s="0" t="n">
        <v>6</v>
      </c>
      <c r="E1268" s="0" t="n">
        <v>5</v>
      </c>
      <c r="F1268" s="0" t="n">
        <f aca="false">D1268*E1268</f>
        <v>30</v>
      </c>
      <c r="G1268" s="0" t="n">
        <f aca="false">ROUNDUP(F1268/75,0)</f>
        <v>1</v>
      </c>
    </row>
    <row r="1269" customFormat="false" ht="15" hidden="false" customHeight="false" outlineLevel="0" collapsed="false">
      <c r="A1269" s="0" t="s">
        <v>462</v>
      </c>
      <c r="B1269" s="0" t="s">
        <v>480</v>
      </c>
      <c r="C1269" s="0" t="s">
        <v>756</v>
      </c>
      <c r="D1269" s="0" t="n">
        <v>12</v>
      </c>
      <c r="E1269" s="0" t="n">
        <v>4</v>
      </c>
      <c r="F1269" s="0" t="n">
        <f aca="false">D1269*E1269</f>
        <v>48</v>
      </c>
      <c r="G1269" s="0" t="n">
        <f aca="false">ROUNDUP(F1269/75,0)</f>
        <v>1</v>
      </c>
    </row>
    <row r="1270" customFormat="false" ht="15" hidden="false" customHeight="false" outlineLevel="0" collapsed="false">
      <c r="A1270" s="0" t="s">
        <v>462</v>
      </c>
      <c r="B1270" s="0" t="s">
        <v>480</v>
      </c>
      <c r="C1270" s="0" t="s">
        <v>757</v>
      </c>
      <c r="D1270" s="0" t="n">
        <v>6</v>
      </c>
      <c r="E1270" s="0" t="n">
        <v>5</v>
      </c>
      <c r="F1270" s="0" t="n">
        <f aca="false">D1270*E1270</f>
        <v>30</v>
      </c>
      <c r="G1270" s="0" t="n">
        <f aca="false">ROUNDUP(F1270/75,0)</f>
        <v>1</v>
      </c>
    </row>
    <row r="1271" customFormat="false" ht="15" hidden="false" customHeight="false" outlineLevel="0" collapsed="false">
      <c r="A1271" s="0" t="s">
        <v>462</v>
      </c>
      <c r="B1271" s="0" t="s">
        <v>480</v>
      </c>
      <c r="C1271" s="0" t="s">
        <v>753</v>
      </c>
      <c r="D1271" s="0" t="n">
        <v>6</v>
      </c>
      <c r="E1271" s="0" t="n">
        <v>2</v>
      </c>
      <c r="F1271" s="0" t="n">
        <f aca="false">D1271*E1271</f>
        <v>12</v>
      </c>
      <c r="G1271" s="0" t="n">
        <f aca="false">ROUNDUP(F1271/75,0)</f>
        <v>1</v>
      </c>
    </row>
    <row r="1272" customFormat="false" ht="15" hidden="false" customHeight="false" outlineLevel="0" collapsed="false">
      <c r="A1272" s="0" t="s">
        <v>462</v>
      </c>
      <c r="B1272" s="0" t="s">
        <v>480</v>
      </c>
      <c r="C1272" s="0" t="s">
        <v>755</v>
      </c>
      <c r="D1272" s="0" t="n">
        <v>6</v>
      </c>
      <c r="E1272" s="0" t="n">
        <v>6</v>
      </c>
      <c r="F1272" s="0" t="n">
        <f aca="false">D1272*E1272</f>
        <v>36</v>
      </c>
      <c r="G1272" s="0" t="n">
        <f aca="false">ROUNDUP(F1272/75,0)</f>
        <v>1</v>
      </c>
    </row>
    <row r="1273" customFormat="false" ht="15" hidden="false" customHeight="false" outlineLevel="0" collapsed="false">
      <c r="A1273" s="0" t="s">
        <v>462</v>
      </c>
      <c r="B1273" s="0" t="s">
        <v>481</v>
      </c>
      <c r="C1273" s="0" t="s">
        <v>757</v>
      </c>
      <c r="D1273" s="0" t="n">
        <v>6</v>
      </c>
      <c r="E1273" s="0" t="n">
        <v>3</v>
      </c>
      <c r="F1273" s="0" t="n">
        <f aca="false">D1273*E1273</f>
        <v>18</v>
      </c>
      <c r="G1273" s="0" t="n">
        <f aca="false">ROUNDUP(F1273/75,0)</f>
        <v>1</v>
      </c>
    </row>
    <row r="1274" customFormat="false" ht="15" hidden="false" customHeight="false" outlineLevel="0" collapsed="false">
      <c r="A1274" s="0" t="s">
        <v>462</v>
      </c>
      <c r="B1274" s="0" t="s">
        <v>481</v>
      </c>
      <c r="C1274" s="0" t="s">
        <v>755</v>
      </c>
      <c r="D1274" s="0" t="n">
        <v>6</v>
      </c>
      <c r="E1274" s="0" t="n">
        <v>7</v>
      </c>
      <c r="F1274" s="0" t="n">
        <f aca="false">D1274*E1274</f>
        <v>42</v>
      </c>
      <c r="G1274" s="0" t="n">
        <f aca="false">ROUNDUP(F1274/75,0)</f>
        <v>1</v>
      </c>
    </row>
    <row r="1275" customFormat="false" ht="15" hidden="false" customHeight="false" outlineLevel="0" collapsed="false">
      <c r="A1275" s="0" t="s">
        <v>462</v>
      </c>
      <c r="B1275" s="0" t="s">
        <v>482</v>
      </c>
      <c r="C1275" s="0" t="s">
        <v>753</v>
      </c>
      <c r="D1275" s="0" t="n">
        <v>6</v>
      </c>
      <c r="E1275" s="0" t="n">
        <v>7</v>
      </c>
      <c r="F1275" s="0" t="n">
        <f aca="false">D1275*E1275</f>
        <v>42</v>
      </c>
      <c r="G1275" s="0" t="n">
        <f aca="false">ROUNDUP(F1275/75,0)</f>
        <v>1</v>
      </c>
    </row>
    <row r="1276" customFormat="false" ht="15" hidden="false" customHeight="false" outlineLevel="0" collapsed="false">
      <c r="A1276" s="0" t="s">
        <v>462</v>
      </c>
      <c r="B1276" s="0" t="s">
        <v>482</v>
      </c>
      <c r="C1276" s="0" t="s">
        <v>755</v>
      </c>
      <c r="D1276" s="0" t="n">
        <v>6</v>
      </c>
      <c r="E1276" s="0" t="n">
        <v>4</v>
      </c>
      <c r="F1276" s="0" t="n">
        <f aca="false">D1276*E1276</f>
        <v>24</v>
      </c>
      <c r="G1276" s="0" t="n">
        <f aca="false">ROUNDUP(F1276/75,0)</f>
        <v>1</v>
      </c>
    </row>
    <row r="1277" customFormat="false" ht="15" hidden="false" customHeight="false" outlineLevel="0" collapsed="false">
      <c r="A1277" s="0" t="s">
        <v>462</v>
      </c>
      <c r="B1277" s="0" t="s">
        <v>483</v>
      </c>
      <c r="C1277" s="0" t="s">
        <v>756</v>
      </c>
      <c r="D1277" s="0" t="n">
        <v>12</v>
      </c>
      <c r="E1277" s="0" t="n">
        <v>1</v>
      </c>
      <c r="F1277" s="0" t="n">
        <f aca="false">D1277*E1277</f>
        <v>12</v>
      </c>
      <c r="G1277" s="0" t="n">
        <f aca="false">ROUNDUP(F1277/75,0)</f>
        <v>1</v>
      </c>
    </row>
    <row r="1278" customFormat="false" ht="15" hidden="false" customHeight="false" outlineLevel="0" collapsed="false">
      <c r="A1278" s="0" t="s">
        <v>462</v>
      </c>
      <c r="B1278" s="0" t="s">
        <v>483</v>
      </c>
      <c r="C1278" s="0" t="s">
        <v>757</v>
      </c>
      <c r="D1278" s="0" t="n">
        <v>6</v>
      </c>
      <c r="E1278" s="0" t="n">
        <v>2</v>
      </c>
      <c r="F1278" s="0" t="n">
        <f aca="false">D1278*E1278</f>
        <v>12</v>
      </c>
      <c r="G1278" s="0" t="n">
        <f aca="false">ROUNDUP(F1278/75,0)</f>
        <v>1</v>
      </c>
    </row>
    <row r="1279" customFormat="false" ht="15" hidden="false" customHeight="false" outlineLevel="0" collapsed="false">
      <c r="A1279" s="0" t="s">
        <v>462</v>
      </c>
      <c r="B1279" s="0" t="s">
        <v>483</v>
      </c>
      <c r="C1279" s="0" t="s">
        <v>753</v>
      </c>
      <c r="D1279" s="0" t="n">
        <v>6</v>
      </c>
      <c r="E1279" s="0" t="n">
        <v>1</v>
      </c>
      <c r="F1279" s="0" t="n">
        <f aca="false">D1279*E1279</f>
        <v>6</v>
      </c>
      <c r="G1279" s="0" t="n">
        <f aca="false">ROUNDUP(F1279/75,0)</f>
        <v>1</v>
      </c>
    </row>
    <row r="1280" customFormat="false" ht="15" hidden="false" customHeight="false" outlineLevel="0" collapsed="false">
      <c r="A1280" s="0" t="s">
        <v>462</v>
      </c>
      <c r="B1280" s="0" t="s">
        <v>483</v>
      </c>
      <c r="C1280" s="0" t="s">
        <v>755</v>
      </c>
      <c r="D1280" s="0" t="n">
        <v>6</v>
      </c>
      <c r="E1280" s="0" t="n">
        <v>5</v>
      </c>
      <c r="F1280" s="0" t="n">
        <f aca="false">D1280*E1280</f>
        <v>30</v>
      </c>
      <c r="G1280" s="0" t="n">
        <f aca="false">ROUNDUP(F1280/75,0)</f>
        <v>1</v>
      </c>
    </row>
    <row r="1281" customFormat="false" ht="15" hidden="false" customHeight="false" outlineLevel="0" collapsed="false">
      <c r="A1281" s="0" t="s">
        <v>462</v>
      </c>
      <c r="B1281" s="0" t="s">
        <v>484</v>
      </c>
      <c r="C1281" s="0" t="s">
        <v>756</v>
      </c>
      <c r="D1281" s="0" t="n">
        <v>12</v>
      </c>
      <c r="E1281" s="0" t="n">
        <v>2</v>
      </c>
      <c r="F1281" s="0" t="n">
        <f aca="false">D1281*E1281</f>
        <v>24</v>
      </c>
      <c r="G1281" s="0" t="n">
        <f aca="false">ROUNDUP(F1281/75,0)</f>
        <v>1</v>
      </c>
    </row>
    <row r="1282" customFormat="false" ht="15" hidden="false" customHeight="false" outlineLevel="0" collapsed="false">
      <c r="A1282" s="0" t="s">
        <v>462</v>
      </c>
      <c r="B1282" s="0" t="s">
        <v>484</v>
      </c>
      <c r="C1282" s="0" t="s">
        <v>757</v>
      </c>
      <c r="D1282" s="0" t="n">
        <v>6</v>
      </c>
      <c r="E1282" s="0" t="n">
        <v>2</v>
      </c>
      <c r="F1282" s="0" t="n">
        <f aca="false">D1282*E1282</f>
        <v>12</v>
      </c>
      <c r="G1282" s="0" t="n">
        <f aca="false">ROUNDUP(F1282/75,0)</f>
        <v>1</v>
      </c>
    </row>
    <row r="1283" customFormat="false" ht="15" hidden="false" customHeight="false" outlineLevel="0" collapsed="false">
      <c r="A1283" s="0" t="s">
        <v>462</v>
      </c>
      <c r="B1283" s="0" t="s">
        <v>484</v>
      </c>
      <c r="C1283" s="0" t="s">
        <v>753</v>
      </c>
      <c r="D1283" s="0" t="n">
        <v>6</v>
      </c>
      <c r="E1283" s="0" t="n">
        <v>4</v>
      </c>
      <c r="F1283" s="0" t="n">
        <f aca="false">D1283*E1283</f>
        <v>24</v>
      </c>
      <c r="G1283" s="0" t="n">
        <f aca="false">ROUNDUP(F1283/75,0)</f>
        <v>1</v>
      </c>
    </row>
    <row r="1284" customFormat="false" ht="15" hidden="false" customHeight="false" outlineLevel="0" collapsed="false">
      <c r="A1284" s="0" t="s">
        <v>462</v>
      </c>
      <c r="B1284" s="0" t="s">
        <v>484</v>
      </c>
      <c r="C1284" s="0" t="s">
        <v>755</v>
      </c>
      <c r="D1284" s="0" t="n">
        <v>6</v>
      </c>
      <c r="E1284" s="0" t="n">
        <v>3</v>
      </c>
      <c r="F1284" s="0" t="n">
        <f aca="false">D1284*E1284</f>
        <v>18</v>
      </c>
      <c r="G1284" s="0" t="n">
        <f aca="false">ROUNDUP(F1284/75,0)</f>
        <v>1</v>
      </c>
    </row>
    <row r="1285" customFormat="false" ht="15" hidden="false" customHeight="false" outlineLevel="0" collapsed="false">
      <c r="A1285" s="0" t="s">
        <v>462</v>
      </c>
      <c r="B1285" s="0" t="s">
        <v>485</v>
      </c>
      <c r="C1285" s="0" t="s">
        <v>757</v>
      </c>
      <c r="D1285" s="0" t="n">
        <v>6</v>
      </c>
      <c r="E1285" s="0" t="n">
        <v>1</v>
      </c>
      <c r="F1285" s="0" t="n">
        <f aca="false">D1285*E1285</f>
        <v>6</v>
      </c>
      <c r="G1285" s="0" t="n">
        <f aca="false">ROUNDUP(F1285/75,0)</f>
        <v>1</v>
      </c>
    </row>
    <row r="1286" customFormat="false" ht="15" hidden="false" customHeight="false" outlineLevel="0" collapsed="false">
      <c r="A1286" s="0" t="s">
        <v>462</v>
      </c>
      <c r="B1286" s="0" t="s">
        <v>485</v>
      </c>
      <c r="C1286" s="0" t="s">
        <v>753</v>
      </c>
      <c r="D1286" s="0" t="n">
        <v>6</v>
      </c>
      <c r="E1286" s="0" t="n">
        <v>2</v>
      </c>
      <c r="F1286" s="0" t="n">
        <f aca="false">D1286*E1286</f>
        <v>12</v>
      </c>
      <c r="G1286" s="0" t="n">
        <f aca="false">ROUNDUP(F1286/75,0)</f>
        <v>1</v>
      </c>
    </row>
    <row r="1287" customFormat="false" ht="15" hidden="false" customHeight="false" outlineLevel="0" collapsed="false">
      <c r="A1287" s="0" t="s">
        <v>462</v>
      </c>
      <c r="B1287" s="0" t="s">
        <v>485</v>
      </c>
      <c r="C1287" s="0" t="s">
        <v>755</v>
      </c>
      <c r="D1287" s="0" t="n">
        <v>6</v>
      </c>
      <c r="E1287" s="0" t="n">
        <v>3</v>
      </c>
      <c r="F1287" s="0" t="n">
        <f aca="false">D1287*E1287</f>
        <v>18</v>
      </c>
      <c r="G1287" s="0" t="n">
        <f aca="false">ROUNDUP(F1287/75,0)</f>
        <v>1</v>
      </c>
    </row>
    <row r="1288" customFormat="false" ht="15" hidden="false" customHeight="false" outlineLevel="0" collapsed="false">
      <c r="A1288" s="0" t="s">
        <v>462</v>
      </c>
      <c r="B1288" s="0" t="s">
        <v>486</v>
      </c>
      <c r="C1288" s="0" t="s">
        <v>756</v>
      </c>
      <c r="D1288" s="0" t="n">
        <v>12</v>
      </c>
      <c r="E1288" s="0" t="n">
        <v>1</v>
      </c>
      <c r="F1288" s="0" t="n">
        <f aca="false">D1288*E1288</f>
        <v>12</v>
      </c>
      <c r="G1288" s="0" t="n">
        <f aca="false">ROUNDUP(F1288/75,0)</f>
        <v>1</v>
      </c>
    </row>
    <row r="1289" customFormat="false" ht="15" hidden="false" customHeight="false" outlineLevel="0" collapsed="false">
      <c r="A1289" s="0" t="s">
        <v>462</v>
      </c>
      <c r="B1289" s="0" t="s">
        <v>486</v>
      </c>
      <c r="C1289" s="0" t="s">
        <v>757</v>
      </c>
      <c r="D1289" s="0" t="n">
        <v>6</v>
      </c>
      <c r="E1289" s="0" t="n">
        <v>2</v>
      </c>
      <c r="F1289" s="0" t="n">
        <f aca="false">D1289*E1289</f>
        <v>12</v>
      </c>
      <c r="G1289" s="0" t="n">
        <f aca="false">ROUNDUP(F1289/75,0)</f>
        <v>1</v>
      </c>
    </row>
    <row r="1290" customFormat="false" ht="15" hidden="false" customHeight="false" outlineLevel="0" collapsed="false">
      <c r="A1290" s="0" t="s">
        <v>462</v>
      </c>
      <c r="B1290" s="0" t="s">
        <v>486</v>
      </c>
      <c r="C1290" s="0" t="s">
        <v>753</v>
      </c>
      <c r="D1290" s="0" t="n">
        <v>6</v>
      </c>
      <c r="E1290" s="0" t="n">
        <v>5</v>
      </c>
      <c r="F1290" s="0" t="n">
        <f aca="false">D1290*E1290</f>
        <v>30</v>
      </c>
      <c r="G1290" s="0" t="n">
        <f aca="false">ROUNDUP(F1290/75,0)</f>
        <v>1</v>
      </c>
    </row>
    <row r="1291" customFormat="false" ht="15" hidden="false" customHeight="false" outlineLevel="0" collapsed="false">
      <c r="A1291" s="0" t="s">
        <v>462</v>
      </c>
      <c r="B1291" s="0" t="s">
        <v>486</v>
      </c>
      <c r="C1291" s="0" t="s">
        <v>755</v>
      </c>
      <c r="D1291" s="0" t="n">
        <v>6</v>
      </c>
      <c r="E1291" s="0" t="n">
        <v>2</v>
      </c>
      <c r="F1291" s="0" t="n">
        <f aca="false">D1291*E1291</f>
        <v>12</v>
      </c>
      <c r="G1291" s="0" t="n">
        <f aca="false">ROUNDUP(F1291/75,0)</f>
        <v>1</v>
      </c>
    </row>
    <row r="1292" customFormat="false" ht="15" hidden="false" customHeight="false" outlineLevel="0" collapsed="false">
      <c r="A1292" s="0" t="s">
        <v>462</v>
      </c>
      <c r="B1292" s="0" t="s">
        <v>487</v>
      </c>
      <c r="C1292" s="0" t="s">
        <v>756</v>
      </c>
      <c r="D1292" s="0" t="n">
        <v>12</v>
      </c>
      <c r="E1292" s="0" t="n">
        <v>1</v>
      </c>
      <c r="F1292" s="0" t="n">
        <f aca="false">D1292*E1292</f>
        <v>12</v>
      </c>
      <c r="G1292" s="0" t="n">
        <f aca="false">ROUNDUP(F1292/75,0)</f>
        <v>1</v>
      </c>
    </row>
    <row r="1293" customFormat="false" ht="15" hidden="false" customHeight="false" outlineLevel="0" collapsed="false">
      <c r="A1293" s="0" t="s">
        <v>462</v>
      </c>
      <c r="B1293" s="0" t="s">
        <v>487</v>
      </c>
      <c r="C1293" s="0" t="s">
        <v>757</v>
      </c>
      <c r="D1293" s="0" t="n">
        <v>6</v>
      </c>
      <c r="E1293" s="0" t="n">
        <v>2</v>
      </c>
      <c r="F1293" s="0" t="n">
        <f aca="false">D1293*E1293</f>
        <v>12</v>
      </c>
      <c r="G1293" s="0" t="n">
        <f aca="false">ROUNDUP(F1293/75,0)</f>
        <v>1</v>
      </c>
    </row>
    <row r="1294" customFormat="false" ht="15" hidden="false" customHeight="false" outlineLevel="0" collapsed="false">
      <c r="A1294" s="0" t="s">
        <v>462</v>
      </c>
      <c r="B1294" s="0" t="s">
        <v>487</v>
      </c>
      <c r="C1294" s="0" t="s">
        <v>753</v>
      </c>
      <c r="D1294" s="0" t="n">
        <v>6</v>
      </c>
      <c r="E1294" s="0" t="n">
        <v>4</v>
      </c>
      <c r="F1294" s="0" t="n">
        <f aca="false">D1294*E1294</f>
        <v>24</v>
      </c>
      <c r="G1294" s="0" t="n">
        <f aca="false">ROUNDUP(F1294/75,0)</f>
        <v>1</v>
      </c>
    </row>
    <row r="1295" customFormat="false" ht="15" hidden="false" customHeight="false" outlineLevel="0" collapsed="false">
      <c r="A1295" s="0" t="s">
        <v>462</v>
      </c>
      <c r="B1295" s="0" t="s">
        <v>487</v>
      </c>
      <c r="C1295" s="0" t="s">
        <v>755</v>
      </c>
      <c r="D1295" s="0" t="n">
        <v>6</v>
      </c>
      <c r="E1295" s="0" t="n">
        <v>4</v>
      </c>
      <c r="F1295" s="0" t="n">
        <f aca="false">D1295*E1295</f>
        <v>24</v>
      </c>
      <c r="G1295" s="0" t="n">
        <f aca="false">ROUNDUP(F1295/75,0)</f>
        <v>1</v>
      </c>
    </row>
    <row r="1296" customFormat="false" ht="15" hidden="false" customHeight="false" outlineLevel="0" collapsed="false">
      <c r="A1296" s="0" t="s">
        <v>462</v>
      </c>
      <c r="B1296" s="0" t="s">
        <v>488</v>
      </c>
      <c r="C1296" s="0" t="s">
        <v>756</v>
      </c>
      <c r="D1296" s="0" t="n">
        <v>12</v>
      </c>
      <c r="E1296" s="0" t="n">
        <v>1</v>
      </c>
      <c r="F1296" s="0" t="n">
        <f aca="false">D1296*E1296</f>
        <v>12</v>
      </c>
      <c r="G1296" s="0" t="n">
        <f aca="false">ROUNDUP(F1296/75,0)</f>
        <v>1</v>
      </c>
    </row>
    <row r="1297" customFormat="false" ht="15" hidden="false" customHeight="false" outlineLevel="0" collapsed="false">
      <c r="A1297" s="0" t="s">
        <v>462</v>
      </c>
      <c r="B1297" s="0" t="s">
        <v>488</v>
      </c>
      <c r="C1297" s="0" t="s">
        <v>757</v>
      </c>
      <c r="D1297" s="0" t="n">
        <v>6</v>
      </c>
      <c r="E1297" s="0" t="n">
        <v>1</v>
      </c>
      <c r="F1297" s="0" t="n">
        <f aca="false">D1297*E1297</f>
        <v>6</v>
      </c>
      <c r="G1297" s="0" t="n">
        <f aca="false">ROUNDUP(F1297/75,0)</f>
        <v>1</v>
      </c>
    </row>
    <row r="1298" customFormat="false" ht="15" hidden="false" customHeight="false" outlineLevel="0" collapsed="false">
      <c r="A1298" s="0" t="s">
        <v>462</v>
      </c>
      <c r="B1298" s="0" t="s">
        <v>488</v>
      </c>
      <c r="C1298" s="0" t="s">
        <v>753</v>
      </c>
      <c r="D1298" s="0" t="n">
        <v>6</v>
      </c>
      <c r="E1298" s="0" t="n">
        <v>11</v>
      </c>
      <c r="F1298" s="0" t="n">
        <f aca="false">D1298*E1298</f>
        <v>66</v>
      </c>
      <c r="G1298" s="0" t="n">
        <f aca="false">ROUNDUP(F1298/75,0)</f>
        <v>1</v>
      </c>
    </row>
    <row r="1299" customFormat="false" ht="15" hidden="false" customHeight="false" outlineLevel="0" collapsed="false">
      <c r="A1299" s="0" t="s">
        <v>462</v>
      </c>
      <c r="B1299" s="0" t="s">
        <v>488</v>
      </c>
      <c r="C1299" s="0" t="s">
        <v>755</v>
      </c>
      <c r="D1299" s="0" t="n">
        <v>6</v>
      </c>
      <c r="E1299" s="0" t="n">
        <v>3</v>
      </c>
      <c r="F1299" s="0" t="n">
        <f aca="false">D1299*E1299</f>
        <v>18</v>
      </c>
      <c r="G1299" s="0" t="n">
        <f aca="false">ROUNDUP(F1299/75,0)</f>
        <v>1</v>
      </c>
    </row>
    <row r="1300" customFormat="false" ht="15" hidden="false" customHeight="false" outlineLevel="0" collapsed="false">
      <c r="A1300" s="0" t="s">
        <v>462</v>
      </c>
      <c r="B1300" s="0" t="s">
        <v>489</v>
      </c>
      <c r="C1300" s="0" t="s">
        <v>757</v>
      </c>
      <c r="D1300" s="0" t="n">
        <v>6</v>
      </c>
      <c r="E1300" s="0" t="n">
        <v>3</v>
      </c>
      <c r="F1300" s="0" t="n">
        <f aca="false">D1300*E1300</f>
        <v>18</v>
      </c>
      <c r="G1300" s="0" t="n">
        <f aca="false">ROUNDUP(F1300/75,0)</f>
        <v>1</v>
      </c>
    </row>
    <row r="1301" customFormat="false" ht="15" hidden="false" customHeight="false" outlineLevel="0" collapsed="false">
      <c r="A1301" s="0" t="s">
        <v>462</v>
      </c>
      <c r="B1301" s="0" t="s">
        <v>489</v>
      </c>
      <c r="C1301" s="0" t="s">
        <v>753</v>
      </c>
      <c r="D1301" s="0" t="n">
        <v>6</v>
      </c>
      <c r="E1301" s="0" t="n">
        <v>10</v>
      </c>
      <c r="F1301" s="0" t="n">
        <f aca="false">D1301*E1301</f>
        <v>60</v>
      </c>
      <c r="G1301" s="0" t="n">
        <f aca="false">ROUNDUP(F1301/75,0)</f>
        <v>1</v>
      </c>
    </row>
    <row r="1302" customFormat="false" ht="15" hidden="false" customHeight="false" outlineLevel="0" collapsed="false">
      <c r="A1302" s="0" t="s">
        <v>462</v>
      </c>
      <c r="B1302" s="0" t="s">
        <v>489</v>
      </c>
      <c r="C1302" s="0" t="s">
        <v>755</v>
      </c>
      <c r="D1302" s="0" t="n">
        <v>6</v>
      </c>
      <c r="E1302" s="0" t="n">
        <v>2</v>
      </c>
      <c r="F1302" s="0" t="n">
        <f aca="false">D1302*E1302</f>
        <v>12</v>
      </c>
      <c r="G1302" s="0" t="n">
        <f aca="false">ROUNDUP(F1302/75,0)</f>
        <v>1</v>
      </c>
    </row>
    <row r="1303" customFormat="false" ht="15" hidden="false" customHeight="false" outlineLevel="0" collapsed="false">
      <c r="A1303" s="0" t="s">
        <v>462</v>
      </c>
      <c r="B1303" s="0" t="s">
        <v>490</v>
      </c>
      <c r="C1303" s="0" t="s">
        <v>756</v>
      </c>
      <c r="D1303" s="0" t="n">
        <v>12</v>
      </c>
      <c r="E1303" s="0" t="n">
        <v>4</v>
      </c>
      <c r="F1303" s="0" t="n">
        <f aca="false">D1303*E1303</f>
        <v>48</v>
      </c>
      <c r="G1303" s="0" t="n">
        <f aca="false">ROUNDUP(F1303/75,0)</f>
        <v>1</v>
      </c>
    </row>
    <row r="1304" customFormat="false" ht="15" hidden="false" customHeight="false" outlineLevel="0" collapsed="false">
      <c r="A1304" s="0" t="s">
        <v>462</v>
      </c>
      <c r="B1304" s="0" t="s">
        <v>490</v>
      </c>
      <c r="C1304" s="0" t="s">
        <v>757</v>
      </c>
      <c r="D1304" s="0" t="n">
        <v>6</v>
      </c>
      <c r="E1304" s="0" t="n">
        <v>1</v>
      </c>
      <c r="F1304" s="0" t="n">
        <f aca="false">D1304*E1304</f>
        <v>6</v>
      </c>
      <c r="G1304" s="0" t="n">
        <f aca="false">ROUNDUP(F1304/75,0)</f>
        <v>1</v>
      </c>
    </row>
    <row r="1305" customFormat="false" ht="15" hidden="false" customHeight="false" outlineLevel="0" collapsed="false">
      <c r="A1305" s="0" t="s">
        <v>462</v>
      </c>
      <c r="B1305" s="0" t="s">
        <v>490</v>
      </c>
      <c r="C1305" s="0" t="s">
        <v>753</v>
      </c>
      <c r="D1305" s="0" t="n">
        <v>6</v>
      </c>
      <c r="E1305" s="0" t="n">
        <v>4</v>
      </c>
      <c r="F1305" s="0" t="n">
        <f aca="false">D1305*E1305</f>
        <v>24</v>
      </c>
      <c r="G1305" s="0" t="n">
        <f aca="false">ROUNDUP(F1305/75,0)</f>
        <v>1</v>
      </c>
    </row>
    <row r="1306" customFormat="false" ht="15" hidden="false" customHeight="false" outlineLevel="0" collapsed="false">
      <c r="A1306" s="0" t="s">
        <v>462</v>
      </c>
      <c r="B1306" s="0" t="s">
        <v>491</v>
      </c>
      <c r="C1306" s="0" t="s">
        <v>756</v>
      </c>
      <c r="D1306" s="0" t="n">
        <v>12</v>
      </c>
      <c r="E1306" s="0" t="n">
        <v>2</v>
      </c>
      <c r="F1306" s="0" t="n">
        <f aca="false">D1306*E1306</f>
        <v>24</v>
      </c>
      <c r="G1306" s="0" t="n">
        <f aca="false">ROUNDUP(F1306/75,0)</f>
        <v>1</v>
      </c>
    </row>
    <row r="1307" customFormat="false" ht="15" hidden="false" customHeight="false" outlineLevel="0" collapsed="false">
      <c r="A1307" s="0" t="s">
        <v>462</v>
      </c>
      <c r="B1307" s="0" t="s">
        <v>491</v>
      </c>
      <c r="C1307" s="0" t="s">
        <v>757</v>
      </c>
      <c r="D1307" s="0" t="n">
        <v>6</v>
      </c>
      <c r="E1307" s="0" t="n">
        <v>1</v>
      </c>
      <c r="F1307" s="0" t="n">
        <f aca="false">D1307*E1307</f>
        <v>6</v>
      </c>
      <c r="G1307" s="0" t="n">
        <f aca="false">ROUNDUP(F1307/75,0)</f>
        <v>1</v>
      </c>
    </row>
    <row r="1308" customFormat="false" ht="15" hidden="false" customHeight="false" outlineLevel="0" collapsed="false">
      <c r="A1308" s="0" t="s">
        <v>462</v>
      </c>
      <c r="B1308" s="0" t="s">
        <v>491</v>
      </c>
      <c r="C1308" s="0" t="s">
        <v>755</v>
      </c>
      <c r="D1308" s="0" t="n">
        <v>6</v>
      </c>
      <c r="E1308" s="0" t="n">
        <v>1</v>
      </c>
      <c r="F1308" s="0" t="n">
        <f aca="false">D1308*E1308</f>
        <v>6</v>
      </c>
      <c r="G1308" s="0" t="n">
        <f aca="false">ROUNDUP(F1308/75,0)</f>
        <v>1</v>
      </c>
    </row>
    <row r="1309" customFormat="false" ht="15" hidden="false" customHeight="false" outlineLevel="0" collapsed="false">
      <c r="A1309" s="0" t="s">
        <v>462</v>
      </c>
      <c r="B1309" s="0" t="s">
        <v>492</v>
      </c>
      <c r="C1309" s="0" t="s">
        <v>757</v>
      </c>
      <c r="D1309" s="0" t="n">
        <v>6</v>
      </c>
      <c r="E1309" s="0" t="n">
        <v>1</v>
      </c>
      <c r="F1309" s="0" t="n">
        <f aca="false">D1309*E1309</f>
        <v>6</v>
      </c>
      <c r="G1309" s="0" t="n">
        <f aca="false">ROUNDUP(F1309/75,0)</f>
        <v>1</v>
      </c>
    </row>
    <row r="1310" customFormat="false" ht="15" hidden="false" customHeight="false" outlineLevel="0" collapsed="false">
      <c r="A1310" s="0" t="s">
        <v>462</v>
      </c>
      <c r="B1310" s="0" t="s">
        <v>492</v>
      </c>
      <c r="C1310" s="0" t="s">
        <v>753</v>
      </c>
      <c r="D1310" s="0" t="n">
        <v>6</v>
      </c>
      <c r="E1310" s="0" t="n">
        <v>1</v>
      </c>
      <c r="F1310" s="0" t="n">
        <f aca="false">D1310*E1310</f>
        <v>6</v>
      </c>
      <c r="G1310" s="0" t="n">
        <f aca="false">ROUNDUP(F1310/75,0)</f>
        <v>1</v>
      </c>
    </row>
    <row r="1311" customFormat="false" ht="15" hidden="false" customHeight="false" outlineLevel="0" collapsed="false">
      <c r="A1311" s="0" t="s">
        <v>462</v>
      </c>
      <c r="B1311" s="0" t="s">
        <v>492</v>
      </c>
      <c r="C1311" s="0" t="s">
        <v>755</v>
      </c>
      <c r="D1311" s="0" t="n">
        <v>6</v>
      </c>
      <c r="E1311" s="0" t="n">
        <v>1</v>
      </c>
      <c r="F1311" s="0" t="n">
        <f aca="false">D1311*E1311</f>
        <v>6</v>
      </c>
      <c r="G1311" s="0" t="n">
        <f aca="false">ROUNDUP(F1311/75,0)</f>
        <v>1</v>
      </c>
    </row>
    <row r="1312" customFormat="false" ht="15" hidden="false" customHeight="false" outlineLevel="0" collapsed="false">
      <c r="A1312" s="0" t="s">
        <v>462</v>
      </c>
      <c r="B1312" s="0" t="s">
        <v>493</v>
      </c>
      <c r="C1312" s="0" t="s">
        <v>756</v>
      </c>
      <c r="D1312" s="0" t="n">
        <v>12</v>
      </c>
      <c r="E1312" s="0" t="n">
        <v>1</v>
      </c>
      <c r="F1312" s="0" t="n">
        <f aca="false">D1312*E1312</f>
        <v>12</v>
      </c>
      <c r="G1312" s="0" t="n">
        <f aca="false">ROUNDUP(F1312/75,0)</f>
        <v>1</v>
      </c>
    </row>
    <row r="1313" customFormat="false" ht="15" hidden="false" customHeight="false" outlineLevel="0" collapsed="false">
      <c r="A1313" s="0" t="s">
        <v>462</v>
      </c>
      <c r="B1313" s="0" t="s">
        <v>493</v>
      </c>
      <c r="C1313" s="0" t="s">
        <v>757</v>
      </c>
      <c r="D1313" s="0" t="n">
        <v>6</v>
      </c>
      <c r="E1313" s="0" t="n">
        <v>3</v>
      </c>
      <c r="F1313" s="0" t="n">
        <f aca="false">D1313*E1313</f>
        <v>18</v>
      </c>
      <c r="G1313" s="0" t="n">
        <f aca="false">ROUNDUP(F1313/75,0)</f>
        <v>1</v>
      </c>
    </row>
    <row r="1314" customFormat="false" ht="15" hidden="false" customHeight="false" outlineLevel="0" collapsed="false">
      <c r="A1314" s="0" t="s">
        <v>462</v>
      </c>
      <c r="B1314" s="0" t="s">
        <v>493</v>
      </c>
      <c r="C1314" s="0" t="s">
        <v>753</v>
      </c>
      <c r="D1314" s="0" t="n">
        <v>6</v>
      </c>
      <c r="E1314" s="0" t="n">
        <v>1</v>
      </c>
      <c r="F1314" s="0" t="n">
        <f aca="false">D1314*E1314</f>
        <v>6</v>
      </c>
      <c r="G1314" s="0" t="n">
        <f aca="false">ROUNDUP(F1314/75,0)</f>
        <v>1</v>
      </c>
    </row>
    <row r="1315" customFormat="false" ht="15" hidden="false" customHeight="false" outlineLevel="0" collapsed="false">
      <c r="A1315" s="0" t="s">
        <v>462</v>
      </c>
      <c r="B1315" s="0" t="s">
        <v>493</v>
      </c>
      <c r="C1315" s="0" t="s">
        <v>755</v>
      </c>
      <c r="D1315" s="0" t="n">
        <v>6</v>
      </c>
      <c r="E1315" s="0" t="n">
        <v>4</v>
      </c>
      <c r="F1315" s="0" t="n">
        <f aca="false">D1315*E1315</f>
        <v>24</v>
      </c>
      <c r="G1315" s="0" t="n">
        <f aca="false">ROUNDUP(F1315/75,0)</f>
        <v>1</v>
      </c>
    </row>
    <row r="1316" customFormat="false" ht="15" hidden="false" customHeight="false" outlineLevel="0" collapsed="false">
      <c r="A1316" s="0" t="s">
        <v>462</v>
      </c>
      <c r="B1316" s="0" t="s">
        <v>494</v>
      </c>
      <c r="C1316" s="0" t="s">
        <v>753</v>
      </c>
      <c r="D1316" s="0" t="n">
        <v>6</v>
      </c>
      <c r="E1316" s="0" t="n">
        <v>4</v>
      </c>
      <c r="F1316" s="0" t="n">
        <f aca="false">D1316*E1316</f>
        <v>24</v>
      </c>
      <c r="G1316" s="0" t="n">
        <f aca="false">ROUNDUP(F1316/75,0)</f>
        <v>1</v>
      </c>
    </row>
    <row r="1317" customFormat="false" ht="15" hidden="false" customHeight="false" outlineLevel="0" collapsed="false">
      <c r="A1317" s="0" t="s">
        <v>462</v>
      </c>
      <c r="B1317" s="0" t="s">
        <v>494</v>
      </c>
      <c r="C1317" s="0" t="s">
        <v>755</v>
      </c>
      <c r="D1317" s="0" t="n">
        <v>6</v>
      </c>
      <c r="E1317" s="0" t="n">
        <v>6</v>
      </c>
      <c r="F1317" s="0" t="n">
        <f aca="false">D1317*E1317</f>
        <v>36</v>
      </c>
      <c r="G1317" s="0" t="n">
        <f aca="false">ROUNDUP(F1317/75,0)</f>
        <v>1</v>
      </c>
    </row>
    <row r="1318" customFormat="false" ht="15" hidden="false" customHeight="false" outlineLevel="0" collapsed="false">
      <c r="A1318" s="0" t="s">
        <v>462</v>
      </c>
      <c r="B1318" s="0" t="s">
        <v>495</v>
      </c>
      <c r="C1318" s="0" t="s">
        <v>757</v>
      </c>
      <c r="D1318" s="0" t="n">
        <v>6</v>
      </c>
      <c r="E1318" s="0" t="n">
        <v>5</v>
      </c>
      <c r="F1318" s="0" t="n">
        <f aca="false">D1318*E1318</f>
        <v>30</v>
      </c>
      <c r="G1318" s="0" t="n">
        <f aca="false">ROUNDUP(F1318/75,0)</f>
        <v>1</v>
      </c>
    </row>
    <row r="1319" customFormat="false" ht="15" hidden="false" customHeight="false" outlineLevel="0" collapsed="false">
      <c r="A1319" s="0" t="s">
        <v>462</v>
      </c>
      <c r="B1319" s="0" t="s">
        <v>495</v>
      </c>
      <c r="C1319" s="0" t="s">
        <v>753</v>
      </c>
      <c r="D1319" s="0" t="n">
        <v>6</v>
      </c>
      <c r="E1319" s="0" t="n">
        <v>5</v>
      </c>
      <c r="F1319" s="0" t="n">
        <f aca="false">D1319*E1319</f>
        <v>30</v>
      </c>
      <c r="G1319" s="0" t="n">
        <f aca="false">ROUNDUP(F1319/75,0)</f>
        <v>1</v>
      </c>
    </row>
    <row r="1320" customFormat="false" ht="15" hidden="false" customHeight="false" outlineLevel="0" collapsed="false">
      <c r="A1320" s="0" t="s">
        <v>462</v>
      </c>
      <c r="B1320" s="0" t="s">
        <v>495</v>
      </c>
      <c r="C1320" s="0" t="s">
        <v>755</v>
      </c>
      <c r="D1320" s="0" t="n">
        <v>6</v>
      </c>
      <c r="E1320" s="0" t="n">
        <v>6</v>
      </c>
      <c r="F1320" s="0" t="n">
        <f aca="false">D1320*E1320</f>
        <v>36</v>
      </c>
      <c r="G1320" s="0" t="n">
        <f aca="false">ROUNDUP(F1320/75,0)</f>
        <v>1</v>
      </c>
    </row>
    <row r="1321" customFormat="false" ht="15" hidden="false" customHeight="false" outlineLevel="0" collapsed="false">
      <c r="A1321" s="0" t="s">
        <v>462</v>
      </c>
      <c r="B1321" s="0" t="s">
        <v>496</v>
      </c>
      <c r="C1321" s="0" t="s">
        <v>756</v>
      </c>
      <c r="D1321" s="0" t="n">
        <v>12</v>
      </c>
      <c r="E1321" s="0" t="n">
        <v>1</v>
      </c>
      <c r="F1321" s="0" t="n">
        <f aca="false">D1321*E1321</f>
        <v>12</v>
      </c>
      <c r="G1321" s="0" t="n">
        <f aca="false">ROUNDUP(F1321/75,0)</f>
        <v>1</v>
      </c>
    </row>
    <row r="1322" customFormat="false" ht="15" hidden="false" customHeight="false" outlineLevel="0" collapsed="false">
      <c r="A1322" s="0" t="s">
        <v>462</v>
      </c>
      <c r="B1322" s="0" t="s">
        <v>496</v>
      </c>
      <c r="C1322" s="0" t="s">
        <v>753</v>
      </c>
      <c r="D1322" s="0" t="n">
        <v>6</v>
      </c>
      <c r="E1322" s="0" t="n">
        <v>8</v>
      </c>
      <c r="F1322" s="0" t="n">
        <f aca="false">D1322*E1322</f>
        <v>48</v>
      </c>
      <c r="G1322" s="0" t="n">
        <f aca="false">ROUNDUP(F1322/75,0)</f>
        <v>1</v>
      </c>
    </row>
    <row r="1323" customFormat="false" ht="15" hidden="false" customHeight="false" outlineLevel="0" collapsed="false">
      <c r="A1323" s="0" t="s">
        <v>462</v>
      </c>
      <c r="B1323" s="0" t="s">
        <v>496</v>
      </c>
      <c r="C1323" s="0" t="s">
        <v>755</v>
      </c>
      <c r="D1323" s="0" t="n">
        <v>6</v>
      </c>
      <c r="E1323" s="0" t="n">
        <v>2</v>
      </c>
      <c r="F1323" s="0" t="n">
        <f aca="false">D1323*E1323</f>
        <v>12</v>
      </c>
      <c r="G1323" s="0" t="n">
        <f aca="false">ROUNDUP(F1323/75,0)</f>
        <v>1</v>
      </c>
    </row>
    <row r="1324" customFormat="false" ht="15" hidden="false" customHeight="false" outlineLevel="0" collapsed="false">
      <c r="A1324" s="0" t="s">
        <v>462</v>
      </c>
      <c r="B1324" s="0" t="s">
        <v>497</v>
      </c>
      <c r="C1324" s="0" t="s">
        <v>753</v>
      </c>
      <c r="D1324" s="0" t="n">
        <v>6</v>
      </c>
      <c r="E1324" s="0" t="n">
        <v>6</v>
      </c>
      <c r="F1324" s="0" t="n">
        <f aca="false">D1324*E1324</f>
        <v>36</v>
      </c>
      <c r="G1324" s="0" t="n">
        <f aca="false">ROUNDUP(F1324/75,0)</f>
        <v>1</v>
      </c>
    </row>
    <row r="1325" customFormat="false" ht="15" hidden="false" customHeight="false" outlineLevel="0" collapsed="false">
      <c r="A1325" s="0" t="s">
        <v>462</v>
      </c>
      <c r="B1325" s="0" t="s">
        <v>497</v>
      </c>
      <c r="C1325" s="0" t="s">
        <v>755</v>
      </c>
      <c r="D1325" s="0" t="n">
        <v>6</v>
      </c>
      <c r="E1325" s="0" t="n">
        <v>2</v>
      </c>
      <c r="F1325" s="0" t="n">
        <f aca="false">D1325*E1325</f>
        <v>12</v>
      </c>
      <c r="G1325" s="0" t="n">
        <f aca="false">ROUNDUP(F1325/75,0)</f>
        <v>1</v>
      </c>
    </row>
    <row r="1326" customFormat="false" ht="15" hidden="false" customHeight="false" outlineLevel="0" collapsed="false">
      <c r="A1326" s="0" t="s">
        <v>462</v>
      </c>
      <c r="B1326" s="0" t="s">
        <v>498</v>
      </c>
      <c r="C1326" s="0" t="s">
        <v>757</v>
      </c>
      <c r="D1326" s="0" t="n">
        <v>6</v>
      </c>
      <c r="E1326" s="0" t="n">
        <v>1</v>
      </c>
      <c r="F1326" s="0" t="n">
        <f aca="false">D1326*E1326</f>
        <v>6</v>
      </c>
      <c r="G1326" s="0" t="n">
        <f aca="false">ROUNDUP(F1326/75,0)</f>
        <v>1</v>
      </c>
    </row>
    <row r="1327" customFormat="false" ht="15" hidden="false" customHeight="false" outlineLevel="0" collapsed="false">
      <c r="A1327" s="0" t="s">
        <v>462</v>
      </c>
      <c r="B1327" s="0" t="s">
        <v>498</v>
      </c>
      <c r="C1327" s="0" t="s">
        <v>753</v>
      </c>
      <c r="D1327" s="0" t="n">
        <v>6</v>
      </c>
      <c r="E1327" s="0" t="n">
        <v>1</v>
      </c>
      <c r="F1327" s="0" t="n">
        <f aca="false">D1327*E1327</f>
        <v>6</v>
      </c>
      <c r="G1327" s="0" t="n">
        <f aca="false">ROUNDUP(F1327/75,0)</f>
        <v>1</v>
      </c>
    </row>
    <row r="1328" customFormat="false" ht="15" hidden="false" customHeight="false" outlineLevel="0" collapsed="false">
      <c r="A1328" s="0" t="s">
        <v>462</v>
      </c>
      <c r="B1328" s="0" t="s">
        <v>498</v>
      </c>
      <c r="C1328" s="0" t="s">
        <v>755</v>
      </c>
      <c r="D1328" s="0" t="n">
        <v>6</v>
      </c>
      <c r="E1328" s="0" t="n">
        <v>1</v>
      </c>
      <c r="F1328" s="0" t="n">
        <f aca="false">D1328*E1328</f>
        <v>6</v>
      </c>
      <c r="G1328" s="0" t="n">
        <f aca="false">ROUNDUP(F1328/75,0)</f>
        <v>1</v>
      </c>
    </row>
    <row r="1329" customFormat="false" ht="15" hidden="false" customHeight="false" outlineLevel="0" collapsed="false">
      <c r="A1329" s="0" t="s">
        <v>462</v>
      </c>
      <c r="B1329" s="0" t="s">
        <v>499</v>
      </c>
      <c r="C1329" s="0" t="s">
        <v>756</v>
      </c>
      <c r="D1329" s="0" t="n">
        <v>12</v>
      </c>
      <c r="E1329" s="0" t="n">
        <v>3</v>
      </c>
      <c r="F1329" s="0" t="n">
        <f aca="false">D1329*E1329</f>
        <v>36</v>
      </c>
      <c r="G1329" s="0" t="n">
        <f aca="false">ROUNDUP(F1329/75,0)</f>
        <v>1</v>
      </c>
    </row>
    <row r="1330" customFormat="false" ht="15" hidden="false" customHeight="false" outlineLevel="0" collapsed="false">
      <c r="A1330" s="0" t="s">
        <v>462</v>
      </c>
      <c r="B1330" s="0" t="s">
        <v>499</v>
      </c>
      <c r="C1330" s="0" t="s">
        <v>753</v>
      </c>
      <c r="D1330" s="0" t="n">
        <v>6</v>
      </c>
      <c r="E1330" s="0" t="n">
        <v>6</v>
      </c>
      <c r="F1330" s="0" t="n">
        <f aca="false">D1330*E1330</f>
        <v>36</v>
      </c>
      <c r="G1330" s="0" t="n">
        <f aca="false">ROUNDUP(F1330/75,0)</f>
        <v>1</v>
      </c>
    </row>
    <row r="1331" customFormat="false" ht="15" hidden="false" customHeight="false" outlineLevel="0" collapsed="false">
      <c r="A1331" s="0" t="s">
        <v>462</v>
      </c>
      <c r="B1331" s="0" t="s">
        <v>499</v>
      </c>
      <c r="C1331" s="0" t="s">
        <v>755</v>
      </c>
      <c r="D1331" s="0" t="n">
        <v>6</v>
      </c>
      <c r="E1331" s="0" t="n">
        <v>1</v>
      </c>
      <c r="F1331" s="0" t="n">
        <f aca="false">D1331*E1331</f>
        <v>6</v>
      </c>
      <c r="G1331" s="0" t="n">
        <f aca="false">ROUNDUP(F1331/75,0)</f>
        <v>1</v>
      </c>
    </row>
    <row r="1332" customFormat="false" ht="15" hidden="false" customHeight="false" outlineLevel="0" collapsed="false">
      <c r="A1332" s="0" t="s">
        <v>462</v>
      </c>
      <c r="B1332" s="0" t="s">
        <v>500</v>
      </c>
      <c r="C1332" s="0" t="s">
        <v>757</v>
      </c>
      <c r="D1332" s="0" t="n">
        <v>6</v>
      </c>
      <c r="E1332" s="0" t="n">
        <v>3</v>
      </c>
      <c r="F1332" s="0" t="n">
        <f aca="false">D1332*E1332</f>
        <v>18</v>
      </c>
      <c r="G1332" s="0" t="n">
        <f aca="false">ROUNDUP(F1332/75,0)</f>
        <v>1</v>
      </c>
    </row>
    <row r="1333" customFormat="false" ht="15" hidden="false" customHeight="false" outlineLevel="0" collapsed="false">
      <c r="A1333" s="0" t="s">
        <v>462</v>
      </c>
      <c r="B1333" s="0" t="s">
        <v>500</v>
      </c>
      <c r="C1333" s="0" t="s">
        <v>753</v>
      </c>
      <c r="D1333" s="0" t="n">
        <v>6</v>
      </c>
      <c r="E1333" s="0" t="n">
        <v>7</v>
      </c>
      <c r="F1333" s="0" t="n">
        <f aca="false">D1333*E1333</f>
        <v>42</v>
      </c>
      <c r="G1333" s="0" t="n">
        <f aca="false">ROUNDUP(F1333/75,0)</f>
        <v>1</v>
      </c>
    </row>
    <row r="1334" customFormat="false" ht="15" hidden="false" customHeight="false" outlineLevel="0" collapsed="false">
      <c r="A1334" s="0" t="s">
        <v>462</v>
      </c>
      <c r="B1334" s="0" t="s">
        <v>500</v>
      </c>
      <c r="C1334" s="0" t="s">
        <v>755</v>
      </c>
      <c r="D1334" s="0" t="n">
        <v>6</v>
      </c>
      <c r="E1334" s="0" t="n">
        <v>1</v>
      </c>
      <c r="F1334" s="0" t="n">
        <f aca="false">D1334*E1334</f>
        <v>6</v>
      </c>
      <c r="G1334" s="0" t="n">
        <f aca="false">ROUNDUP(F1334/75,0)</f>
        <v>1</v>
      </c>
    </row>
    <row r="1335" customFormat="false" ht="15" hidden="false" customHeight="false" outlineLevel="0" collapsed="false">
      <c r="A1335" s="0" t="s">
        <v>462</v>
      </c>
      <c r="B1335" s="0" t="s">
        <v>501</v>
      </c>
      <c r="C1335" s="0" t="s">
        <v>756</v>
      </c>
      <c r="D1335" s="0" t="n">
        <v>12</v>
      </c>
      <c r="E1335" s="0" t="n">
        <v>1</v>
      </c>
      <c r="F1335" s="0" t="n">
        <f aca="false">D1335*E1335</f>
        <v>12</v>
      </c>
      <c r="G1335" s="0" t="n">
        <f aca="false">ROUNDUP(F1335/75,0)</f>
        <v>1</v>
      </c>
    </row>
    <row r="1336" customFormat="false" ht="15" hidden="false" customHeight="false" outlineLevel="0" collapsed="false">
      <c r="A1336" s="0" t="s">
        <v>462</v>
      </c>
      <c r="B1336" s="0" t="s">
        <v>501</v>
      </c>
      <c r="C1336" s="0" t="s">
        <v>757</v>
      </c>
      <c r="D1336" s="0" t="n">
        <v>6</v>
      </c>
      <c r="E1336" s="0" t="n">
        <v>1</v>
      </c>
      <c r="F1336" s="0" t="n">
        <f aca="false">D1336*E1336</f>
        <v>6</v>
      </c>
      <c r="G1336" s="0" t="n">
        <f aca="false">ROUNDUP(F1336/75,0)</f>
        <v>1</v>
      </c>
    </row>
    <row r="1337" customFormat="false" ht="15" hidden="false" customHeight="false" outlineLevel="0" collapsed="false">
      <c r="A1337" s="0" t="s">
        <v>462</v>
      </c>
      <c r="B1337" s="0" t="s">
        <v>501</v>
      </c>
      <c r="C1337" s="0" t="s">
        <v>753</v>
      </c>
      <c r="D1337" s="0" t="n">
        <v>6</v>
      </c>
      <c r="E1337" s="0" t="n">
        <v>4</v>
      </c>
      <c r="F1337" s="0" t="n">
        <f aca="false">D1337*E1337</f>
        <v>24</v>
      </c>
      <c r="G1337" s="0" t="n">
        <f aca="false">ROUNDUP(F1337/75,0)</f>
        <v>1</v>
      </c>
    </row>
    <row r="1338" customFormat="false" ht="15" hidden="false" customHeight="false" outlineLevel="0" collapsed="false">
      <c r="A1338" s="0" t="s">
        <v>462</v>
      </c>
      <c r="B1338" s="0" t="s">
        <v>501</v>
      </c>
      <c r="C1338" s="0" t="s">
        <v>755</v>
      </c>
      <c r="D1338" s="0" t="n">
        <v>6</v>
      </c>
      <c r="E1338" s="0" t="n">
        <v>4</v>
      </c>
      <c r="F1338" s="0" t="n">
        <f aca="false">D1338*E1338</f>
        <v>24</v>
      </c>
      <c r="G1338" s="0" t="n">
        <f aca="false">ROUNDUP(F1338/75,0)</f>
        <v>1</v>
      </c>
    </row>
    <row r="1339" customFormat="false" ht="15" hidden="false" customHeight="false" outlineLevel="0" collapsed="false">
      <c r="A1339" s="0" t="s">
        <v>462</v>
      </c>
      <c r="B1339" s="0" t="s">
        <v>502</v>
      </c>
      <c r="C1339" s="0" t="s">
        <v>756</v>
      </c>
      <c r="D1339" s="0" t="n">
        <v>12</v>
      </c>
      <c r="E1339" s="0" t="n">
        <v>1</v>
      </c>
      <c r="F1339" s="0" t="n">
        <f aca="false">D1339*E1339</f>
        <v>12</v>
      </c>
      <c r="G1339" s="0" t="n">
        <f aca="false">ROUNDUP(F1339/75,0)</f>
        <v>1</v>
      </c>
    </row>
    <row r="1340" customFormat="false" ht="15" hidden="false" customHeight="false" outlineLevel="0" collapsed="false">
      <c r="A1340" s="0" t="s">
        <v>462</v>
      </c>
      <c r="B1340" s="0" t="s">
        <v>502</v>
      </c>
      <c r="C1340" s="0" t="s">
        <v>757</v>
      </c>
      <c r="D1340" s="0" t="n">
        <v>6</v>
      </c>
      <c r="E1340" s="0" t="n">
        <v>1</v>
      </c>
      <c r="F1340" s="0" t="n">
        <f aca="false">D1340*E1340</f>
        <v>6</v>
      </c>
      <c r="G1340" s="0" t="n">
        <f aca="false">ROUNDUP(F1340/75,0)</f>
        <v>1</v>
      </c>
    </row>
    <row r="1341" customFormat="false" ht="15" hidden="false" customHeight="false" outlineLevel="0" collapsed="false">
      <c r="A1341" s="0" t="s">
        <v>462</v>
      </c>
      <c r="B1341" s="0" t="s">
        <v>502</v>
      </c>
      <c r="C1341" s="0" t="s">
        <v>753</v>
      </c>
      <c r="D1341" s="0" t="n">
        <v>6</v>
      </c>
      <c r="E1341" s="0" t="n">
        <v>1</v>
      </c>
      <c r="F1341" s="0" t="n">
        <f aca="false">D1341*E1341</f>
        <v>6</v>
      </c>
      <c r="G1341" s="0" t="n">
        <f aca="false">ROUNDUP(F1341/75,0)</f>
        <v>1</v>
      </c>
    </row>
    <row r="1342" customFormat="false" ht="15" hidden="false" customHeight="false" outlineLevel="0" collapsed="false">
      <c r="A1342" s="0" t="s">
        <v>462</v>
      </c>
      <c r="B1342" s="0" t="s">
        <v>502</v>
      </c>
      <c r="C1342" s="0" t="s">
        <v>755</v>
      </c>
      <c r="D1342" s="0" t="n">
        <v>6</v>
      </c>
      <c r="E1342" s="0" t="n">
        <v>3</v>
      </c>
      <c r="F1342" s="0" t="n">
        <f aca="false">D1342*E1342</f>
        <v>18</v>
      </c>
      <c r="G1342" s="0" t="n">
        <f aca="false">ROUNDUP(F1342/75,0)</f>
        <v>1</v>
      </c>
    </row>
    <row r="1343" customFormat="false" ht="15" hidden="false" customHeight="false" outlineLevel="0" collapsed="false">
      <c r="A1343" s="0" t="s">
        <v>462</v>
      </c>
      <c r="B1343" s="0" t="s">
        <v>503</v>
      </c>
      <c r="C1343" s="0" t="s">
        <v>756</v>
      </c>
      <c r="D1343" s="0" t="n">
        <v>12</v>
      </c>
      <c r="E1343" s="0" t="n">
        <v>2</v>
      </c>
      <c r="F1343" s="0" t="n">
        <f aca="false">D1343*E1343</f>
        <v>24</v>
      </c>
      <c r="G1343" s="0" t="n">
        <f aca="false">ROUNDUP(F1343/75,0)</f>
        <v>1</v>
      </c>
    </row>
    <row r="1344" customFormat="false" ht="15" hidden="false" customHeight="false" outlineLevel="0" collapsed="false">
      <c r="A1344" s="0" t="s">
        <v>462</v>
      </c>
      <c r="B1344" s="0" t="s">
        <v>503</v>
      </c>
      <c r="C1344" s="0" t="s">
        <v>757</v>
      </c>
      <c r="D1344" s="0" t="n">
        <v>6</v>
      </c>
      <c r="E1344" s="0" t="n">
        <v>1</v>
      </c>
      <c r="F1344" s="0" t="n">
        <f aca="false">D1344*E1344</f>
        <v>6</v>
      </c>
      <c r="G1344" s="0" t="n">
        <f aca="false">ROUNDUP(F1344/75,0)</f>
        <v>1</v>
      </c>
    </row>
    <row r="1345" customFormat="false" ht="15" hidden="false" customHeight="false" outlineLevel="0" collapsed="false">
      <c r="A1345" s="0" t="s">
        <v>462</v>
      </c>
      <c r="B1345" s="0" t="s">
        <v>503</v>
      </c>
      <c r="C1345" s="0" t="s">
        <v>753</v>
      </c>
      <c r="D1345" s="0" t="n">
        <v>6</v>
      </c>
      <c r="E1345" s="0" t="n">
        <v>1</v>
      </c>
      <c r="F1345" s="0" t="n">
        <f aca="false">D1345*E1345</f>
        <v>6</v>
      </c>
      <c r="G1345" s="0" t="n">
        <f aca="false">ROUNDUP(F1345/75,0)</f>
        <v>1</v>
      </c>
    </row>
    <row r="1346" customFormat="false" ht="15" hidden="false" customHeight="false" outlineLevel="0" collapsed="false">
      <c r="A1346" s="0" t="s">
        <v>462</v>
      </c>
      <c r="B1346" s="0" t="s">
        <v>503</v>
      </c>
      <c r="C1346" s="0" t="s">
        <v>755</v>
      </c>
      <c r="D1346" s="0" t="n">
        <v>6</v>
      </c>
      <c r="E1346" s="0" t="n">
        <v>1</v>
      </c>
      <c r="F1346" s="0" t="n">
        <f aca="false">D1346*E1346</f>
        <v>6</v>
      </c>
      <c r="G1346" s="0" t="n">
        <f aca="false">ROUNDUP(F1346/75,0)</f>
        <v>1</v>
      </c>
    </row>
    <row r="1347" customFormat="false" ht="15" hidden="false" customHeight="false" outlineLevel="0" collapsed="false">
      <c r="A1347" s="0" t="s">
        <v>462</v>
      </c>
      <c r="B1347" s="0" t="s">
        <v>504</v>
      </c>
      <c r="C1347" s="0" t="s">
        <v>756</v>
      </c>
      <c r="D1347" s="0" t="n">
        <v>12</v>
      </c>
      <c r="E1347" s="0" t="n">
        <v>2</v>
      </c>
      <c r="F1347" s="0" t="n">
        <f aca="false">D1347*E1347</f>
        <v>24</v>
      </c>
      <c r="G1347" s="0" t="n">
        <f aca="false">ROUNDUP(F1347/75,0)</f>
        <v>1</v>
      </c>
    </row>
    <row r="1348" customFormat="false" ht="15" hidden="false" customHeight="false" outlineLevel="0" collapsed="false">
      <c r="A1348" s="0" t="s">
        <v>462</v>
      </c>
      <c r="B1348" s="0" t="s">
        <v>504</v>
      </c>
      <c r="C1348" s="0" t="s">
        <v>757</v>
      </c>
      <c r="D1348" s="0" t="n">
        <v>6</v>
      </c>
      <c r="E1348" s="0" t="n">
        <v>1</v>
      </c>
      <c r="F1348" s="0" t="n">
        <f aca="false">D1348*E1348</f>
        <v>6</v>
      </c>
      <c r="G1348" s="0" t="n">
        <f aca="false">ROUNDUP(F1348/75,0)</f>
        <v>1</v>
      </c>
    </row>
    <row r="1349" customFormat="false" ht="15" hidden="false" customHeight="false" outlineLevel="0" collapsed="false">
      <c r="A1349" s="0" t="s">
        <v>462</v>
      </c>
      <c r="B1349" s="0" t="s">
        <v>504</v>
      </c>
      <c r="C1349" s="0" t="s">
        <v>753</v>
      </c>
      <c r="D1349" s="0" t="n">
        <v>6</v>
      </c>
      <c r="E1349" s="0" t="n">
        <v>6</v>
      </c>
      <c r="F1349" s="0" t="n">
        <f aca="false">D1349*E1349</f>
        <v>36</v>
      </c>
      <c r="G1349" s="0" t="n">
        <f aca="false">ROUNDUP(F1349/75,0)</f>
        <v>1</v>
      </c>
    </row>
    <row r="1350" customFormat="false" ht="15" hidden="false" customHeight="false" outlineLevel="0" collapsed="false">
      <c r="A1350" s="0" t="s">
        <v>462</v>
      </c>
      <c r="B1350" s="0" t="s">
        <v>504</v>
      </c>
      <c r="C1350" s="0" t="s">
        <v>755</v>
      </c>
      <c r="D1350" s="0" t="n">
        <v>6</v>
      </c>
      <c r="E1350" s="0" t="n">
        <v>2</v>
      </c>
      <c r="F1350" s="0" t="n">
        <f aca="false">D1350*E1350</f>
        <v>12</v>
      </c>
      <c r="G1350" s="0" t="n">
        <f aca="false">ROUNDUP(F1350/75,0)</f>
        <v>1</v>
      </c>
    </row>
    <row r="1351" customFormat="false" ht="15" hidden="false" customHeight="false" outlineLevel="0" collapsed="false">
      <c r="A1351" s="0" t="s">
        <v>462</v>
      </c>
      <c r="B1351" s="0" t="s">
        <v>505</v>
      </c>
      <c r="C1351" s="0" t="s">
        <v>753</v>
      </c>
      <c r="D1351" s="0" t="n">
        <v>6</v>
      </c>
      <c r="E1351" s="0" t="n">
        <v>1</v>
      </c>
      <c r="F1351" s="0" t="n">
        <f aca="false">D1351*E1351</f>
        <v>6</v>
      </c>
      <c r="G1351" s="0" t="n">
        <f aca="false">ROUNDUP(F1351/75,0)</f>
        <v>1</v>
      </c>
    </row>
    <row r="1352" customFormat="false" ht="15" hidden="false" customHeight="false" outlineLevel="0" collapsed="false">
      <c r="A1352" s="0" t="s">
        <v>462</v>
      </c>
      <c r="B1352" s="0" t="s">
        <v>505</v>
      </c>
      <c r="C1352" s="0" t="s">
        <v>755</v>
      </c>
      <c r="D1352" s="0" t="n">
        <v>6</v>
      </c>
      <c r="E1352" s="0" t="n">
        <v>2</v>
      </c>
      <c r="F1352" s="0" t="n">
        <f aca="false">D1352*E1352</f>
        <v>12</v>
      </c>
      <c r="G1352" s="0" t="n">
        <f aca="false">ROUNDUP(F1352/75,0)</f>
        <v>1</v>
      </c>
    </row>
    <row r="1353" customFormat="false" ht="15" hidden="false" customHeight="false" outlineLevel="0" collapsed="false">
      <c r="A1353" s="0" t="s">
        <v>462</v>
      </c>
      <c r="B1353" s="0" t="s">
        <v>506</v>
      </c>
      <c r="C1353" s="0" t="s">
        <v>757</v>
      </c>
      <c r="D1353" s="0" t="n">
        <v>6</v>
      </c>
      <c r="E1353" s="0" t="n">
        <v>3</v>
      </c>
      <c r="F1353" s="0" t="n">
        <f aca="false">D1353*E1353</f>
        <v>18</v>
      </c>
      <c r="G1353" s="0" t="n">
        <f aca="false">ROUNDUP(F1353/75,0)</f>
        <v>1</v>
      </c>
    </row>
    <row r="1354" customFormat="false" ht="15" hidden="false" customHeight="false" outlineLevel="0" collapsed="false">
      <c r="A1354" s="0" t="s">
        <v>462</v>
      </c>
      <c r="B1354" s="0" t="s">
        <v>506</v>
      </c>
      <c r="C1354" s="0" t="s">
        <v>753</v>
      </c>
      <c r="D1354" s="0" t="n">
        <v>6</v>
      </c>
      <c r="E1354" s="0" t="n">
        <v>1</v>
      </c>
      <c r="F1354" s="0" t="n">
        <f aca="false">D1354*E1354</f>
        <v>6</v>
      </c>
      <c r="G1354" s="0" t="n">
        <f aca="false">ROUNDUP(F1354/75,0)</f>
        <v>1</v>
      </c>
    </row>
    <row r="1355" customFormat="false" ht="15" hidden="false" customHeight="false" outlineLevel="0" collapsed="false">
      <c r="A1355" s="0" t="s">
        <v>462</v>
      </c>
      <c r="B1355" s="0" t="s">
        <v>506</v>
      </c>
      <c r="C1355" s="0" t="s">
        <v>755</v>
      </c>
      <c r="D1355" s="0" t="n">
        <v>6</v>
      </c>
      <c r="E1355" s="0" t="n">
        <v>2</v>
      </c>
      <c r="F1355" s="0" t="n">
        <f aca="false">D1355*E1355</f>
        <v>12</v>
      </c>
      <c r="G1355" s="0" t="n">
        <f aca="false">ROUNDUP(F1355/75,0)</f>
        <v>1</v>
      </c>
    </row>
    <row r="1356" customFormat="false" ht="15" hidden="false" customHeight="false" outlineLevel="0" collapsed="false">
      <c r="A1356" s="0" t="s">
        <v>462</v>
      </c>
      <c r="B1356" s="0" t="s">
        <v>507</v>
      </c>
      <c r="C1356" s="0" t="s">
        <v>757</v>
      </c>
      <c r="D1356" s="0" t="n">
        <v>6</v>
      </c>
      <c r="E1356" s="0" t="n">
        <v>1</v>
      </c>
      <c r="F1356" s="0" t="n">
        <f aca="false">D1356*E1356</f>
        <v>6</v>
      </c>
      <c r="G1356" s="0" t="n">
        <f aca="false">ROUNDUP(F1356/75,0)</f>
        <v>1</v>
      </c>
    </row>
    <row r="1357" customFormat="false" ht="15" hidden="false" customHeight="false" outlineLevel="0" collapsed="false">
      <c r="A1357" s="0" t="s">
        <v>462</v>
      </c>
      <c r="B1357" s="0" t="s">
        <v>507</v>
      </c>
      <c r="C1357" s="0" t="s">
        <v>753</v>
      </c>
      <c r="D1357" s="0" t="n">
        <v>6</v>
      </c>
      <c r="E1357" s="0" t="n">
        <v>5</v>
      </c>
      <c r="F1357" s="0" t="n">
        <f aca="false">D1357*E1357</f>
        <v>30</v>
      </c>
      <c r="G1357" s="0" t="n">
        <f aca="false">ROUNDUP(F1357/75,0)</f>
        <v>1</v>
      </c>
    </row>
    <row r="1358" customFormat="false" ht="15" hidden="false" customHeight="false" outlineLevel="0" collapsed="false">
      <c r="A1358" s="0" t="s">
        <v>462</v>
      </c>
      <c r="B1358" s="0" t="s">
        <v>507</v>
      </c>
      <c r="C1358" s="0" t="s">
        <v>755</v>
      </c>
      <c r="D1358" s="0" t="n">
        <v>6</v>
      </c>
      <c r="E1358" s="0" t="n">
        <v>3</v>
      </c>
      <c r="F1358" s="0" t="n">
        <f aca="false">D1358*E1358</f>
        <v>18</v>
      </c>
      <c r="G1358" s="0" t="n">
        <f aca="false">ROUNDUP(F1358/75,0)</f>
        <v>1</v>
      </c>
    </row>
    <row r="1359" customFormat="false" ht="15" hidden="false" customHeight="false" outlineLevel="0" collapsed="false">
      <c r="A1359" s="0" t="s">
        <v>462</v>
      </c>
      <c r="B1359" s="0" t="s">
        <v>508</v>
      </c>
      <c r="C1359" s="0" t="s">
        <v>756</v>
      </c>
      <c r="D1359" s="0" t="n">
        <v>12</v>
      </c>
      <c r="E1359" s="0" t="n">
        <v>3</v>
      </c>
      <c r="F1359" s="0" t="n">
        <f aca="false">D1359*E1359</f>
        <v>36</v>
      </c>
      <c r="G1359" s="0" t="n">
        <f aca="false">ROUNDUP(F1359/75,0)</f>
        <v>1</v>
      </c>
    </row>
    <row r="1360" customFormat="false" ht="15" hidden="false" customHeight="false" outlineLevel="0" collapsed="false">
      <c r="A1360" s="0" t="s">
        <v>462</v>
      </c>
      <c r="B1360" s="0" t="s">
        <v>508</v>
      </c>
      <c r="C1360" s="0" t="s">
        <v>753</v>
      </c>
      <c r="D1360" s="0" t="n">
        <v>6</v>
      </c>
      <c r="E1360" s="0" t="n">
        <v>1</v>
      </c>
      <c r="F1360" s="0" t="n">
        <f aca="false">D1360*E1360</f>
        <v>6</v>
      </c>
      <c r="G1360" s="0" t="n">
        <f aca="false">ROUNDUP(F1360/75,0)</f>
        <v>1</v>
      </c>
    </row>
    <row r="1361" customFormat="false" ht="15" hidden="false" customHeight="false" outlineLevel="0" collapsed="false">
      <c r="A1361" s="0" t="s">
        <v>462</v>
      </c>
      <c r="B1361" s="0" t="s">
        <v>508</v>
      </c>
      <c r="C1361" s="0" t="s">
        <v>755</v>
      </c>
      <c r="D1361" s="0" t="n">
        <v>6</v>
      </c>
      <c r="E1361" s="0" t="n">
        <v>3</v>
      </c>
      <c r="F1361" s="0" t="n">
        <f aca="false">D1361*E1361</f>
        <v>18</v>
      </c>
      <c r="G1361" s="0" t="n">
        <f aca="false">ROUNDUP(F1361/75,0)</f>
        <v>1</v>
      </c>
    </row>
    <row r="1362" customFormat="false" ht="15" hidden="false" customHeight="false" outlineLevel="0" collapsed="false">
      <c r="A1362" s="0" t="s">
        <v>462</v>
      </c>
      <c r="B1362" s="0" t="s">
        <v>509</v>
      </c>
      <c r="C1362" s="0" t="s">
        <v>753</v>
      </c>
      <c r="D1362" s="0" t="n">
        <v>6</v>
      </c>
      <c r="E1362" s="0" t="n">
        <v>3</v>
      </c>
      <c r="F1362" s="0" t="n">
        <f aca="false">D1362*E1362</f>
        <v>18</v>
      </c>
      <c r="G1362" s="0" t="n">
        <f aca="false">ROUNDUP(F1362/75,0)</f>
        <v>1</v>
      </c>
    </row>
    <row r="1363" customFormat="false" ht="15" hidden="false" customHeight="false" outlineLevel="0" collapsed="false">
      <c r="A1363" s="0" t="s">
        <v>462</v>
      </c>
      <c r="B1363" s="0" t="s">
        <v>509</v>
      </c>
      <c r="C1363" s="0" t="s">
        <v>755</v>
      </c>
      <c r="D1363" s="0" t="n">
        <v>6</v>
      </c>
      <c r="E1363" s="0" t="n">
        <v>2</v>
      </c>
      <c r="F1363" s="0" t="n">
        <f aca="false">D1363*E1363</f>
        <v>12</v>
      </c>
      <c r="G1363" s="0" t="n">
        <f aca="false">ROUNDUP(F1363/75,0)</f>
        <v>1</v>
      </c>
    </row>
    <row r="1364" customFormat="false" ht="15" hidden="false" customHeight="false" outlineLevel="0" collapsed="false">
      <c r="A1364" s="0" t="s">
        <v>462</v>
      </c>
      <c r="B1364" s="0" t="s">
        <v>510</v>
      </c>
      <c r="C1364" s="0" t="s">
        <v>756</v>
      </c>
      <c r="D1364" s="0" t="n">
        <v>12</v>
      </c>
      <c r="E1364" s="0" t="n">
        <v>2</v>
      </c>
      <c r="F1364" s="0" t="n">
        <f aca="false">D1364*E1364</f>
        <v>24</v>
      </c>
      <c r="G1364" s="0" t="n">
        <f aca="false">ROUNDUP(F1364/75,0)</f>
        <v>1</v>
      </c>
    </row>
    <row r="1365" customFormat="false" ht="15" hidden="false" customHeight="false" outlineLevel="0" collapsed="false">
      <c r="A1365" s="0" t="s">
        <v>462</v>
      </c>
      <c r="B1365" s="0" t="s">
        <v>510</v>
      </c>
      <c r="C1365" s="0" t="s">
        <v>757</v>
      </c>
      <c r="D1365" s="0" t="n">
        <v>6</v>
      </c>
      <c r="E1365" s="0" t="n">
        <v>2</v>
      </c>
      <c r="F1365" s="0" t="n">
        <f aca="false">D1365*E1365</f>
        <v>12</v>
      </c>
      <c r="G1365" s="0" t="n">
        <f aca="false">ROUNDUP(F1365/75,0)</f>
        <v>1</v>
      </c>
    </row>
    <row r="1366" customFormat="false" ht="15" hidden="false" customHeight="false" outlineLevel="0" collapsed="false">
      <c r="A1366" s="0" t="s">
        <v>462</v>
      </c>
      <c r="B1366" s="0" t="s">
        <v>510</v>
      </c>
      <c r="C1366" s="0" t="s">
        <v>753</v>
      </c>
      <c r="D1366" s="0" t="n">
        <v>6</v>
      </c>
      <c r="E1366" s="0" t="n">
        <v>2</v>
      </c>
      <c r="F1366" s="0" t="n">
        <f aca="false">D1366*E1366</f>
        <v>12</v>
      </c>
      <c r="G1366" s="0" t="n">
        <f aca="false">ROUNDUP(F1366/75,0)</f>
        <v>1</v>
      </c>
    </row>
    <row r="1367" customFormat="false" ht="15" hidden="false" customHeight="false" outlineLevel="0" collapsed="false">
      <c r="A1367" s="0" t="s">
        <v>462</v>
      </c>
      <c r="B1367" s="0" t="s">
        <v>511</v>
      </c>
      <c r="C1367" s="0" t="s">
        <v>753</v>
      </c>
      <c r="D1367" s="0" t="n">
        <v>6</v>
      </c>
      <c r="E1367" s="0" t="n">
        <v>2</v>
      </c>
      <c r="F1367" s="0" t="n">
        <f aca="false">D1367*E1367</f>
        <v>12</v>
      </c>
      <c r="G1367" s="0" t="n">
        <f aca="false">ROUNDUP(F1367/75,0)</f>
        <v>1</v>
      </c>
    </row>
    <row r="1368" customFormat="false" ht="15" hidden="false" customHeight="false" outlineLevel="0" collapsed="false">
      <c r="A1368" s="0" t="s">
        <v>462</v>
      </c>
      <c r="B1368" s="0" t="s">
        <v>511</v>
      </c>
      <c r="C1368" s="0" t="s">
        <v>755</v>
      </c>
      <c r="D1368" s="0" t="n">
        <v>6</v>
      </c>
      <c r="E1368" s="0" t="n">
        <v>6</v>
      </c>
      <c r="F1368" s="0" t="n">
        <f aca="false">D1368*E1368</f>
        <v>36</v>
      </c>
      <c r="G1368" s="0" t="n">
        <f aca="false">ROUNDUP(F1368/75,0)</f>
        <v>1</v>
      </c>
    </row>
    <row r="1369" customFormat="false" ht="15" hidden="false" customHeight="false" outlineLevel="0" collapsed="false">
      <c r="A1369" s="0" t="s">
        <v>462</v>
      </c>
      <c r="B1369" s="0" t="s">
        <v>512</v>
      </c>
      <c r="C1369" s="0" t="s">
        <v>756</v>
      </c>
      <c r="D1369" s="0" t="n">
        <v>12</v>
      </c>
      <c r="E1369" s="0" t="n">
        <v>3</v>
      </c>
      <c r="F1369" s="0" t="n">
        <f aca="false">D1369*E1369</f>
        <v>36</v>
      </c>
      <c r="G1369" s="0" t="n">
        <f aca="false">ROUNDUP(F1369/75,0)</f>
        <v>1</v>
      </c>
    </row>
    <row r="1370" customFormat="false" ht="15" hidden="false" customHeight="false" outlineLevel="0" collapsed="false">
      <c r="A1370" s="0" t="s">
        <v>462</v>
      </c>
      <c r="B1370" s="0" t="s">
        <v>512</v>
      </c>
      <c r="C1370" s="0" t="s">
        <v>753</v>
      </c>
      <c r="D1370" s="0" t="n">
        <v>6</v>
      </c>
      <c r="E1370" s="0" t="n">
        <v>9</v>
      </c>
      <c r="F1370" s="0" t="n">
        <f aca="false">D1370*E1370</f>
        <v>54</v>
      </c>
      <c r="G1370" s="0" t="n">
        <f aca="false">ROUNDUP(F1370/75,0)</f>
        <v>1</v>
      </c>
    </row>
    <row r="1371" customFormat="false" ht="15" hidden="false" customHeight="false" outlineLevel="0" collapsed="false">
      <c r="A1371" s="0" t="s">
        <v>462</v>
      </c>
      <c r="B1371" s="0" t="s">
        <v>512</v>
      </c>
      <c r="C1371" s="0" t="s">
        <v>755</v>
      </c>
      <c r="D1371" s="0" t="n">
        <v>6</v>
      </c>
      <c r="E1371" s="0" t="n">
        <v>2</v>
      </c>
      <c r="F1371" s="0" t="n">
        <f aca="false">D1371*E1371</f>
        <v>12</v>
      </c>
      <c r="G1371" s="0" t="n">
        <f aca="false">ROUNDUP(F1371/75,0)</f>
        <v>1</v>
      </c>
    </row>
    <row r="1372" customFormat="false" ht="15" hidden="false" customHeight="false" outlineLevel="0" collapsed="false">
      <c r="A1372" s="0" t="s">
        <v>462</v>
      </c>
      <c r="B1372" s="0" t="s">
        <v>513</v>
      </c>
      <c r="C1372" s="0" t="s">
        <v>756</v>
      </c>
      <c r="D1372" s="0" t="n">
        <v>12</v>
      </c>
      <c r="E1372" s="0" t="n">
        <v>1</v>
      </c>
      <c r="F1372" s="0" t="n">
        <f aca="false">D1372*E1372</f>
        <v>12</v>
      </c>
      <c r="G1372" s="0" t="n">
        <f aca="false">ROUNDUP(F1372/75,0)</f>
        <v>1</v>
      </c>
    </row>
    <row r="1373" customFormat="false" ht="15" hidden="false" customHeight="false" outlineLevel="0" collapsed="false">
      <c r="A1373" s="0" t="s">
        <v>462</v>
      </c>
      <c r="B1373" s="0" t="s">
        <v>513</v>
      </c>
      <c r="C1373" s="0" t="s">
        <v>757</v>
      </c>
      <c r="D1373" s="0" t="n">
        <v>6</v>
      </c>
      <c r="E1373" s="0" t="n">
        <v>1</v>
      </c>
      <c r="F1373" s="0" t="n">
        <f aca="false">D1373*E1373</f>
        <v>6</v>
      </c>
      <c r="G1373" s="0" t="n">
        <f aca="false">ROUNDUP(F1373/75,0)</f>
        <v>1</v>
      </c>
    </row>
    <row r="1374" customFormat="false" ht="15" hidden="false" customHeight="false" outlineLevel="0" collapsed="false">
      <c r="A1374" s="0" t="s">
        <v>462</v>
      </c>
      <c r="B1374" s="0" t="s">
        <v>513</v>
      </c>
      <c r="C1374" s="0" t="s">
        <v>753</v>
      </c>
      <c r="D1374" s="0" t="n">
        <v>6</v>
      </c>
      <c r="E1374" s="0" t="n">
        <v>6</v>
      </c>
      <c r="F1374" s="0" t="n">
        <f aca="false">D1374*E1374</f>
        <v>36</v>
      </c>
      <c r="G1374" s="0" t="n">
        <f aca="false">ROUNDUP(F1374/75,0)</f>
        <v>1</v>
      </c>
    </row>
    <row r="1375" customFormat="false" ht="15" hidden="false" customHeight="false" outlineLevel="0" collapsed="false">
      <c r="A1375" s="0" t="s">
        <v>462</v>
      </c>
      <c r="B1375" s="0" t="s">
        <v>514</v>
      </c>
      <c r="C1375" s="0" t="s">
        <v>756</v>
      </c>
      <c r="D1375" s="0" t="n">
        <v>12</v>
      </c>
      <c r="E1375" s="0" t="n">
        <v>5</v>
      </c>
      <c r="F1375" s="0" t="n">
        <f aca="false">D1375*E1375</f>
        <v>60</v>
      </c>
      <c r="G1375" s="0" t="n">
        <f aca="false">ROUNDUP(F1375/75,0)</f>
        <v>1</v>
      </c>
    </row>
    <row r="1376" customFormat="false" ht="15" hidden="false" customHeight="false" outlineLevel="0" collapsed="false">
      <c r="A1376" s="0" t="s">
        <v>462</v>
      </c>
      <c r="B1376" s="0" t="s">
        <v>514</v>
      </c>
      <c r="C1376" s="0" t="s">
        <v>753</v>
      </c>
      <c r="D1376" s="0" t="n">
        <v>6</v>
      </c>
      <c r="E1376" s="0" t="n">
        <v>2</v>
      </c>
      <c r="F1376" s="0" t="n">
        <f aca="false">D1376*E1376</f>
        <v>12</v>
      </c>
      <c r="G1376" s="0" t="n">
        <f aca="false">ROUNDUP(F1376/75,0)</f>
        <v>1</v>
      </c>
    </row>
    <row r="1377" customFormat="false" ht="15" hidden="false" customHeight="false" outlineLevel="0" collapsed="false">
      <c r="A1377" s="0" t="s">
        <v>462</v>
      </c>
      <c r="B1377" s="0" t="s">
        <v>514</v>
      </c>
      <c r="C1377" s="0" t="s">
        <v>755</v>
      </c>
      <c r="D1377" s="0" t="n">
        <v>6</v>
      </c>
      <c r="E1377" s="0" t="n">
        <v>2.5</v>
      </c>
      <c r="F1377" s="0" t="n">
        <f aca="false">D1377*E1377</f>
        <v>15</v>
      </c>
      <c r="G1377" s="0" t="n">
        <f aca="false">ROUNDUP(F1377/75,0)</f>
        <v>1</v>
      </c>
    </row>
    <row r="1378" customFormat="false" ht="15" hidden="false" customHeight="false" outlineLevel="0" collapsed="false">
      <c r="A1378" s="0" t="s">
        <v>462</v>
      </c>
      <c r="B1378" s="0" t="s">
        <v>515</v>
      </c>
      <c r="C1378" s="0" t="s">
        <v>756</v>
      </c>
      <c r="D1378" s="0" t="n">
        <v>12</v>
      </c>
      <c r="E1378" s="0" t="n">
        <v>4</v>
      </c>
      <c r="F1378" s="0" t="n">
        <f aca="false">D1378*E1378</f>
        <v>48</v>
      </c>
      <c r="G1378" s="0" t="n">
        <f aca="false">ROUNDUP(F1378/75,0)</f>
        <v>1</v>
      </c>
    </row>
    <row r="1379" customFormat="false" ht="15" hidden="false" customHeight="false" outlineLevel="0" collapsed="false">
      <c r="A1379" s="0" t="s">
        <v>462</v>
      </c>
      <c r="B1379" s="0" t="s">
        <v>515</v>
      </c>
      <c r="C1379" s="0" t="s">
        <v>753</v>
      </c>
      <c r="D1379" s="0" t="n">
        <v>6</v>
      </c>
      <c r="E1379" s="0" t="n">
        <v>6</v>
      </c>
      <c r="F1379" s="0" t="n">
        <f aca="false">D1379*E1379</f>
        <v>36</v>
      </c>
      <c r="G1379" s="0" t="n">
        <f aca="false">ROUNDUP(F1379/75,0)</f>
        <v>1</v>
      </c>
    </row>
    <row r="1380" customFormat="false" ht="15" hidden="false" customHeight="false" outlineLevel="0" collapsed="false">
      <c r="A1380" s="0" t="s">
        <v>462</v>
      </c>
      <c r="B1380" s="0" t="s">
        <v>515</v>
      </c>
      <c r="C1380" s="0" t="s">
        <v>755</v>
      </c>
      <c r="D1380" s="0" t="n">
        <v>6</v>
      </c>
      <c r="E1380" s="0" t="n">
        <v>7</v>
      </c>
      <c r="F1380" s="0" t="n">
        <f aca="false">D1380*E1380</f>
        <v>42</v>
      </c>
      <c r="G1380" s="0" t="n">
        <f aca="false">ROUNDUP(F1380/75,0)</f>
        <v>1</v>
      </c>
    </row>
    <row r="1381" customFormat="false" ht="15" hidden="false" customHeight="false" outlineLevel="0" collapsed="false">
      <c r="A1381" s="0" t="s">
        <v>462</v>
      </c>
      <c r="B1381" s="0" t="s">
        <v>516</v>
      </c>
      <c r="C1381" s="0" t="s">
        <v>756</v>
      </c>
      <c r="D1381" s="0" t="n">
        <v>12</v>
      </c>
      <c r="E1381" s="0" t="n">
        <v>5</v>
      </c>
      <c r="F1381" s="0" t="n">
        <f aca="false">D1381*E1381</f>
        <v>60</v>
      </c>
      <c r="G1381" s="0" t="n">
        <f aca="false">ROUNDUP(F1381/75,0)</f>
        <v>1</v>
      </c>
    </row>
    <row r="1382" customFormat="false" ht="15" hidden="false" customHeight="false" outlineLevel="0" collapsed="false">
      <c r="A1382" s="0" t="s">
        <v>462</v>
      </c>
      <c r="B1382" s="0" t="s">
        <v>516</v>
      </c>
      <c r="C1382" s="0" t="s">
        <v>755</v>
      </c>
      <c r="D1382" s="0" t="n">
        <v>6</v>
      </c>
      <c r="E1382" s="0" t="n">
        <v>1</v>
      </c>
      <c r="F1382" s="0" t="n">
        <f aca="false">D1382*E1382</f>
        <v>6</v>
      </c>
      <c r="G1382" s="0" t="n">
        <f aca="false">ROUNDUP(F1382/75,0)</f>
        <v>1</v>
      </c>
    </row>
    <row r="1383" customFormat="false" ht="15" hidden="false" customHeight="false" outlineLevel="0" collapsed="false">
      <c r="A1383" s="0" t="s">
        <v>462</v>
      </c>
      <c r="B1383" s="0" t="s">
        <v>517</v>
      </c>
      <c r="C1383" s="0" t="s">
        <v>757</v>
      </c>
      <c r="D1383" s="0" t="n">
        <v>6</v>
      </c>
      <c r="E1383" s="0" t="n">
        <v>1</v>
      </c>
      <c r="F1383" s="0" t="n">
        <f aca="false">D1383*E1383</f>
        <v>6</v>
      </c>
      <c r="G1383" s="0" t="n">
        <f aca="false">ROUNDUP(F1383/75,0)</f>
        <v>1</v>
      </c>
    </row>
    <row r="1384" customFormat="false" ht="15" hidden="false" customHeight="false" outlineLevel="0" collapsed="false">
      <c r="A1384" s="0" t="s">
        <v>462</v>
      </c>
      <c r="B1384" s="0" t="s">
        <v>517</v>
      </c>
      <c r="C1384" s="0" t="s">
        <v>753</v>
      </c>
      <c r="D1384" s="0" t="n">
        <v>6</v>
      </c>
      <c r="E1384" s="0" t="n">
        <v>4</v>
      </c>
      <c r="F1384" s="0" t="n">
        <f aca="false">D1384*E1384</f>
        <v>24</v>
      </c>
      <c r="G1384" s="0" t="n">
        <f aca="false">ROUNDUP(F1384/75,0)</f>
        <v>1</v>
      </c>
    </row>
    <row r="1385" customFormat="false" ht="15" hidden="false" customHeight="false" outlineLevel="0" collapsed="false">
      <c r="A1385" s="0" t="s">
        <v>462</v>
      </c>
      <c r="B1385" s="0" t="s">
        <v>517</v>
      </c>
      <c r="C1385" s="0" t="s">
        <v>755</v>
      </c>
      <c r="D1385" s="0" t="n">
        <v>6</v>
      </c>
      <c r="E1385" s="0" t="n">
        <v>2</v>
      </c>
      <c r="F1385" s="0" t="n">
        <f aca="false">D1385*E1385</f>
        <v>12</v>
      </c>
      <c r="G1385" s="0" t="n">
        <f aca="false">ROUNDUP(F1385/75,0)</f>
        <v>1</v>
      </c>
    </row>
    <row r="1386" customFormat="false" ht="15" hidden="false" customHeight="false" outlineLevel="0" collapsed="false">
      <c r="A1386" s="0" t="s">
        <v>462</v>
      </c>
      <c r="B1386" s="0" t="s">
        <v>518</v>
      </c>
      <c r="C1386" s="0" t="s">
        <v>756</v>
      </c>
      <c r="D1386" s="0" t="n">
        <v>12</v>
      </c>
      <c r="E1386" s="0" t="n">
        <v>2</v>
      </c>
      <c r="F1386" s="0" t="n">
        <f aca="false">D1386*E1386</f>
        <v>24</v>
      </c>
      <c r="G1386" s="0" t="n">
        <f aca="false">ROUNDUP(F1386/75,0)</f>
        <v>1</v>
      </c>
    </row>
    <row r="1387" customFormat="false" ht="15" hidden="false" customHeight="false" outlineLevel="0" collapsed="false">
      <c r="A1387" s="0" t="s">
        <v>462</v>
      </c>
      <c r="B1387" s="0" t="s">
        <v>518</v>
      </c>
      <c r="C1387" s="0" t="s">
        <v>757</v>
      </c>
      <c r="D1387" s="0" t="n">
        <v>6</v>
      </c>
      <c r="E1387" s="0" t="n">
        <v>1</v>
      </c>
      <c r="F1387" s="0" t="n">
        <f aca="false">D1387*E1387</f>
        <v>6</v>
      </c>
      <c r="G1387" s="0" t="n">
        <f aca="false">ROUNDUP(F1387/75,0)</f>
        <v>1</v>
      </c>
    </row>
    <row r="1388" customFormat="false" ht="15" hidden="false" customHeight="false" outlineLevel="0" collapsed="false">
      <c r="A1388" s="0" t="s">
        <v>462</v>
      </c>
      <c r="B1388" s="0" t="s">
        <v>518</v>
      </c>
      <c r="C1388" s="0" t="s">
        <v>753</v>
      </c>
      <c r="D1388" s="0" t="n">
        <v>6</v>
      </c>
      <c r="E1388" s="0" t="n">
        <v>4</v>
      </c>
      <c r="F1388" s="0" t="n">
        <f aca="false">D1388*E1388</f>
        <v>24</v>
      </c>
      <c r="G1388" s="0" t="n">
        <f aca="false">ROUNDUP(F1388/75,0)</f>
        <v>1</v>
      </c>
    </row>
    <row r="1389" customFormat="false" ht="15" hidden="false" customHeight="false" outlineLevel="0" collapsed="false">
      <c r="A1389" s="0" t="s">
        <v>462</v>
      </c>
      <c r="B1389" s="0" t="s">
        <v>518</v>
      </c>
      <c r="C1389" s="0" t="s">
        <v>755</v>
      </c>
      <c r="D1389" s="0" t="n">
        <v>6</v>
      </c>
      <c r="E1389" s="0" t="n">
        <v>1</v>
      </c>
      <c r="F1389" s="0" t="n">
        <f aca="false">D1389*E1389</f>
        <v>6</v>
      </c>
      <c r="G1389" s="0" t="n">
        <f aca="false">ROUNDUP(F1389/75,0)</f>
        <v>1</v>
      </c>
    </row>
    <row r="1390" customFormat="false" ht="15" hidden="false" customHeight="false" outlineLevel="0" collapsed="false">
      <c r="A1390" s="0" t="s">
        <v>462</v>
      </c>
      <c r="B1390" s="0" t="s">
        <v>519</v>
      </c>
      <c r="C1390" s="0" t="s">
        <v>757</v>
      </c>
      <c r="D1390" s="0" t="n">
        <v>6</v>
      </c>
      <c r="E1390" s="0" t="n">
        <v>1</v>
      </c>
      <c r="F1390" s="0" t="n">
        <f aca="false">D1390*E1390</f>
        <v>6</v>
      </c>
      <c r="G1390" s="0" t="n">
        <f aca="false">ROUNDUP(F1390/75,0)</f>
        <v>1</v>
      </c>
    </row>
    <row r="1391" customFormat="false" ht="15" hidden="false" customHeight="false" outlineLevel="0" collapsed="false">
      <c r="A1391" s="0" t="s">
        <v>462</v>
      </c>
      <c r="B1391" s="0" t="s">
        <v>519</v>
      </c>
      <c r="C1391" s="0" t="s">
        <v>753</v>
      </c>
      <c r="D1391" s="0" t="n">
        <v>6</v>
      </c>
      <c r="E1391" s="0" t="n">
        <v>11</v>
      </c>
      <c r="F1391" s="0" t="n">
        <f aca="false">D1391*E1391</f>
        <v>66</v>
      </c>
      <c r="G1391" s="0" t="n">
        <f aca="false">ROUNDUP(F1391/75,0)</f>
        <v>1</v>
      </c>
    </row>
    <row r="1392" customFormat="false" ht="15" hidden="false" customHeight="false" outlineLevel="0" collapsed="false">
      <c r="A1392" s="0" t="s">
        <v>462</v>
      </c>
      <c r="B1392" s="0" t="s">
        <v>519</v>
      </c>
      <c r="C1392" s="0" t="s">
        <v>755</v>
      </c>
      <c r="D1392" s="0" t="n">
        <v>6</v>
      </c>
      <c r="E1392" s="0" t="n">
        <v>4</v>
      </c>
      <c r="F1392" s="0" t="n">
        <f aca="false">D1392*E1392</f>
        <v>24</v>
      </c>
      <c r="G1392" s="0" t="n">
        <f aca="false">ROUNDUP(F1392/75,0)</f>
        <v>1</v>
      </c>
    </row>
    <row r="1393" customFormat="false" ht="15" hidden="false" customHeight="false" outlineLevel="0" collapsed="false">
      <c r="A1393" s="0" t="s">
        <v>462</v>
      </c>
      <c r="B1393" s="0" t="s">
        <v>520</v>
      </c>
      <c r="C1393" s="0" t="s">
        <v>756</v>
      </c>
      <c r="D1393" s="0" t="n">
        <v>12</v>
      </c>
      <c r="E1393" s="0" t="n">
        <v>1</v>
      </c>
      <c r="F1393" s="0" t="n">
        <f aca="false">D1393*E1393</f>
        <v>12</v>
      </c>
      <c r="G1393" s="0" t="n">
        <f aca="false">ROUNDUP(F1393/75,0)</f>
        <v>1</v>
      </c>
    </row>
    <row r="1394" customFormat="false" ht="15" hidden="false" customHeight="false" outlineLevel="0" collapsed="false">
      <c r="A1394" s="0" t="s">
        <v>462</v>
      </c>
      <c r="B1394" s="0" t="s">
        <v>520</v>
      </c>
      <c r="C1394" s="0" t="s">
        <v>757</v>
      </c>
      <c r="D1394" s="0" t="n">
        <v>6</v>
      </c>
      <c r="E1394" s="0" t="n">
        <v>1</v>
      </c>
      <c r="F1394" s="0" t="n">
        <f aca="false">D1394*E1394</f>
        <v>6</v>
      </c>
      <c r="G1394" s="0" t="n">
        <f aca="false">ROUNDUP(F1394/75,0)</f>
        <v>1</v>
      </c>
    </row>
    <row r="1395" customFormat="false" ht="15" hidden="false" customHeight="false" outlineLevel="0" collapsed="false">
      <c r="A1395" s="0" t="s">
        <v>462</v>
      </c>
      <c r="B1395" s="0" t="s">
        <v>520</v>
      </c>
      <c r="C1395" s="0" t="s">
        <v>753</v>
      </c>
      <c r="D1395" s="0" t="n">
        <v>6</v>
      </c>
      <c r="E1395" s="0" t="n">
        <v>4</v>
      </c>
      <c r="F1395" s="0" t="n">
        <f aca="false">D1395*E1395</f>
        <v>24</v>
      </c>
      <c r="G1395" s="0" t="n">
        <f aca="false">ROUNDUP(F1395/75,0)</f>
        <v>1</v>
      </c>
    </row>
    <row r="1396" customFormat="false" ht="15" hidden="false" customHeight="false" outlineLevel="0" collapsed="false">
      <c r="A1396" s="0" t="s">
        <v>462</v>
      </c>
      <c r="B1396" s="0" t="s">
        <v>520</v>
      </c>
      <c r="C1396" s="0" t="s">
        <v>755</v>
      </c>
      <c r="D1396" s="0" t="n">
        <v>6</v>
      </c>
      <c r="E1396" s="0" t="n">
        <v>4</v>
      </c>
      <c r="F1396" s="0" t="n">
        <f aca="false">D1396*E1396</f>
        <v>24</v>
      </c>
      <c r="G1396" s="0" t="n">
        <f aca="false">ROUNDUP(F1396/75,0)</f>
        <v>1</v>
      </c>
    </row>
    <row r="1397" customFormat="false" ht="15" hidden="false" customHeight="false" outlineLevel="0" collapsed="false">
      <c r="A1397" s="0" t="s">
        <v>462</v>
      </c>
      <c r="B1397" s="0" t="s">
        <v>521</v>
      </c>
      <c r="C1397" s="0" t="s">
        <v>756</v>
      </c>
      <c r="D1397" s="0" t="n">
        <v>12</v>
      </c>
      <c r="E1397" s="0" t="n">
        <v>1</v>
      </c>
      <c r="F1397" s="0" t="n">
        <f aca="false">D1397*E1397</f>
        <v>12</v>
      </c>
      <c r="G1397" s="0" t="n">
        <f aca="false">ROUNDUP(F1397/75,0)</f>
        <v>1</v>
      </c>
    </row>
    <row r="1398" customFormat="false" ht="15" hidden="false" customHeight="false" outlineLevel="0" collapsed="false">
      <c r="A1398" s="0" t="s">
        <v>462</v>
      </c>
      <c r="B1398" s="0" t="s">
        <v>521</v>
      </c>
      <c r="C1398" s="0" t="s">
        <v>757</v>
      </c>
      <c r="D1398" s="0" t="n">
        <v>6</v>
      </c>
      <c r="E1398" s="0" t="n">
        <v>1</v>
      </c>
      <c r="F1398" s="0" t="n">
        <f aca="false">D1398*E1398</f>
        <v>6</v>
      </c>
      <c r="G1398" s="0" t="n">
        <f aca="false">ROUNDUP(F1398/75,0)</f>
        <v>1</v>
      </c>
    </row>
    <row r="1399" customFormat="false" ht="15" hidden="false" customHeight="false" outlineLevel="0" collapsed="false">
      <c r="A1399" s="0" t="s">
        <v>462</v>
      </c>
      <c r="B1399" s="0" t="s">
        <v>521</v>
      </c>
      <c r="C1399" s="0" t="s">
        <v>753</v>
      </c>
      <c r="D1399" s="0" t="n">
        <v>6</v>
      </c>
      <c r="E1399" s="0" t="n">
        <v>2</v>
      </c>
      <c r="F1399" s="0" t="n">
        <f aca="false">D1399*E1399</f>
        <v>12</v>
      </c>
      <c r="G1399" s="0" t="n">
        <f aca="false">ROUNDUP(F1399/75,0)</f>
        <v>1</v>
      </c>
    </row>
    <row r="1400" customFormat="false" ht="15" hidden="false" customHeight="false" outlineLevel="0" collapsed="false">
      <c r="A1400" s="0" t="s">
        <v>462</v>
      </c>
      <c r="B1400" s="0" t="s">
        <v>521</v>
      </c>
      <c r="C1400" s="0" t="s">
        <v>755</v>
      </c>
      <c r="D1400" s="0" t="n">
        <v>6</v>
      </c>
      <c r="E1400" s="0" t="n">
        <v>3</v>
      </c>
      <c r="F1400" s="0" t="n">
        <f aca="false">D1400*E1400</f>
        <v>18</v>
      </c>
      <c r="G1400" s="0" t="n">
        <f aca="false">ROUNDUP(F1400/75,0)</f>
        <v>1</v>
      </c>
    </row>
    <row r="1401" customFormat="false" ht="15" hidden="false" customHeight="false" outlineLevel="0" collapsed="false">
      <c r="A1401" s="0" t="s">
        <v>462</v>
      </c>
      <c r="B1401" s="0" t="s">
        <v>522</v>
      </c>
      <c r="C1401" s="0" t="s">
        <v>756</v>
      </c>
      <c r="D1401" s="0" t="n">
        <v>12</v>
      </c>
      <c r="E1401" s="0" t="n">
        <v>2</v>
      </c>
      <c r="F1401" s="0" t="n">
        <f aca="false">D1401*E1401</f>
        <v>24</v>
      </c>
      <c r="G1401" s="0" t="n">
        <f aca="false">ROUNDUP(F1401/75,0)</f>
        <v>1</v>
      </c>
    </row>
    <row r="1402" customFormat="false" ht="15" hidden="false" customHeight="false" outlineLevel="0" collapsed="false">
      <c r="A1402" s="0" t="s">
        <v>462</v>
      </c>
      <c r="B1402" s="0" t="s">
        <v>522</v>
      </c>
      <c r="C1402" s="0" t="s">
        <v>757</v>
      </c>
      <c r="D1402" s="0" t="n">
        <v>6</v>
      </c>
      <c r="E1402" s="0" t="n">
        <v>3</v>
      </c>
      <c r="F1402" s="0" t="n">
        <f aca="false">D1402*E1402</f>
        <v>18</v>
      </c>
      <c r="G1402" s="0" t="n">
        <f aca="false">ROUNDUP(F1402/75,0)</f>
        <v>1</v>
      </c>
    </row>
    <row r="1403" customFormat="false" ht="15" hidden="false" customHeight="false" outlineLevel="0" collapsed="false">
      <c r="A1403" s="0" t="s">
        <v>462</v>
      </c>
      <c r="B1403" s="0" t="s">
        <v>522</v>
      </c>
      <c r="C1403" s="0" t="s">
        <v>753</v>
      </c>
      <c r="D1403" s="0" t="n">
        <v>6</v>
      </c>
      <c r="E1403" s="0" t="n">
        <v>1</v>
      </c>
      <c r="F1403" s="0" t="n">
        <f aca="false">D1403*E1403</f>
        <v>6</v>
      </c>
      <c r="G1403" s="0" t="n">
        <f aca="false">ROUNDUP(F1403/75,0)</f>
        <v>1</v>
      </c>
    </row>
    <row r="1404" customFormat="false" ht="15" hidden="false" customHeight="false" outlineLevel="0" collapsed="false">
      <c r="A1404" s="0" t="s">
        <v>462</v>
      </c>
      <c r="B1404" s="0" t="s">
        <v>523</v>
      </c>
      <c r="C1404" s="0" t="s">
        <v>756</v>
      </c>
      <c r="D1404" s="0" t="n">
        <v>12</v>
      </c>
      <c r="E1404" s="0" t="n">
        <v>1</v>
      </c>
      <c r="F1404" s="0" t="n">
        <f aca="false">D1404*E1404</f>
        <v>12</v>
      </c>
      <c r="G1404" s="0" t="n">
        <f aca="false">ROUNDUP(F1404/75,0)</f>
        <v>1</v>
      </c>
    </row>
    <row r="1405" customFormat="false" ht="15" hidden="false" customHeight="false" outlineLevel="0" collapsed="false">
      <c r="A1405" s="0" t="s">
        <v>462</v>
      </c>
      <c r="B1405" s="0" t="s">
        <v>523</v>
      </c>
      <c r="C1405" s="0" t="s">
        <v>757</v>
      </c>
      <c r="D1405" s="0" t="n">
        <v>6</v>
      </c>
      <c r="E1405" s="0" t="n">
        <v>2</v>
      </c>
      <c r="F1405" s="0" t="n">
        <f aca="false">D1405*E1405</f>
        <v>12</v>
      </c>
      <c r="G1405" s="0" t="n">
        <f aca="false">ROUNDUP(F1405/75,0)</f>
        <v>1</v>
      </c>
    </row>
    <row r="1406" customFormat="false" ht="15" hidden="false" customHeight="false" outlineLevel="0" collapsed="false">
      <c r="A1406" s="0" t="s">
        <v>462</v>
      </c>
      <c r="B1406" s="0" t="s">
        <v>523</v>
      </c>
      <c r="C1406" s="0" t="s">
        <v>753</v>
      </c>
      <c r="D1406" s="0" t="n">
        <v>6</v>
      </c>
      <c r="E1406" s="0" t="n">
        <v>2</v>
      </c>
      <c r="F1406" s="0" t="n">
        <f aca="false">D1406*E1406</f>
        <v>12</v>
      </c>
      <c r="G1406" s="0" t="n">
        <f aca="false">ROUNDUP(F1406/75,0)</f>
        <v>1</v>
      </c>
    </row>
    <row r="1407" customFormat="false" ht="15" hidden="false" customHeight="false" outlineLevel="0" collapsed="false">
      <c r="A1407" s="0" t="s">
        <v>462</v>
      </c>
      <c r="B1407" s="0" t="s">
        <v>523</v>
      </c>
      <c r="C1407" s="0" t="s">
        <v>755</v>
      </c>
      <c r="D1407" s="0" t="n">
        <v>6</v>
      </c>
      <c r="E1407" s="0" t="n">
        <v>3</v>
      </c>
      <c r="F1407" s="0" t="n">
        <f aca="false">D1407*E1407</f>
        <v>18</v>
      </c>
      <c r="G1407" s="0" t="n">
        <f aca="false">ROUNDUP(F1407/75,0)</f>
        <v>1</v>
      </c>
    </row>
    <row r="1408" customFormat="false" ht="15" hidden="false" customHeight="false" outlineLevel="0" collapsed="false">
      <c r="A1408" s="0" t="s">
        <v>462</v>
      </c>
      <c r="B1408" s="0" t="s">
        <v>524</v>
      </c>
      <c r="C1408" s="0" t="s">
        <v>756</v>
      </c>
      <c r="D1408" s="0" t="n">
        <v>12</v>
      </c>
      <c r="E1408" s="0" t="n">
        <v>2</v>
      </c>
      <c r="F1408" s="0" t="n">
        <f aca="false">D1408*E1408</f>
        <v>24</v>
      </c>
      <c r="G1408" s="0" t="n">
        <f aca="false">ROUNDUP(F1408/75,0)</f>
        <v>1</v>
      </c>
    </row>
    <row r="1409" customFormat="false" ht="15" hidden="false" customHeight="false" outlineLevel="0" collapsed="false">
      <c r="A1409" s="0" t="s">
        <v>462</v>
      </c>
      <c r="B1409" s="0" t="s">
        <v>524</v>
      </c>
      <c r="C1409" s="0" t="s">
        <v>753</v>
      </c>
      <c r="D1409" s="0" t="n">
        <v>6</v>
      </c>
      <c r="E1409" s="0" t="n">
        <v>1</v>
      </c>
      <c r="F1409" s="0" t="n">
        <f aca="false">D1409*E1409</f>
        <v>6</v>
      </c>
      <c r="G1409" s="0" t="n">
        <f aca="false">ROUNDUP(F1409/75,0)</f>
        <v>1</v>
      </c>
    </row>
    <row r="1410" customFormat="false" ht="15" hidden="false" customHeight="false" outlineLevel="0" collapsed="false">
      <c r="A1410" s="0" t="s">
        <v>462</v>
      </c>
      <c r="B1410" s="0" t="s">
        <v>524</v>
      </c>
      <c r="C1410" s="0" t="s">
        <v>755</v>
      </c>
      <c r="D1410" s="0" t="n">
        <v>6</v>
      </c>
      <c r="E1410" s="0" t="n">
        <v>3</v>
      </c>
      <c r="F1410" s="0" t="n">
        <f aca="false">D1410*E1410</f>
        <v>18</v>
      </c>
      <c r="G1410" s="0" t="n">
        <f aca="false">ROUNDUP(F1410/75,0)</f>
        <v>1</v>
      </c>
    </row>
    <row r="1411" customFormat="false" ht="15" hidden="false" customHeight="false" outlineLevel="0" collapsed="false">
      <c r="A1411" s="0" t="s">
        <v>462</v>
      </c>
      <c r="B1411" s="0" t="s">
        <v>525</v>
      </c>
      <c r="C1411" s="0" t="s">
        <v>757</v>
      </c>
      <c r="D1411" s="0" t="n">
        <v>6</v>
      </c>
      <c r="E1411" s="0" t="n">
        <v>4</v>
      </c>
      <c r="F1411" s="0" t="n">
        <f aca="false">D1411*E1411</f>
        <v>24</v>
      </c>
      <c r="G1411" s="0" t="n">
        <f aca="false">ROUNDUP(F1411/75,0)</f>
        <v>1</v>
      </c>
    </row>
    <row r="1412" customFormat="false" ht="15" hidden="false" customHeight="false" outlineLevel="0" collapsed="false">
      <c r="A1412" s="0" t="s">
        <v>462</v>
      </c>
      <c r="B1412" s="0" t="s">
        <v>525</v>
      </c>
      <c r="C1412" s="0" t="s">
        <v>753</v>
      </c>
      <c r="D1412" s="0" t="n">
        <v>6</v>
      </c>
      <c r="E1412" s="0" t="n">
        <v>9</v>
      </c>
      <c r="F1412" s="0" t="n">
        <f aca="false">D1412*E1412</f>
        <v>54</v>
      </c>
      <c r="G1412" s="0" t="n">
        <f aca="false">ROUNDUP(F1412/75,0)</f>
        <v>1</v>
      </c>
    </row>
    <row r="1413" customFormat="false" ht="15" hidden="false" customHeight="false" outlineLevel="0" collapsed="false">
      <c r="A1413" s="0" t="s">
        <v>462</v>
      </c>
      <c r="B1413" s="0" t="s">
        <v>525</v>
      </c>
      <c r="C1413" s="0" t="s">
        <v>755</v>
      </c>
      <c r="D1413" s="0" t="n">
        <v>6</v>
      </c>
      <c r="E1413" s="0" t="n">
        <v>5</v>
      </c>
      <c r="F1413" s="0" t="n">
        <f aca="false">D1413*E1413</f>
        <v>30</v>
      </c>
      <c r="G1413" s="0" t="n">
        <f aca="false">ROUNDUP(F1413/75,0)</f>
        <v>1</v>
      </c>
    </row>
    <row r="1414" customFormat="false" ht="15" hidden="false" customHeight="false" outlineLevel="0" collapsed="false">
      <c r="A1414" s="0" t="s">
        <v>462</v>
      </c>
      <c r="B1414" s="0" t="s">
        <v>526</v>
      </c>
      <c r="C1414" s="0" t="s">
        <v>756</v>
      </c>
      <c r="D1414" s="0" t="n">
        <v>12</v>
      </c>
      <c r="E1414" s="0" t="n">
        <v>2</v>
      </c>
      <c r="F1414" s="0" t="n">
        <f aca="false">D1414*E1414</f>
        <v>24</v>
      </c>
      <c r="G1414" s="0" t="n">
        <f aca="false">ROUNDUP(F1414/75,0)</f>
        <v>1</v>
      </c>
    </row>
    <row r="1415" customFormat="false" ht="15" hidden="false" customHeight="false" outlineLevel="0" collapsed="false">
      <c r="A1415" s="0" t="s">
        <v>462</v>
      </c>
      <c r="B1415" s="0" t="s">
        <v>526</v>
      </c>
      <c r="C1415" s="0" t="s">
        <v>757</v>
      </c>
      <c r="D1415" s="0" t="n">
        <v>6</v>
      </c>
      <c r="E1415" s="0" t="n">
        <v>1</v>
      </c>
      <c r="F1415" s="0" t="n">
        <f aca="false">D1415*E1415</f>
        <v>6</v>
      </c>
      <c r="G1415" s="0" t="n">
        <f aca="false">ROUNDUP(F1415/75,0)</f>
        <v>1</v>
      </c>
    </row>
    <row r="1416" customFormat="false" ht="15" hidden="false" customHeight="false" outlineLevel="0" collapsed="false">
      <c r="A1416" s="0" t="s">
        <v>462</v>
      </c>
      <c r="B1416" s="0" t="s">
        <v>526</v>
      </c>
      <c r="C1416" s="0" t="s">
        <v>753</v>
      </c>
      <c r="D1416" s="0" t="n">
        <v>6</v>
      </c>
      <c r="E1416" s="0" t="n">
        <v>1</v>
      </c>
      <c r="F1416" s="0" t="n">
        <f aca="false">D1416*E1416</f>
        <v>6</v>
      </c>
      <c r="G1416" s="0" t="n">
        <f aca="false">ROUNDUP(F1416/75,0)</f>
        <v>1</v>
      </c>
    </row>
    <row r="1417" customFormat="false" ht="15" hidden="false" customHeight="false" outlineLevel="0" collapsed="false">
      <c r="A1417" s="0" t="s">
        <v>462</v>
      </c>
      <c r="B1417" s="0" t="s">
        <v>526</v>
      </c>
      <c r="C1417" s="0" t="s">
        <v>755</v>
      </c>
      <c r="D1417" s="0" t="n">
        <v>6</v>
      </c>
      <c r="E1417" s="0" t="n">
        <v>1</v>
      </c>
      <c r="F1417" s="0" t="n">
        <f aca="false">D1417*E1417</f>
        <v>6</v>
      </c>
      <c r="G1417" s="0" t="n">
        <f aca="false">ROUNDUP(F1417/75,0)</f>
        <v>1</v>
      </c>
    </row>
    <row r="1418" customFormat="false" ht="15" hidden="false" customHeight="false" outlineLevel="0" collapsed="false">
      <c r="A1418" s="0" t="s">
        <v>462</v>
      </c>
      <c r="B1418" s="0" t="s">
        <v>527</v>
      </c>
      <c r="C1418" s="0" t="s">
        <v>756</v>
      </c>
      <c r="D1418" s="0" t="n">
        <v>12</v>
      </c>
      <c r="E1418" s="0" t="n">
        <v>2</v>
      </c>
      <c r="F1418" s="0" t="n">
        <f aca="false">D1418*E1418</f>
        <v>24</v>
      </c>
      <c r="G1418" s="0" t="n">
        <f aca="false">ROUNDUP(F1418/75,0)</f>
        <v>1</v>
      </c>
    </row>
    <row r="1419" customFormat="false" ht="15" hidden="false" customHeight="false" outlineLevel="0" collapsed="false">
      <c r="A1419" s="0" t="s">
        <v>462</v>
      </c>
      <c r="B1419" s="0" t="s">
        <v>527</v>
      </c>
      <c r="C1419" s="0" t="s">
        <v>757</v>
      </c>
      <c r="D1419" s="0" t="n">
        <v>6</v>
      </c>
      <c r="E1419" s="0" t="n">
        <v>4</v>
      </c>
      <c r="F1419" s="0" t="n">
        <f aca="false">D1419*E1419</f>
        <v>24</v>
      </c>
      <c r="G1419" s="0" t="n">
        <f aca="false">ROUNDUP(F1419/75,0)</f>
        <v>1</v>
      </c>
    </row>
    <row r="1420" customFormat="false" ht="15" hidden="false" customHeight="false" outlineLevel="0" collapsed="false">
      <c r="A1420" s="0" t="s">
        <v>462</v>
      </c>
      <c r="B1420" s="0" t="s">
        <v>527</v>
      </c>
      <c r="C1420" s="0" t="s">
        <v>753</v>
      </c>
      <c r="D1420" s="0" t="n">
        <v>6</v>
      </c>
      <c r="E1420" s="0" t="n">
        <v>3</v>
      </c>
      <c r="F1420" s="0" t="n">
        <f aca="false">D1420*E1420</f>
        <v>18</v>
      </c>
      <c r="G1420" s="0" t="n">
        <f aca="false">ROUNDUP(F1420/75,0)</f>
        <v>1</v>
      </c>
    </row>
    <row r="1421" customFormat="false" ht="15" hidden="false" customHeight="false" outlineLevel="0" collapsed="false">
      <c r="A1421" s="0" t="s">
        <v>462</v>
      </c>
      <c r="B1421" s="0" t="s">
        <v>527</v>
      </c>
      <c r="C1421" s="0" t="s">
        <v>755</v>
      </c>
      <c r="D1421" s="0" t="n">
        <v>6</v>
      </c>
      <c r="E1421" s="0" t="n">
        <v>4</v>
      </c>
      <c r="F1421" s="0" t="n">
        <f aca="false">D1421*E1421</f>
        <v>24</v>
      </c>
      <c r="G1421" s="0" t="n">
        <f aca="false">ROUNDUP(F1421/75,0)</f>
        <v>1</v>
      </c>
    </row>
    <row r="1422" customFormat="false" ht="15" hidden="false" customHeight="false" outlineLevel="0" collapsed="false">
      <c r="A1422" s="0" t="s">
        <v>462</v>
      </c>
      <c r="B1422" s="0" t="s">
        <v>528</v>
      </c>
      <c r="C1422" s="0" t="s">
        <v>757</v>
      </c>
      <c r="D1422" s="0" t="n">
        <v>6</v>
      </c>
      <c r="E1422" s="0" t="n">
        <v>1</v>
      </c>
      <c r="F1422" s="0" t="n">
        <f aca="false">D1422*E1422</f>
        <v>6</v>
      </c>
      <c r="G1422" s="0" t="n">
        <f aca="false">ROUNDUP(F1422/75,0)</f>
        <v>1</v>
      </c>
    </row>
    <row r="1423" customFormat="false" ht="15" hidden="false" customHeight="false" outlineLevel="0" collapsed="false">
      <c r="A1423" s="0" t="s">
        <v>462</v>
      </c>
      <c r="B1423" s="0" t="s">
        <v>528</v>
      </c>
      <c r="C1423" s="0" t="s">
        <v>753</v>
      </c>
      <c r="D1423" s="0" t="n">
        <v>6</v>
      </c>
      <c r="E1423" s="0" t="n">
        <v>2</v>
      </c>
      <c r="F1423" s="0" t="n">
        <f aca="false">D1423*E1423</f>
        <v>12</v>
      </c>
      <c r="G1423" s="0" t="n">
        <f aca="false">ROUNDUP(F1423/75,0)</f>
        <v>1</v>
      </c>
    </row>
    <row r="1424" customFormat="false" ht="15" hidden="false" customHeight="false" outlineLevel="0" collapsed="false">
      <c r="A1424" s="0" t="s">
        <v>462</v>
      </c>
      <c r="B1424" s="0" t="s">
        <v>528</v>
      </c>
      <c r="C1424" s="0" t="s">
        <v>755</v>
      </c>
      <c r="D1424" s="0" t="n">
        <v>6</v>
      </c>
      <c r="E1424" s="0" t="n">
        <v>1</v>
      </c>
      <c r="F1424" s="0" t="n">
        <f aca="false">D1424*E1424</f>
        <v>6</v>
      </c>
      <c r="G1424" s="0" t="n">
        <f aca="false">ROUNDUP(F1424/75,0)</f>
        <v>1</v>
      </c>
    </row>
    <row r="1425" customFormat="false" ht="15" hidden="false" customHeight="false" outlineLevel="0" collapsed="false">
      <c r="A1425" s="0" t="s">
        <v>462</v>
      </c>
      <c r="B1425" s="0" t="s">
        <v>529</v>
      </c>
      <c r="C1425" s="0" t="s">
        <v>757</v>
      </c>
      <c r="D1425" s="0" t="n">
        <v>6</v>
      </c>
      <c r="E1425" s="0" t="n">
        <v>3</v>
      </c>
      <c r="F1425" s="0" t="n">
        <f aca="false">D1425*E1425</f>
        <v>18</v>
      </c>
      <c r="G1425" s="0" t="n">
        <f aca="false">ROUNDUP(F1425/75,0)</f>
        <v>1</v>
      </c>
    </row>
    <row r="1426" customFormat="false" ht="15" hidden="false" customHeight="false" outlineLevel="0" collapsed="false">
      <c r="A1426" s="0" t="s">
        <v>462</v>
      </c>
      <c r="B1426" s="0" t="s">
        <v>529</v>
      </c>
      <c r="C1426" s="0" t="s">
        <v>753</v>
      </c>
      <c r="D1426" s="0" t="n">
        <v>6</v>
      </c>
      <c r="E1426" s="0" t="n">
        <v>7</v>
      </c>
      <c r="F1426" s="0" t="n">
        <f aca="false">D1426*E1426</f>
        <v>42</v>
      </c>
      <c r="G1426" s="0" t="n">
        <f aca="false">ROUNDUP(F1426/75,0)</f>
        <v>1</v>
      </c>
    </row>
    <row r="1427" customFormat="false" ht="15" hidden="false" customHeight="false" outlineLevel="0" collapsed="false">
      <c r="A1427" s="0" t="s">
        <v>462</v>
      </c>
      <c r="B1427" s="0" t="s">
        <v>529</v>
      </c>
      <c r="C1427" s="0" t="s">
        <v>755</v>
      </c>
      <c r="D1427" s="0" t="n">
        <v>6</v>
      </c>
      <c r="E1427" s="0" t="n">
        <v>4</v>
      </c>
      <c r="F1427" s="0" t="n">
        <f aca="false">D1427*E1427</f>
        <v>24</v>
      </c>
      <c r="G1427" s="0" t="n">
        <f aca="false">ROUNDUP(F1427/75,0)</f>
        <v>1</v>
      </c>
    </row>
    <row r="1428" customFormat="false" ht="15" hidden="false" customHeight="false" outlineLevel="0" collapsed="false">
      <c r="A1428" s="0" t="s">
        <v>462</v>
      </c>
      <c r="B1428" s="0" t="s">
        <v>530</v>
      </c>
      <c r="C1428" s="0" t="s">
        <v>756</v>
      </c>
      <c r="D1428" s="0" t="n">
        <v>12</v>
      </c>
      <c r="E1428" s="0" t="n">
        <v>4</v>
      </c>
      <c r="F1428" s="0" t="n">
        <f aca="false">D1428*E1428</f>
        <v>48</v>
      </c>
      <c r="G1428" s="0" t="n">
        <f aca="false">ROUNDUP(F1428/75,0)</f>
        <v>1</v>
      </c>
    </row>
    <row r="1429" customFormat="false" ht="15" hidden="false" customHeight="false" outlineLevel="0" collapsed="false">
      <c r="A1429" s="0" t="s">
        <v>462</v>
      </c>
      <c r="B1429" s="0" t="s">
        <v>530</v>
      </c>
      <c r="C1429" s="0" t="s">
        <v>757</v>
      </c>
      <c r="D1429" s="0" t="n">
        <v>6</v>
      </c>
      <c r="E1429" s="0" t="n">
        <v>6</v>
      </c>
      <c r="F1429" s="0" t="n">
        <f aca="false">D1429*E1429</f>
        <v>36</v>
      </c>
      <c r="G1429" s="0" t="n">
        <f aca="false">ROUNDUP(F1429/75,0)</f>
        <v>1</v>
      </c>
    </row>
    <row r="1430" customFormat="false" ht="15" hidden="false" customHeight="false" outlineLevel="0" collapsed="false">
      <c r="A1430" s="0" t="s">
        <v>462</v>
      </c>
      <c r="B1430" s="0" t="s">
        <v>530</v>
      </c>
      <c r="C1430" s="0" t="s">
        <v>753</v>
      </c>
      <c r="D1430" s="0" t="n">
        <v>6</v>
      </c>
      <c r="E1430" s="0" t="n">
        <v>4</v>
      </c>
      <c r="F1430" s="0" t="n">
        <f aca="false">D1430*E1430</f>
        <v>24</v>
      </c>
      <c r="G1430" s="0" t="n">
        <f aca="false">ROUNDUP(F1430/75,0)</f>
        <v>1</v>
      </c>
    </row>
    <row r="1431" customFormat="false" ht="15" hidden="false" customHeight="false" outlineLevel="0" collapsed="false">
      <c r="A1431" s="0" t="s">
        <v>462</v>
      </c>
      <c r="B1431" s="0" t="s">
        <v>530</v>
      </c>
      <c r="C1431" s="0" t="s">
        <v>755</v>
      </c>
      <c r="D1431" s="0" t="n">
        <v>6</v>
      </c>
      <c r="E1431" s="0" t="n">
        <v>1</v>
      </c>
      <c r="F1431" s="0" t="n">
        <f aca="false">D1431*E1431</f>
        <v>6</v>
      </c>
      <c r="G1431" s="0" t="n">
        <f aca="false">ROUNDUP(F1431/75,0)</f>
        <v>1</v>
      </c>
    </row>
    <row r="1432" customFormat="false" ht="15" hidden="false" customHeight="false" outlineLevel="0" collapsed="false">
      <c r="A1432" s="0" t="s">
        <v>462</v>
      </c>
      <c r="B1432" s="0" t="s">
        <v>531</v>
      </c>
      <c r="C1432" s="0" t="s">
        <v>756</v>
      </c>
      <c r="D1432" s="0" t="n">
        <v>12</v>
      </c>
      <c r="E1432" s="0" t="n">
        <v>5</v>
      </c>
      <c r="F1432" s="0" t="n">
        <f aca="false">D1432*E1432</f>
        <v>60</v>
      </c>
      <c r="G1432" s="0" t="n">
        <f aca="false">ROUNDUP(F1432/75,0)</f>
        <v>1</v>
      </c>
    </row>
    <row r="1433" customFormat="false" ht="15" hidden="false" customHeight="false" outlineLevel="0" collapsed="false">
      <c r="A1433" s="0" t="s">
        <v>462</v>
      </c>
      <c r="B1433" s="0" t="s">
        <v>531</v>
      </c>
      <c r="C1433" s="0" t="s">
        <v>757</v>
      </c>
      <c r="D1433" s="0" t="n">
        <v>6</v>
      </c>
      <c r="E1433" s="0" t="n">
        <v>2</v>
      </c>
      <c r="F1433" s="0" t="n">
        <f aca="false">D1433*E1433</f>
        <v>12</v>
      </c>
      <c r="G1433" s="0" t="n">
        <f aca="false">ROUNDUP(F1433/75,0)</f>
        <v>1</v>
      </c>
    </row>
    <row r="1434" customFormat="false" ht="15" hidden="false" customHeight="false" outlineLevel="0" collapsed="false">
      <c r="A1434" s="0" t="s">
        <v>462</v>
      </c>
      <c r="B1434" s="0" t="s">
        <v>531</v>
      </c>
      <c r="C1434" s="0" t="s">
        <v>753</v>
      </c>
      <c r="D1434" s="0" t="n">
        <v>6</v>
      </c>
      <c r="E1434" s="0" t="n">
        <v>3</v>
      </c>
      <c r="F1434" s="0" t="n">
        <f aca="false">D1434*E1434</f>
        <v>18</v>
      </c>
      <c r="G1434" s="0" t="n">
        <f aca="false">ROUNDUP(F1434/75,0)</f>
        <v>1</v>
      </c>
    </row>
    <row r="1435" customFormat="false" ht="15" hidden="false" customHeight="false" outlineLevel="0" collapsed="false">
      <c r="A1435" s="0" t="s">
        <v>462</v>
      </c>
      <c r="B1435" s="0" t="s">
        <v>532</v>
      </c>
      <c r="C1435" s="0" t="s">
        <v>756</v>
      </c>
      <c r="D1435" s="0" t="n">
        <v>12</v>
      </c>
      <c r="E1435" s="0" t="n">
        <v>3</v>
      </c>
      <c r="F1435" s="0" t="n">
        <f aca="false">D1435*E1435</f>
        <v>36</v>
      </c>
      <c r="G1435" s="0" t="n">
        <f aca="false">ROUNDUP(F1435/75,0)</f>
        <v>1</v>
      </c>
    </row>
    <row r="1436" customFormat="false" ht="15" hidden="false" customHeight="false" outlineLevel="0" collapsed="false">
      <c r="A1436" s="0" t="s">
        <v>462</v>
      </c>
      <c r="B1436" s="0" t="s">
        <v>532</v>
      </c>
      <c r="C1436" s="0" t="s">
        <v>757</v>
      </c>
      <c r="D1436" s="0" t="n">
        <v>6</v>
      </c>
      <c r="E1436" s="0" t="n">
        <v>2</v>
      </c>
      <c r="F1436" s="0" t="n">
        <f aca="false">D1436*E1436</f>
        <v>12</v>
      </c>
      <c r="G1436" s="0" t="n">
        <f aca="false">ROUNDUP(F1436/75,0)</f>
        <v>1</v>
      </c>
    </row>
    <row r="1437" customFormat="false" ht="15" hidden="false" customHeight="false" outlineLevel="0" collapsed="false">
      <c r="A1437" s="0" t="s">
        <v>462</v>
      </c>
      <c r="B1437" s="0" t="s">
        <v>532</v>
      </c>
      <c r="C1437" s="0" t="s">
        <v>753</v>
      </c>
      <c r="D1437" s="0" t="n">
        <v>6</v>
      </c>
      <c r="E1437" s="0" t="n">
        <v>4</v>
      </c>
      <c r="F1437" s="0" t="n">
        <f aca="false">D1437*E1437</f>
        <v>24</v>
      </c>
      <c r="G1437" s="0" t="n">
        <f aca="false">ROUNDUP(F1437/75,0)</f>
        <v>1</v>
      </c>
    </row>
    <row r="1438" customFormat="false" ht="15" hidden="false" customHeight="false" outlineLevel="0" collapsed="false">
      <c r="A1438" s="0" t="s">
        <v>462</v>
      </c>
      <c r="B1438" s="0" t="s">
        <v>532</v>
      </c>
      <c r="C1438" s="0" t="s">
        <v>755</v>
      </c>
      <c r="D1438" s="0" t="n">
        <v>6</v>
      </c>
      <c r="E1438" s="0" t="n">
        <v>3</v>
      </c>
      <c r="F1438" s="0" t="n">
        <f aca="false">D1438*E1438</f>
        <v>18</v>
      </c>
      <c r="G1438" s="0" t="n">
        <f aca="false">ROUNDUP(F1438/75,0)</f>
        <v>1</v>
      </c>
    </row>
    <row r="1439" customFormat="false" ht="15" hidden="false" customHeight="false" outlineLevel="0" collapsed="false">
      <c r="A1439" s="0" t="s">
        <v>462</v>
      </c>
      <c r="B1439" s="0" t="s">
        <v>533</v>
      </c>
      <c r="C1439" s="0" t="s">
        <v>756</v>
      </c>
      <c r="D1439" s="0" t="n">
        <v>12</v>
      </c>
      <c r="E1439" s="0" t="n">
        <v>1</v>
      </c>
      <c r="F1439" s="0" t="n">
        <f aca="false">D1439*E1439</f>
        <v>12</v>
      </c>
      <c r="G1439" s="0" t="n">
        <f aca="false">ROUNDUP(F1439/75,0)</f>
        <v>1</v>
      </c>
    </row>
    <row r="1440" customFormat="false" ht="15" hidden="false" customHeight="false" outlineLevel="0" collapsed="false">
      <c r="A1440" s="0" t="s">
        <v>462</v>
      </c>
      <c r="B1440" s="0" t="s">
        <v>533</v>
      </c>
      <c r="C1440" s="0" t="s">
        <v>757</v>
      </c>
      <c r="D1440" s="0" t="n">
        <v>6</v>
      </c>
      <c r="E1440" s="0" t="n">
        <v>2</v>
      </c>
      <c r="F1440" s="0" t="n">
        <f aca="false">D1440*E1440</f>
        <v>12</v>
      </c>
      <c r="G1440" s="0" t="n">
        <f aca="false">ROUNDUP(F1440/75,0)</f>
        <v>1</v>
      </c>
    </row>
    <row r="1441" customFormat="false" ht="15" hidden="false" customHeight="false" outlineLevel="0" collapsed="false">
      <c r="A1441" s="0" t="s">
        <v>462</v>
      </c>
      <c r="B1441" s="0" t="s">
        <v>533</v>
      </c>
      <c r="C1441" s="0" t="s">
        <v>753</v>
      </c>
      <c r="D1441" s="0" t="n">
        <v>6</v>
      </c>
      <c r="E1441" s="0" t="n">
        <v>6</v>
      </c>
      <c r="F1441" s="0" t="n">
        <f aca="false">D1441*E1441</f>
        <v>36</v>
      </c>
      <c r="G1441" s="0" t="n">
        <f aca="false">ROUNDUP(F1441/75,0)</f>
        <v>1</v>
      </c>
    </row>
    <row r="1442" customFormat="false" ht="15" hidden="false" customHeight="false" outlineLevel="0" collapsed="false">
      <c r="A1442" s="0" t="s">
        <v>462</v>
      </c>
      <c r="B1442" s="0" t="s">
        <v>533</v>
      </c>
      <c r="C1442" s="0" t="s">
        <v>755</v>
      </c>
      <c r="D1442" s="0" t="n">
        <v>6</v>
      </c>
      <c r="E1442" s="0" t="n">
        <v>3</v>
      </c>
      <c r="F1442" s="0" t="n">
        <f aca="false">D1442*E1442</f>
        <v>18</v>
      </c>
      <c r="G1442" s="0" t="n">
        <f aca="false">ROUNDUP(F1442/75,0)</f>
        <v>1</v>
      </c>
    </row>
    <row r="1443" customFormat="false" ht="15" hidden="false" customHeight="false" outlineLevel="0" collapsed="false">
      <c r="A1443" s="0" t="s">
        <v>462</v>
      </c>
      <c r="B1443" s="0" t="s">
        <v>534</v>
      </c>
      <c r="C1443" s="0" t="s">
        <v>757</v>
      </c>
      <c r="D1443" s="0" t="n">
        <v>6</v>
      </c>
      <c r="E1443" s="0" t="n">
        <v>1</v>
      </c>
      <c r="F1443" s="0" t="n">
        <f aca="false">D1443*E1443</f>
        <v>6</v>
      </c>
      <c r="G1443" s="0" t="n">
        <f aca="false">ROUNDUP(F1443/75,0)</f>
        <v>1</v>
      </c>
    </row>
    <row r="1444" customFormat="false" ht="15" hidden="false" customHeight="false" outlineLevel="0" collapsed="false">
      <c r="A1444" s="0" t="s">
        <v>462</v>
      </c>
      <c r="B1444" s="0" t="s">
        <v>534</v>
      </c>
      <c r="C1444" s="0" t="s">
        <v>753</v>
      </c>
      <c r="D1444" s="0" t="n">
        <v>6</v>
      </c>
      <c r="E1444" s="0" t="n">
        <v>14</v>
      </c>
      <c r="F1444" s="0" t="n">
        <f aca="false">D1444*E1444</f>
        <v>84</v>
      </c>
      <c r="G1444" s="0" t="n">
        <f aca="false">ROUNDUP(F1444/75,0)</f>
        <v>2</v>
      </c>
    </row>
    <row r="1445" customFormat="false" ht="15" hidden="false" customHeight="false" outlineLevel="0" collapsed="false">
      <c r="A1445" s="0" t="s">
        <v>462</v>
      </c>
      <c r="B1445" s="0" t="s">
        <v>534</v>
      </c>
      <c r="C1445" s="0" t="s">
        <v>755</v>
      </c>
      <c r="D1445" s="0" t="n">
        <v>6</v>
      </c>
      <c r="E1445" s="0" t="n">
        <v>5</v>
      </c>
      <c r="F1445" s="0" t="n">
        <f aca="false">D1445*E1445</f>
        <v>30</v>
      </c>
      <c r="G1445" s="0" t="n">
        <f aca="false">ROUNDUP(F1445/75,0)</f>
        <v>1</v>
      </c>
    </row>
    <row r="1446" customFormat="false" ht="15" hidden="false" customHeight="false" outlineLevel="0" collapsed="false">
      <c r="A1446" s="0" t="s">
        <v>462</v>
      </c>
      <c r="B1446" s="0" t="s">
        <v>535</v>
      </c>
      <c r="C1446" s="0" t="s">
        <v>756</v>
      </c>
      <c r="D1446" s="0" t="n">
        <v>12</v>
      </c>
      <c r="E1446" s="0" t="n">
        <v>2</v>
      </c>
      <c r="F1446" s="0" t="n">
        <f aca="false">D1446*E1446</f>
        <v>24</v>
      </c>
      <c r="G1446" s="0" t="n">
        <f aca="false">ROUNDUP(F1446/75,0)</f>
        <v>1</v>
      </c>
    </row>
    <row r="1447" customFormat="false" ht="15" hidden="false" customHeight="false" outlineLevel="0" collapsed="false">
      <c r="A1447" s="0" t="s">
        <v>462</v>
      </c>
      <c r="B1447" s="0" t="s">
        <v>535</v>
      </c>
      <c r="C1447" s="0" t="s">
        <v>757</v>
      </c>
      <c r="D1447" s="0" t="n">
        <v>6</v>
      </c>
      <c r="E1447" s="0" t="n">
        <v>2</v>
      </c>
      <c r="F1447" s="0" t="n">
        <f aca="false">D1447*E1447</f>
        <v>12</v>
      </c>
      <c r="G1447" s="0" t="n">
        <f aca="false">ROUNDUP(F1447/75,0)</f>
        <v>1</v>
      </c>
    </row>
    <row r="1448" customFormat="false" ht="15" hidden="false" customHeight="false" outlineLevel="0" collapsed="false">
      <c r="A1448" s="0" t="s">
        <v>462</v>
      </c>
      <c r="B1448" s="0" t="s">
        <v>535</v>
      </c>
      <c r="C1448" s="0" t="s">
        <v>753</v>
      </c>
      <c r="D1448" s="0" t="n">
        <v>6</v>
      </c>
      <c r="E1448" s="0" t="n">
        <v>6</v>
      </c>
      <c r="F1448" s="0" t="n">
        <f aca="false">D1448*E1448</f>
        <v>36</v>
      </c>
      <c r="G1448" s="0" t="n">
        <f aca="false">ROUNDUP(F1448/75,0)</f>
        <v>1</v>
      </c>
    </row>
    <row r="1449" customFormat="false" ht="15" hidden="false" customHeight="false" outlineLevel="0" collapsed="false">
      <c r="A1449" s="0" t="s">
        <v>462</v>
      </c>
      <c r="B1449" s="0" t="s">
        <v>535</v>
      </c>
      <c r="C1449" s="0" t="s">
        <v>755</v>
      </c>
      <c r="D1449" s="0" t="n">
        <v>6</v>
      </c>
      <c r="E1449" s="0" t="n">
        <v>2</v>
      </c>
      <c r="F1449" s="0" t="n">
        <f aca="false">D1449*E1449</f>
        <v>12</v>
      </c>
      <c r="G1449" s="0" t="n">
        <f aca="false">ROUNDUP(F1449/75,0)</f>
        <v>1</v>
      </c>
    </row>
    <row r="1450" customFormat="false" ht="15" hidden="false" customHeight="false" outlineLevel="0" collapsed="false">
      <c r="A1450" s="0" t="s">
        <v>462</v>
      </c>
      <c r="B1450" s="0" t="s">
        <v>536</v>
      </c>
      <c r="C1450" s="0" t="s">
        <v>757</v>
      </c>
      <c r="D1450" s="0" t="n">
        <v>6</v>
      </c>
      <c r="E1450" s="0" t="n">
        <v>4</v>
      </c>
      <c r="F1450" s="0" t="n">
        <f aca="false">D1450*E1450</f>
        <v>24</v>
      </c>
      <c r="G1450" s="0" t="n">
        <f aca="false">ROUNDUP(F1450/75,0)</f>
        <v>1</v>
      </c>
    </row>
    <row r="1451" customFormat="false" ht="15" hidden="false" customHeight="false" outlineLevel="0" collapsed="false">
      <c r="A1451" s="0" t="s">
        <v>462</v>
      </c>
      <c r="B1451" s="0" t="s">
        <v>536</v>
      </c>
      <c r="C1451" s="0" t="s">
        <v>753</v>
      </c>
      <c r="D1451" s="0" t="n">
        <v>6</v>
      </c>
      <c r="E1451" s="0" t="n">
        <v>3</v>
      </c>
      <c r="F1451" s="0" t="n">
        <f aca="false">D1451*E1451</f>
        <v>18</v>
      </c>
      <c r="G1451" s="0" t="n">
        <f aca="false">ROUNDUP(F1451/75,0)</f>
        <v>1</v>
      </c>
    </row>
    <row r="1452" customFormat="false" ht="15" hidden="false" customHeight="false" outlineLevel="0" collapsed="false">
      <c r="A1452" s="0" t="s">
        <v>462</v>
      </c>
      <c r="B1452" s="0" t="s">
        <v>536</v>
      </c>
      <c r="C1452" s="0" t="s">
        <v>755</v>
      </c>
      <c r="D1452" s="0" t="n">
        <v>6</v>
      </c>
      <c r="E1452" s="0" t="n">
        <v>1</v>
      </c>
      <c r="F1452" s="0" t="n">
        <f aca="false">D1452*E1452</f>
        <v>6</v>
      </c>
      <c r="G1452" s="0" t="n">
        <f aca="false">ROUNDUP(F1452/75,0)</f>
        <v>1</v>
      </c>
    </row>
    <row r="1453" customFormat="false" ht="15" hidden="false" customHeight="false" outlineLevel="0" collapsed="false">
      <c r="A1453" s="0" t="s">
        <v>462</v>
      </c>
      <c r="B1453" s="0" t="s">
        <v>537</v>
      </c>
      <c r="C1453" s="0" t="s">
        <v>756</v>
      </c>
      <c r="D1453" s="0" t="n">
        <v>12</v>
      </c>
      <c r="E1453" s="0" t="n">
        <v>3</v>
      </c>
      <c r="F1453" s="0" t="n">
        <f aca="false">D1453*E1453</f>
        <v>36</v>
      </c>
      <c r="G1453" s="0" t="n">
        <f aca="false">ROUNDUP(F1453/75,0)</f>
        <v>1</v>
      </c>
    </row>
    <row r="1454" customFormat="false" ht="15" hidden="false" customHeight="false" outlineLevel="0" collapsed="false">
      <c r="A1454" s="0" t="s">
        <v>462</v>
      </c>
      <c r="B1454" s="0" t="s">
        <v>537</v>
      </c>
      <c r="C1454" s="0" t="s">
        <v>753</v>
      </c>
      <c r="D1454" s="0" t="n">
        <v>6</v>
      </c>
      <c r="E1454" s="0" t="n">
        <v>1</v>
      </c>
      <c r="F1454" s="0" t="n">
        <f aca="false">D1454*E1454</f>
        <v>6</v>
      </c>
      <c r="G1454" s="0" t="n">
        <f aca="false">ROUNDUP(F1454/75,0)</f>
        <v>1</v>
      </c>
    </row>
    <row r="1455" customFormat="false" ht="15" hidden="false" customHeight="false" outlineLevel="0" collapsed="false">
      <c r="A1455" s="0" t="s">
        <v>462</v>
      </c>
      <c r="B1455" s="0" t="s">
        <v>537</v>
      </c>
      <c r="C1455" s="0" t="s">
        <v>755</v>
      </c>
      <c r="D1455" s="0" t="n">
        <v>6</v>
      </c>
      <c r="E1455" s="0" t="n">
        <v>2</v>
      </c>
      <c r="F1455" s="0" t="n">
        <f aca="false">D1455*E1455</f>
        <v>12</v>
      </c>
      <c r="G1455" s="0" t="n">
        <f aca="false">ROUNDUP(F1455/75,0)</f>
        <v>1</v>
      </c>
    </row>
    <row r="1456" customFormat="false" ht="15" hidden="false" customHeight="false" outlineLevel="0" collapsed="false">
      <c r="A1456" s="0" t="s">
        <v>462</v>
      </c>
      <c r="B1456" s="0" t="s">
        <v>538</v>
      </c>
      <c r="C1456" s="0" t="s">
        <v>756</v>
      </c>
      <c r="D1456" s="0" t="n">
        <v>12</v>
      </c>
      <c r="E1456" s="0" t="n">
        <v>1</v>
      </c>
      <c r="F1456" s="0" t="n">
        <f aca="false">D1456*E1456</f>
        <v>12</v>
      </c>
      <c r="G1456" s="0" t="n">
        <f aca="false">ROUNDUP(F1456/75,0)</f>
        <v>1</v>
      </c>
    </row>
    <row r="1457" customFormat="false" ht="15" hidden="false" customHeight="false" outlineLevel="0" collapsed="false">
      <c r="A1457" s="0" t="s">
        <v>462</v>
      </c>
      <c r="B1457" s="0" t="s">
        <v>538</v>
      </c>
      <c r="C1457" s="0" t="s">
        <v>757</v>
      </c>
      <c r="D1457" s="0" t="n">
        <v>6</v>
      </c>
      <c r="E1457" s="0" t="n">
        <v>1</v>
      </c>
      <c r="F1457" s="0" t="n">
        <f aca="false">D1457*E1457</f>
        <v>6</v>
      </c>
      <c r="G1457" s="0" t="n">
        <f aca="false">ROUNDUP(F1457/75,0)</f>
        <v>1</v>
      </c>
    </row>
    <row r="1458" customFormat="false" ht="15" hidden="false" customHeight="false" outlineLevel="0" collapsed="false">
      <c r="A1458" s="0" t="s">
        <v>462</v>
      </c>
      <c r="B1458" s="0" t="s">
        <v>538</v>
      </c>
      <c r="C1458" s="0" t="s">
        <v>753</v>
      </c>
      <c r="D1458" s="0" t="n">
        <v>6</v>
      </c>
      <c r="E1458" s="0" t="n">
        <v>1</v>
      </c>
      <c r="F1458" s="0" t="n">
        <f aca="false">D1458*E1458</f>
        <v>6</v>
      </c>
      <c r="G1458" s="0" t="n">
        <f aca="false">ROUNDUP(F1458/75,0)</f>
        <v>1</v>
      </c>
    </row>
    <row r="1459" customFormat="false" ht="15" hidden="false" customHeight="false" outlineLevel="0" collapsed="false">
      <c r="A1459" s="0" t="s">
        <v>462</v>
      </c>
      <c r="B1459" s="0" t="s">
        <v>538</v>
      </c>
      <c r="C1459" s="0" t="s">
        <v>755</v>
      </c>
      <c r="D1459" s="0" t="n">
        <v>6</v>
      </c>
      <c r="E1459" s="0" t="n">
        <v>3</v>
      </c>
      <c r="F1459" s="0" t="n">
        <f aca="false">D1459*E1459</f>
        <v>18</v>
      </c>
      <c r="G1459" s="0" t="n">
        <f aca="false">ROUNDUP(F1459/75,0)</f>
        <v>1</v>
      </c>
    </row>
    <row r="1460" customFormat="false" ht="15" hidden="false" customHeight="false" outlineLevel="0" collapsed="false">
      <c r="A1460" s="0" t="s">
        <v>462</v>
      </c>
      <c r="B1460" s="0" t="s">
        <v>539</v>
      </c>
      <c r="C1460" s="0" t="s">
        <v>756</v>
      </c>
      <c r="D1460" s="0" t="n">
        <v>12</v>
      </c>
      <c r="E1460" s="0" t="n">
        <v>1</v>
      </c>
      <c r="F1460" s="0" t="n">
        <f aca="false">D1460*E1460</f>
        <v>12</v>
      </c>
      <c r="G1460" s="0" t="n">
        <f aca="false">ROUNDUP(F1460/75,0)</f>
        <v>1</v>
      </c>
    </row>
    <row r="1461" customFormat="false" ht="15" hidden="false" customHeight="false" outlineLevel="0" collapsed="false">
      <c r="A1461" s="0" t="s">
        <v>462</v>
      </c>
      <c r="B1461" s="0" t="s">
        <v>539</v>
      </c>
      <c r="C1461" s="0" t="s">
        <v>757</v>
      </c>
      <c r="D1461" s="0" t="n">
        <v>6</v>
      </c>
      <c r="E1461" s="0" t="n">
        <v>2</v>
      </c>
      <c r="F1461" s="0" t="n">
        <f aca="false">D1461*E1461</f>
        <v>12</v>
      </c>
      <c r="G1461" s="0" t="n">
        <f aca="false">ROUNDUP(F1461/75,0)</f>
        <v>1</v>
      </c>
    </row>
    <row r="1462" customFormat="false" ht="15" hidden="false" customHeight="false" outlineLevel="0" collapsed="false">
      <c r="A1462" s="0" t="s">
        <v>462</v>
      </c>
      <c r="B1462" s="0" t="s">
        <v>539</v>
      </c>
      <c r="C1462" s="0" t="s">
        <v>753</v>
      </c>
      <c r="D1462" s="0" t="n">
        <v>6</v>
      </c>
      <c r="E1462" s="0" t="n">
        <v>1</v>
      </c>
      <c r="F1462" s="0" t="n">
        <f aca="false">D1462*E1462</f>
        <v>6</v>
      </c>
      <c r="G1462" s="0" t="n">
        <f aca="false">ROUNDUP(F1462/75,0)</f>
        <v>1</v>
      </c>
    </row>
    <row r="1463" customFormat="false" ht="15" hidden="false" customHeight="false" outlineLevel="0" collapsed="false">
      <c r="A1463" s="0" t="s">
        <v>462</v>
      </c>
      <c r="B1463" s="0" t="s">
        <v>539</v>
      </c>
      <c r="C1463" s="0" t="s">
        <v>755</v>
      </c>
      <c r="D1463" s="0" t="n">
        <v>6</v>
      </c>
      <c r="E1463" s="0" t="n">
        <v>5</v>
      </c>
      <c r="F1463" s="0" t="n">
        <f aca="false">D1463*E1463</f>
        <v>30</v>
      </c>
      <c r="G1463" s="0" t="n">
        <f aca="false">ROUNDUP(F1463/75,0)</f>
        <v>1</v>
      </c>
    </row>
    <row r="1464" customFormat="false" ht="15" hidden="false" customHeight="false" outlineLevel="0" collapsed="false">
      <c r="A1464" s="0" t="s">
        <v>462</v>
      </c>
      <c r="B1464" s="0" t="s">
        <v>540</v>
      </c>
      <c r="C1464" s="0" t="s">
        <v>756</v>
      </c>
      <c r="D1464" s="0" t="n">
        <v>12</v>
      </c>
      <c r="E1464" s="0" t="n">
        <v>1</v>
      </c>
      <c r="F1464" s="0" t="n">
        <f aca="false">D1464*E1464</f>
        <v>12</v>
      </c>
      <c r="G1464" s="0" t="n">
        <f aca="false">ROUNDUP(F1464/75,0)</f>
        <v>1</v>
      </c>
    </row>
    <row r="1465" customFormat="false" ht="15" hidden="false" customHeight="false" outlineLevel="0" collapsed="false">
      <c r="A1465" s="0" t="s">
        <v>462</v>
      </c>
      <c r="B1465" s="0" t="s">
        <v>540</v>
      </c>
      <c r="C1465" s="0" t="s">
        <v>757</v>
      </c>
      <c r="D1465" s="0" t="n">
        <v>6</v>
      </c>
      <c r="E1465" s="0" t="n">
        <v>2</v>
      </c>
      <c r="F1465" s="0" t="n">
        <f aca="false">D1465*E1465</f>
        <v>12</v>
      </c>
      <c r="G1465" s="0" t="n">
        <f aca="false">ROUNDUP(F1465/75,0)</f>
        <v>1</v>
      </c>
    </row>
    <row r="1466" customFormat="false" ht="15" hidden="false" customHeight="false" outlineLevel="0" collapsed="false">
      <c r="A1466" s="0" t="s">
        <v>462</v>
      </c>
      <c r="B1466" s="0" t="s">
        <v>540</v>
      </c>
      <c r="C1466" s="0" t="s">
        <v>753</v>
      </c>
      <c r="D1466" s="0" t="n">
        <v>6</v>
      </c>
      <c r="E1466" s="0" t="n">
        <v>5</v>
      </c>
      <c r="F1466" s="0" t="n">
        <f aca="false">D1466*E1466</f>
        <v>30</v>
      </c>
      <c r="G1466" s="0" t="n">
        <f aca="false">ROUNDUP(F1466/75,0)</f>
        <v>1</v>
      </c>
    </row>
    <row r="1467" customFormat="false" ht="15" hidden="false" customHeight="false" outlineLevel="0" collapsed="false">
      <c r="A1467" s="0" t="s">
        <v>462</v>
      </c>
      <c r="B1467" s="0" t="s">
        <v>540</v>
      </c>
      <c r="C1467" s="0" t="s">
        <v>755</v>
      </c>
      <c r="D1467" s="0" t="n">
        <v>6</v>
      </c>
      <c r="E1467" s="0" t="n">
        <v>2</v>
      </c>
      <c r="F1467" s="0" t="n">
        <f aca="false">D1467*E1467</f>
        <v>12</v>
      </c>
      <c r="G1467" s="0" t="n">
        <f aca="false">ROUNDUP(F1467/75,0)</f>
        <v>1</v>
      </c>
    </row>
    <row r="1468" customFormat="false" ht="15" hidden="false" customHeight="false" outlineLevel="0" collapsed="false">
      <c r="A1468" s="0" t="s">
        <v>462</v>
      </c>
      <c r="B1468" s="0" t="s">
        <v>541</v>
      </c>
      <c r="C1468" s="0" t="s">
        <v>756</v>
      </c>
      <c r="D1468" s="0" t="n">
        <v>12</v>
      </c>
      <c r="E1468" s="0" t="n">
        <v>3</v>
      </c>
      <c r="F1468" s="0" t="n">
        <f aca="false">D1468*E1468</f>
        <v>36</v>
      </c>
      <c r="G1468" s="0" t="n">
        <f aca="false">ROUNDUP(F1468/75,0)</f>
        <v>1</v>
      </c>
    </row>
    <row r="1469" customFormat="false" ht="15" hidden="false" customHeight="false" outlineLevel="0" collapsed="false">
      <c r="A1469" s="0" t="s">
        <v>462</v>
      </c>
      <c r="B1469" s="0" t="s">
        <v>541</v>
      </c>
      <c r="C1469" s="0" t="s">
        <v>757</v>
      </c>
      <c r="D1469" s="0" t="n">
        <v>6</v>
      </c>
      <c r="E1469" s="0" t="n">
        <v>1</v>
      </c>
      <c r="F1469" s="0" t="n">
        <f aca="false">D1469*E1469</f>
        <v>6</v>
      </c>
      <c r="G1469" s="0" t="n">
        <f aca="false">ROUNDUP(F1469/75,0)</f>
        <v>1</v>
      </c>
    </row>
    <row r="1470" customFormat="false" ht="15" hidden="false" customHeight="false" outlineLevel="0" collapsed="false">
      <c r="A1470" s="0" t="s">
        <v>462</v>
      </c>
      <c r="B1470" s="0" t="s">
        <v>541</v>
      </c>
      <c r="C1470" s="0" t="s">
        <v>753</v>
      </c>
      <c r="D1470" s="0" t="n">
        <v>6</v>
      </c>
      <c r="E1470" s="0" t="n">
        <v>1</v>
      </c>
      <c r="F1470" s="0" t="n">
        <f aca="false">D1470*E1470</f>
        <v>6</v>
      </c>
      <c r="G1470" s="0" t="n">
        <f aca="false">ROUNDUP(F1470/75,0)</f>
        <v>1</v>
      </c>
    </row>
    <row r="1471" customFormat="false" ht="15" hidden="false" customHeight="false" outlineLevel="0" collapsed="false">
      <c r="A1471" s="0" t="s">
        <v>462</v>
      </c>
      <c r="B1471" s="0" t="s">
        <v>541</v>
      </c>
      <c r="C1471" s="0" t="s">
        <v>755</v>
      </c>
      <c r="D1471" s="0" t="n">
        <v>6</v>
      </c>
      <c r="E1471" s="0" t="n">
        <v>1</v>
      </c>
      <c r="F1471" s="0" t="n">
        <f aca="false">D1471*E1471</f>
        <v>6</v>
      </c>
      <c r="G1471" s="0" t="n">
        <f aca="false">ROUNDUP(F1471/75,0)</f>
        <v>1</v>
      </c>
    </row>
    <row r="1472" customFormat="false" ht="15" hidden="false" customHeight="false" outlineLevel="0" collapsed="false">
      <c r="A1472" s="0" t="s">
        <v>462</v>
      </c>
      <c r="B1472" s="0" t="s">
        <v>542</v>
      </c>
      <c r="C1472" s="0" t="s">
        <v>756</v>
      </c>
      <c r="D1472" s="0" t="n">
        <v>12</v>
      </c>
      <c r="E1472" s="0" t="n">
        <v>2</v>
      </c>
      <c r="F1472" s="0" t="n">
        <f aca="false">D1472*E1472</f>
        <v>24</v>
      </c>
      <c r="G1472" s="0" t="n">
        <f aca="false">ROUNDUP(F1472/75,0)</f>
        <v>1</v>
      </c>
    </row>
    <row r="1473" customFormat="false" ht="15" hidden="false" customHeight="false" outlineLevel="0" collapsed="false">
      <c r="A1473" s="0" t="s">
        <v>462</v>
      </c>
      <c r="B1473" s="0" t="s">
        <v>542</v>
      </c>
      <c r="C1473" s="0" t="s">
        <v>757</v>
      </c>
      <c r="D1473" s="0" t="n">
        <v>6</v>
      </c>
      <c r="E1473" s="0" t="n">
        <v>1</v>
      </c>
      <c r="F1473" s="0" t="n">
        <f aca="false">D1473*E1473</f>
        <v>6</v>
      </c>
      <c r="G1473" s="0" t="n">
        <f aca="false">ROUNDUP(F1473/75,0)</f>
        <v>1</v>
      </c>
    </row>
    <row r="1474" customFormat="false" ht="15" hidden="false" customHeight="false" outlineLevel="0" collapsed="false">
      <c r="A1474" s="0" t="s">
        <v>462</v>
      </c>
      <c r="B1474" s="0" t="s">
        <v>542</v>
      </c>
      <c r="C1474" s="0" t="s">
        <v>753</v>
      </c>
      <c r="D1474" s="0" t="n">
        <v>6</v>
      </c>
      <c r="E1474" s="0" t="n">
        <v>3</v>
      </c>
      <c r="F1474" s="0" t="n">
        <f aca="false">D1474*E1474</f>
        <v>18</v>
      </c>
      <c r="G1474" s="0" t="n">
        <f aca="false">ROUNDUP(F1474/75,0)</f>
        <v>1</v>
      </c>
    </row>
    <row r="1475" customFormat="false" ht="15" hidden="false" customHeight="false" outlineLevel="0" collapsed="false">
      <c r="A1475" s="0" t="s">
        <v>462</v>
      </c>
      <c r="B1475" s="0" t="s">
        <v>542</v>
      </c>
      <c r="C1475" s="0" t="s">
        <v>755</v>
      </c>
      <c r="D1475" s="0" t="n">
        <v>6</v>
      </c>
      <c r="E1475" s="0" t="n">
        <v>5</v>
      </c>
      <c r="F1475" s="0" t="n">
        <f aca="false">D1475*E1475</f>
        <v>30</v>
      </c>
      <c r="G1475" s="0" t="n">
        <f aca="false">ROUNDUP(F1475/75,0)</f>
        <v>1</v>
      </c>
    </row>
    <row r="1476" customFormat="false" ht="15" hidden="false" customHeight="false" outlineLevel="0" collapsed="false">
      <c r="A1476" s="0" t="s">
        <v>462</v>
      </c>
      <c r="B1476" s="0" t="s">
        <v>543</v>
      </c>
      <c r="C1476" s="0" t="s">
        <v>756</v>
      </c>
      <c r="D1476" s="0" t="n">
        <v>12</v>
      </c>
      <c r="E1476" s="0" t="n">
        <v>4</v>
      </c>
      <c r="F1476" s="0" t="n">
        <f aca="false">D1476*E1476</f>
        <v>48</v>
      </c>
      <c r="G1476" s="0" t="n">
        <f aca="false">ROUNDUP(F1476/75,0)</f>
        <v>1</v>
      </c>
    </row>
    <row r="1477" customFormat="false" ht="15" hidden="false" customHeight="false" outlineLevel="0" collapsed="false">
      <c r="A1477" s="0" t="s">
        <v>462</v>
      </c>
      <c r="B1477" s="0" t="s">
        <v>543</v>
      </c>
      <c r="C1477" s="0" t="s">
        <v>753</v>
      </c>
      <c r="D1477" s="0" t="n">
        <v>6</v>
      </c>
      <c r="E1477" s="0" t="n">
        <v>3</v>
      </c>
      <c r="F1477" s="0" t="n">
        <f aca="false">D1477*E1477</f>
        <v>18</v>
      </c>
      <c r="G1477" s="0" t="n">
        <f aca="false">ROUNDUP(F1477/75,0)</f>
        <v>1</v>
      </c>
    </row>
    <row r="1478" customFormat="false" ht="15" hidden="false" customHeight="false" outlineLevel="0" collapsed="false">
      <c r="A1478" s="0" t="s">
        <v>462</v>
      </c>
      <c r="B1478" s="0" t="s">
        <v>543</v>
      </c>
      <c r="C1478" s="0" t="s">
        <v>755</v>
      </c>
      <c r="D1478" s="0" t="n">
        <v>6</v>
      </c>
      <c r="E1478" s="0" t="n">
        <v>1</v>
      </c>
      <c r="F1478" s="0" t="n">
        <f aca="false">D1478*E1478</f>
        <v>6</v>
      </c>
      <c r="G1478" s="0" t="n">
        <f aca="false">ROUNDUP(F1478/75,0)</f>
        <v>1</v>
      </c>
    </row>
    <row r="1479" customFormat="false" ht="15" hidden="false" customHeight="false" outlineLevel="0" collapsed="false">
      <c r="A1479" s="0" t="s">
        <v>462</v>
      </c>
      <c r="B1479" s="0" t="s">
        <v>544</v>
      </c>
      <c r="C1479" s="0" t="s">
        <v>756</v>
      </c>
      <c r="D1479" s="0" t="n">
        <v>12</v>
      </c>
      <c r="E1479" s="0" t="n">
        <v>1</v>
      </c>
      <c r="F1479" s="0" t="n">
        <f aca="false">D1479*E1479</f>
        <v>12</v>
      </c>
      <c r="G1479" s="0" t="n">
        <f aca="false">ROUNDUP(F1479/75,0)</f>
        <v>1</v>
      </c>
    </row>
    <row r="1480" customFormat="false" ht="15" hidden="false" customHeight="false" outlineLevel="0" collapsed="false">
      <c r="A1480" s="0" t="s">
        <v>462</v>
      </c>
      <c r="B1480" s="0" t="s">
        <v>544</v>
      </c>
      <c r="C1480" s="0" t="s">
        <v>757</v>
      </c>
      <c r="D1480" s="0" t="n">
        <v>6</v>
      </c>
      <c r="E1480" s="0" t="n">
        <v>3</v>
      </c>
      <c r="F1480" s="0" t="n">
        <f aca="false">D1480*E1480</f>
        <v>18</v>
      </c>
      <c r="G1480" s="0" t="n">
        <f aca="false">ROUNDUP(F1480/75,0)</f>
        <v>1</v>
      </c>
    </row>
    <row r="1481" customFormat="false" ht="15" hidden="false" customHeight="false" outlineLevel="0" collapsed="false">
      <c r="A1481" s="0" t="s">
        <v>462</v>
      </c>
      <c r="B1481" s="0" t="s">
        <v>544</v>
      </c>
      <c r="C1481" s="0" t="s">
        <v>753</v>
      </c>
      <c r="D1481" s="0" t="n">
        <v>6</v>
      </c>
      <c r="E1481" s="0" t="n">
        <v>2</v>
      </c>
      <c r="F1481" s="0" t="n">
        <f aca="false">D1481*E1481</f>
        <v>12</v>
      </c>
      <c r="G1481" s="0" t="n">
        <f aca="false">ROUNDUP(F1481/75,0)</f>
        <v>1</v>
      </c>
    </row>
    <row r="1482" customFormat="false" ht="15" hidden="false" customHeight="false" outlineLevel="0" collapsed="false">
      <c r="A1482" s="0" t="s">
        <v>462</v>
      </c>
      <c r="B1482" s="0" t="s">
        <v>544</v>
      </c>
      <c r="C1482" s="0" t="s">
        <v>755</v>
      </c>
      <c r="D1482" s="0" t="n">
        <v>6</v>
      </c>
      <c r="E1482" s="0" t="n">
        <v>1</v>
      </c>
      <c r="F1482" s="0" t="n">
        <f aca="false">D1482*E1482</f>
        <v>6</v>
      </c>
      <c r="G1482" s="0" t="n">
        <f aca="false">ROUNDUP(F1482/75,0)</f>
        <v>1</v>
      </c>
    </row>
    <row r="1483" customFormat="false" ht="15" hidden="false" customHeight="false" outlineLevel="0" collapsed="false">
      <c r="A1483" s="0" t="s">
        <v>462</v>
      </c>
      <c r="B1483" s="0" t="s">
        <v>545</v>
      </c>
      <c r="C1483" s="0" t="s">
        <v>753</v>
      </c>
      <c r="D1483" s="0" t="n">
        <v>6</v>
      </c>
      <c r="E1483" s="0" t="n">
        <v>10</v>
      </c>
      <c r="F1483" s="0" t="n">
        <f aca="false">D1483*E1483</f>
        <v>60</v>
      </c>
      <c r="G1483" s="0" t="n">
        <f aca="false">ROUNDUP(F1483/75,0)</f>
        <v>1</v>
      </c>
    </row>
    <row r="1484" customFormat="false" ht="15" hidden="false" customHeight="false" outlineLevel="0" collapsed="false">
      <c r="A1484" s="0" t="s">
        <v>462</v>
      </c>
      <c r="B1484" s="0" t="s">
        <v>545</v>
      </c>
      <c r="C1484" s="0" t="s">
        <v>755</v>
      </c>
      <c r="D1484" s="0" t="n">
        <v>6</v>
      </c>
      <c r="E1484" s="0" t="n">
        <v>9</v>
      </c>
      <c r="F1484" s="0" t="n">
        <f aca="false">D1484*E1484</f>
        <v>54</v>
      </c>
      <c r="G1484" s="0" t="n">
        <f aca="false">ROUNDUP(F1484/75,0)</f>
        <v>1</v>
      </c>
    </row>
    <row r="1485" customFormat="false" ht="15" hidden="false" customHeight="false" outlineLevel="0" collapsed="false">
      <c r="A1485" s="0" t="s">
        <v>462</v>
      </c>
      <c r="B1485" s="0" t="s">
        <v>546</v>
      </c>
      <c r="C1485" s="0" t="s">
        <v>756</v>
      </c>
      <c r="D1485" s="0" t="n">
        <v>12</v>
      </c>
      <c r="E1485" s="0" t="n">
        <v>3</v>
      </c>
      <c r="F1485" s="0" t="n">
        <f aca="false">D1485*E1485</f>
        <v>36</v>
      </c>
      <c r="G1485" s="0" t="n">
        <f aca="false">ROUNDUP(F1485/75,0)</f>
        <v>1</v>
      </c>
    </row>
    <row r="1486" customFormat="false" ht="15" hidden="false" customHeight="false" outlineLevel="0" collapsed="false">
      <c r="A1486" s="0" t="s">
        <v>462</v>
      </c>
      <c r="B1486" s="0" t="s">
        <v>546</v>
      </c>
      <c r="C1486" s="0" t="s">
        <v>757</v>
      </c>
      <c r="D1486" s="0" t="n">
        <v>6</v>
      </c>
      <c r="E1486" s="0" t="n">
        <v>3</v>
      </c>
      <c r="F1486" s="0" t="n">
        <f aca="false">D1486*E1486</f>
        <v>18</v>
      </c>
      <c r="G1486" s="0" t="n">
        <f aca="false">ROUNDUP(F1486/75,0)</f>
        <v>1</v>
      </c>
    </row>
    <row r="1487" customFormat="false" ht="15" hidden="false" customHeight="false" outlineLevel="0" collapsed="false">
      <c r="A1487" s="0" t="s">
        <v>462</v>
      </c>
      <c r="B1487" s="0" t="s">
        <v>546</v>
      </c>
      <c r="C1487" s="0" t="s">
        <v>753</v>
      </c>
      <c r="D1487" s="0" t="n">
        <v>6</v>
      </c>
      <c r="E1487" s="0" t="n">
        <v>1</v>
      </c>
      <c r="F1487" s="0" t="n">
        <f aca="false">D1487*E1487</f>
        <v>6</v>
      </c>
      <c r="G1487" s="0" t="n">
        <f aca="false">ROUNDUP(F1487/75,0)</f>
        <v>1</v>
      </c>
    </row>
    <row r="1488" customFormat="false" ht="15" hidden="false" customHeight="false" outlineLevel="0" collapsed="false">
      <c r="A1488" s="0" t="s">
        <v>462</v>
      </c>
      <c r="B1488" s="0" t="s">
        <v>546</v>
      </c>
      <c r="C1488" s="0" t="s">
        <v>755</v>
      </c>
      <c r="D1488" s="0" t="n">
        <v>6</v>
      </c>
      <c r="E1488" s="0" t="n">
        <v>3</v>
      </c>
      <c r="F1488" s="0" t="n">
        <f aca="false">D1488*E1488</f>
        <v>18</v>
      </c>
      <c r="G1488" s="0" t="n">
        <f aca="false">ROUNDUP(F1488/75,0)</f>
        <v>1</v>
      </c>
    </row>
    <row r="1489" customFormat="false" ht="15" hidden="false" customHeight="false" outlineLevel="0" collapsed="false">
      <c r="A1489" s="0" t="s">
        <v>462</v>
      </c>
      <c r="B1489" s="0" t="s">
        <v>547</v>
      </c>
      <c r="C1489" s="0" t="s">
        <v>756</v>
      </c>
      <c r="D1489" s="0" t="n">
        <v>12</v>
      </c>
      <c r="E1489" s="0" t="n">
        <v>3</v>
      </c>
      <c r="F1489" s="0" t="n">
        <f aca="false">D1489*E1489</f>
        <v>36</v>
      </c>
      <c r="G1489" s="0" t="n">
        <f aca="false">ROUNDUP(F1489/75,0)</f>
        <v>1</v>
      </c>
    </row>
    <row r="1490" customFormat="false" ht="15" hidden="false" customHeight="false" outlineLevel="0" collapsed="false">
      <c r="A1490" s="0" t="s">
        <v>462</v>
      </c>
      <c r="B1490" s="0" t="s">
        <v>547</v>
      </c>
      <c r="C1490" s="0" t="s">
        <v>757</v>
      </c>
      <c r="D1490" s="0" t="n">
        <v>6</v>
      </c>
      <c r="E1490" s="0" t="n">
        <v>5</v>
      </c>
      <c r="F1490" s="0" t="n">
        <f aca="false">D1490*E1490</f>
        <v>30</v>
      </c>
      <c r="G1490" s="0" t="n">
        <f aca="false">ROUNDUP(F1490/75,0)</f>
        <v>1</v>
      </c>
    </row>
    <row r="1491" customFormat="false" ht="15" hidden="false" customHeight="false" outlineLevel="0" collapsed="false">
      <c r="A1491" s="0" t="s">
        <v>462</v>
      </c>
      <c r="B1491" s="0" t="s">
        <v>547</v>
      </c>
      <c r="C1491" s="0" t="s">
        <v>753</v>
      </c>
      <c r="D1491" s="0" t="n">
        <v>6</v>
      </c>
      <c r="E1491" s="0" t="n">
        <v>9</v>
      </c>
      <c r="F1491" s="0" t="n">
        <f aca="false">D1491*E1491</f>
        <v>54</v>
      </c>
      <c r="G1491" s="0" t="n">
        <f aca="false">ROUNDUP(F1491/75,0)</f>
        <v>1</v>
      </c>
    </row>
    <row r="1492" customFormat="false" ht="15" hidden="false" customHeight="false" outlineLevel="0" collapsed="false">
      <c r="A1492" s="0" t="s">
        <v>462</v>
      </c>
      <c r="B1492" s="0" t="s">
        <v>547</v>
      </c>
      <c r="C1492" s="0" t="s">
        <v>755</v>
      </c>
      <c r="D1492" s="0" t="n">
        <v>6</v>
      </c>
      <c r="E1492" s="0" t="n">
        <v>8</v>
      </c>
      <c r="F1492" s="0" t="n">
        <f aca="false">D1492*E1492</f>
        <v>48</v>
      </c>
      <c r="G1492" s="0" t="n">
        <f aca="false">ROUNDUP(F1492/75,0)</f>
        <v>1</v>
      </c>
    </row>
    <row r="1493" customFormat="false" ht="15" hidden="false" customHeight="false" outlineLevel="0" collapsed="false">
      <c r="A1493" s="0" t="s">
        <v>462</v>
      </c>
      <c r="B1493" s="0" t="s">
        <v>548</v>
      </c>
      <c r="C1493" s="0" t="s">
        <v>756</v>
      </c>
      <c r="D1493" s="0" t="n">
        <v>12</v>
      </c>
      <c r="E1493" s="0" t="n">
        <v>1</v>
      </c>
      <c r="F1493" s="0" t="n">
        <f aca="false">D1493*E1493</f>
        <v>12</v>
      </c>
      <c r="G1493" s="0" t="n">
        <f aca="false">ROUNDUP(F1493/75,0)</f>
        <v>1</v>
      </c>
    </row>
    <row r="1494" customFormat="false" ht="15" hidden="false" customHeight="false" outlineLevel="0" collapsed="false">
      <c r="A1494" s="0" t="s">
        <v>462</v>
      </c>
      <c r="B1494" s="0" t="s">
        <v>548</v>
      </c>
      <c r="C1494" s="0" t="s">
        <v>757</v>
      </c>
      <c r="D1494" s="0" t="n">
        <v>6</v>
      </c>
      <c r="E1494" s="0" t="n">
        <v>1</v>
      </c>
      <c r="F1494" s="0" t="n">
        <f aca="false">D1494*E1494</f>
        <v>6</v>
      </c>
      <c r="G1494" s="0" t="n">
        <f aca="false">ROUNDUP(F1494/75,0)</f>
        <v>1</v>
      </c>
    </row>
    <row r="1495" customFormat="false" ht="15" hidden="false" customHeight="false" outlineLevel="0" collapsed="false">
      <c r="A1495" s="0" t="s">
        <v>462</v>
      </c>
      <c r="B1495" s="0" t="s">
        <v>548</v>
      </c>
      <c r="C1495" s="0" t="s">
        <v>753</v>
      </c>
      <c r="D1495" s="0" t="n">
        <v>6</v>
      </c>
      <c r="E1495" s="0" t="n">
        <v>1</v>
      </c>
      <c r="F1495" s="0" t="n">
        <f aca="false">D1495*E1495</f>
        <v>6</v>
      </c>
      <c r="G1495" s="0" t="n">
        <f aca="false">ROUNDUP(F1495/75,0)</f>
        <v>1</v>
      </c>
    </row>
    <row r="1496" customFormat="false" ht="15" hidden="false" customHeight="false" outlineLevel="0" collapsed="false">
      <c r="A1496" s="0" t="s">
        <v>462</v>
      </c>
      <c r="B1496" s="0" t="s">
        <v>548</v>
      </c>
      <c r="C1496" s="0" t="s">
        <v>755</v>
      </c>
      <c r="D1496" s="0" t="n">
        <v>6</v>
      </c>
      <c r="E1496" s="0" t="n">
        <v>5</v>
      </c>
      <c r="F1496" s="0" t="n">
        <f aca="false">D1496*E1496</f>
        <v>30</v>
      </c>
      <c r="G1496" s="0" t="n">
        <f aca="false">ROUNDUP(F1496/75,0)</f>
        <v>1</v>
      </c>
    </row>
    <row r="1497" customFormat="false" ht="15" hidden="false" customHeight="false" outlineLevel="0" collapsed="false">
      <c r="A1497" s="0" t="s">
        <v>462</v>
      </c>
      <c r="B1497" s="0" t="s">
        <v>549</v>
      </c>
      <c r="C1497" s="0" t="s">
        <v>756</v>
      </c>
      <c r="D1497" s="0" t="n">
        <v>12</v>
      </c>
      <c r="E1497" s="0" t="n">
        <v>2</v>
      </c>
      <c r="F1497" s="0" t="n">
        <f aca="false">D1497*E1497</f>
        <v>24</v>
      </c>
      <c r="G1497" s="0" t="n">
        <f aca="false">ROUNDUP(F1497/75,0)</f>
        <v>1</v>
      </c>
    </row>
    <row r="1498" customFormat="false" ht="15" hidden="false" customHeight="false" outlineLevel="0" collapsed="false">
      <c r="A1498" s="0" t="s">
        <v>462</v>
      </c>
      <c r="B1498" s="0" t="s">
        <v>549</v>
      </c>
      <c r="C1498" s="0" t="s">
        <v>757</v>
      </c>
      <c r="D1498" s="0" t="n">
        <v>6</v>
      </c>
      <c r="E1498" s="0" t="n">
        <v>2</v>
      </c>
      <c r="F1498" s="0" t="n">
        <f aca="false">D1498*E1498</f>
        <v>12</v>
      </c>
      <c r="G1498" s="0" t="n">
        <f aca="false">ROUNDUP(F1498/75,0)</f>
        <v>1</v>
      </c>
    </row>
    <row r="1499" customFormat="false" ht="15" hidden="false" customHeight="false" outlineLevel="0" collapsed="false">
      <c r="A1499" s="0" t="s">
        <v>462</v>
      </c>
      <c r="B1499" s="0" t="s">
        <v>549</v>
      </c>
      <c r="C1499" s="0" t="s">
        <v>753</v>
      </c>
      <c r="D1499" s="0" t="n">
        <v>6</v>
      </c>
      <c r="E1499" s="0" t="n">
        <v>6</v>
      </c>
      <c r="F1499" s="0" t="n">
        <f aca="false">D1499*E1499</f>
        <v>36</v>
      </c>
      <c r="G1499" s="0" t="n">
        <f aca="false">ROUNDUP(F1499/75,0)</f>
        <v>1</v>
      </c>
    </row>
    <row r="1500" customFormat="false" ht="15" hidden="false" customHeight="false" outlineLevel="0" collapsed="false">
      <c r="A1500" s="0" t="s">
        <v>462</v>
      </c>
      <c r="B1500" s="0" t="s">
        <v>549</v>
      </c>
      <c r="C1500" s="0" t="s">
        <v>755</v>
      </c>
      <c r="D1500" s="0" t="n">
        <v>6</v>
      </c>
      <c r="E1500" s="0" t="n">
        <v>3</v>
      </c>
      <c r="F1500" s="0" t="n">
        <f aca="false">D1500*E1500</f>
        <v>18</v>
      </c>
      <c r="G1500" s="0" t="n">
        <f aca="false">ROUNDUP(F1500/75,0)</f>
        <v>1</v>
      </c>
    </row>
    <row r="1501" customFormat="false" ht="15" hidden="false" customHeight="false" outlineLevel="0" collapsed="false">
      <c r="A1501" s="0" t="s">
        <v>462</v>
      </c>
      <c r="B1501" s="0" t="s">
        <v>550</v>
      </c>
      <c r="C1501" s="0" t="s">
        <v>757</v>
      </c>
      <c r="D1501" s="0" t="n">
        <v>6</v>
      </c>
      <c r="E1501" s="0" t="n">
        <v>1</v>
      </c>
      <c r="F1501" s="0" t="n">
        <f aca="false">D1501*E1501</f>
        <v>6</v>
      </c>
      <c r="G1501" s="0" t="n">
        <f aca="false">ROUNDUP(F1501/75,0)</f>
        <v>1</v>
      </c>
    </row>
    <row r="1502" customFormat="false" ht="15" hidden="false" customHeight="false" outlineLevel="0" collapsed="false">
      <c r="A1502" s="0" t="s">
        <v>462</v>
      </c>
      <c r="B1502" s="0" t="s">
        <v>550</v>
      </c>
      <c r="C1502" s="0" t="s">
        <v>753</v>
      </c>
      <c r="D1502" s="0" t="n">
        <v>6</v>
      </c>
      <c r="E1502" s="0" t="n">
        <v>2</v>
      </c>
      <c r="F1502" s="0" t="n">
        <f aca="false">D1502*E1502</f>
        <v>12</v>
      </c>
      <c r="G1502" s="0" t="n">
        <f aca="false">ROUNDUP(F1502/75,0)</f>
        <v>1</v>
      </c>
    </row>
    <row r="1503" customFormat="false" ht="15" hidden="false" customHeight="false" outlineLevel="0" collapsed="false">
      <c r="A1503" s="0" t="s">
        <v>462</v>
      </c>
      <c r="B1503" s="0" t="s">
        <v>550</v>
      </c>
      <c r="C1503" s="0" t="s">
        <v>755</v>
      </c>
      <c r="D1503" s="0" t="n">
        <v>6</v>
      </c>
      <c r="E1503" s="0" t="n">
        <v>2</v>
      </c>
      <c r="F1503" s="0" t="n">
        <f aca="false">D1503*E1503</f>
        <v>12</v>
      </c>
      <c r="G1503" s="0" t="n">
        <f aca="false">ROUNDUP(F1503/75,0)</f>
        <v>1</v>
      </c>
    </row>
    <row r="1504" customFormat="false" ht="15" hidden="false" customHeight="false" outlineLevel="0" collapsed="false">
      <c r="A1504" s="0" t="s">
        <v>462</v>
      </c>
      <c r="B1504" s="0" t="s">
        <v>551</v>
      </c>
      <c r="C1504" s="0" t="s">
        <v>757</v>
      </c>
      <c r="D1504" s="0" t="n">
        <v>6</v>
      </c>
      <c r="E1504" s="0" t="n">
        <v>5</v>
      </c>
      <c r="F1504" s="0" t="n">
        <f aca="false">D1504*E1504</f>
        <v>30</v>
      </c>
      <c r="G1504" s="0" t="n">
        <f aca="false">ROUNDUP(F1504/75,0)</f>
        <v>1</v>
      </c>
    </row>
    <row r="1505" customFormat="false" ht="15" hidden="false" customHeight="false" outlineLevel="0" collapsed="false">
      <c r="A1505" s="0" t="s">
        <v>462</v>
      </c>
      <c r="B1505" s="0" t="s">
        <v>551</v>
      </c>
      <c r="C1505" s="0" t="s">
        <v>753</v>
      </c>
      <c r="D1505" s="0" t="n">
        <v>6</v>
      </c>
      <c r="E1505" s="0" t="n">
        <v>4</v>
      </c>
      <c r="F1505" s="0" t="n">
        <f aca="false">D1505*E1505</f>
        <v>24</v>
      </c>
      <c r="G1505" s="0" t="n">
        <f aca="false">ROUNDUP(F1505/75,0)</f>
        <v>1</v>
      </c>
    </row>
    <row r="1506" customFormat="false" ht="15" hidden="false" customHeight="false" outlineLevel="0" collapsed="false">
      <c r="A1506" s="0" t="s">
        <v>462</v>
      </c>
      <c r="B1506" s="0" t="s">
        <v>551</v>
      </c>
      <c r="C1506" s="0" t="s">
        <v>755</v>
      </c>
      <c r="D1506" s="0" t="n">
        <v>6</v>
      </c>
      <c r="E1506" s="0" t="n">
        <v>1</v>
      </c>
      <c r="F1506" s="0" t="n">
        <f aca="false">D1506*E1506</f>
        <v>6</v>
      </c>
      <c r="G1506" s="0" t="n">
        <f aca="false">ROUNDUP(F1506/75,0)</f>
        <v>1</v>
      </c>
    </row>
    <row r="1507" customFormat="false" ht="15" hidden="false" customHeight="false" outlineLevel="0" collapsed="false">
      <c r="A1507" s="0" t="s">
        <v>462</v>
      </c>
      <c r="B1507" s="0" t="s">
        <v>552</v>
      </c>
      <c r="C1507" s="0" t="s">
        <v>756</v>
      </c>
      <c r="D1507" s="0" t="n">
        <v>12</v>
      </c>
      <c r="E1507" s="0" t="n">
        <v>1</v>
      </c>
      <c r="F1507" s="0" t="n">
        <f aca="false">D1507*E1507</f>
        <v>12</v>
      </c>
      <c r="G1507" s="0" t="n">
        <f aca="false">ROUNDUP(F1507/75,0)</f>
        <v>1</v>
      </c>
    </row>
    <row r="1508" customFormat="false" ht="15" hidden="false" customHeight="false" outlineLevel="0" collapsed="false">
      <c r="A1508" s="0" t="s">
        <v>462</v>
      </c>
      <c r="B1508" s="0" t="s">
        <v>552</v>
      </c>
      <c r="C1508" s="0" t="s">
        <v>757</v>
      </c>
      <c r="D1508" s="0" t="n">
        <v>6</v>
      </c>
      <c r="E1508" s="0" t="n">
        <v>2</v>
      </c>
      <c r="F1508" s="0" t="n">
        <f aca="false">D1508*E1508</f>
        <v>12</v>
      </c>
      <c r="G1508" s="0" t="n">
        <f aca="false">ROUNDUP(F1508/75,0)</f>
        <v>1</v>
      </c>
    </row>
    <row r="1509" customFormat="false" ht="15" hidden="false" customHeight="false" outlineLevel="0" collapsed="false">
      <c r="A1509" s="0" t="s">
        <v>462</v>
      </c>
      <c r="B1509" s="0" t="s">
        <v>552</v>
      </c>
      <c r="C1509" s="0" t="s">
        <v>753</v>
      </c>
      <c r="D1509" s="0" t="n">
        <v>6</v>
      </c>
      <c r="E1509" s="0" t="n">
        <v>5</v>
      </c>
      <c r="F1509" s="0" t="n">
        <f aca="false">D1509*E1509</f>
        <v>30</v>
      </c>
      <c r="G1509" s="0" t="n">
        <f aca="false">ROUNDUP(F1509/75,0)</f>
        <v>1</v>
      </c>
    </row>
    <row r="1510" customFormat="false" ht="15" hidden="false" customHeight="false" outlineLevel="0" collapsed="false">
      <c r="A1510" s="0" t="s">
        <v>462</v>
      </c>
      <c r="B1510" s="0" t="s">
        <v>552</v>
      </c>
      <c r="C1510" s="0" t="s">
        <v>755</v>
      </c>
      <c r="D1510" s="0" t="n">
        <v>6</v>
      </c>
      <c r="E1510" s="0" t="n">
        <v>5</v>
      </c>
      <c r="F1510" s="0" t="n">
        <f aca="false">D1510*E1510</f>
        <v>30</v>
      </c>
      <c r="G1510" s="0" t="n">
        <f aca="false">ROUNDUP(F1510/75,0)</f>
        <v>1</v>
      </c>
    </row>
    <row r="1511" customFormat="false" ht="15" hidden="false" customHeight="false" outlineLevel="0" collapsed="false">
      <c r="A1511" s="0" t="s">
        <v>462</v>
      </c>
      <c r="B1511" s="0" t="s">
        <v>553</v>
      </c>
      <c r="C1511" s="0" t="s">
        <v>757</v>
      </c>
      <c r="D1511" s="0" t="n">
        <v>6</v>
      </c>
      <c r="E1511" s="0" t="n">
        <v>3</v>
      </c>
      <c r="F1511" s="0" t="n">
        <f aca="false">D1511*E1511</f>
        <v>18</v>
      </c>
      <c r="G1511" s="0" t="n">
        <f aca="false">ROUNDUP(F1511/75,0)</f>
        <v>1</v>
      </c>
    </row>
    <row r="1512" customFormat="false" ht="15" hidden="false" customHeight="false" outlineLevel="0" collapsed="false">
      <c r="A1512" s="0" t="s">
        <v>462</v>
      </c>
      <c r="B1512" s="0" t="s">
        <v>553</v>
      </c>
      <c r="C1512" s="0" t="s">
        <v>753</v>
      </c>
      <c r="D1512" s="0" t="n">
        <v>6</v>
      </c>
      <c r="E1512" s="0" t="n">
        <v>9</v>
      </c>
      <c r="F1512" s="0" t="n">
        <f aca="false">D1512*E1512</f>
        <v>54</v>
      </c>
      <c r="G1512" s="0" t="n">
        <f aca="false">ROUNDUP(F1512/75,0)</f>
        <v>1</v>
      </c>
    </row>
    <row r="1513" customFormat="false" ht="15" hidden="false" customHeight="false" outlineLevel="0" collapsed="false">
      <c r="A1513" s="0" t="s">
        <v>462</v>
      </c>
      <c r="B1513" s="0" t="s">
        <v>553</v>
      </c>
      <c r="C1513" s="0" t="s">
        <v>755</v>
      </c>
      <c r="D1513" s="0" t="n">
        <v>6</v>
      </c>
      <c r="E1513" s="0" t="n">
        <v>6</v>
      </c>
      <c r="F1513" s="0" t="n">
        <f aca="false">D1513*E1513</f>
        <v>36</v>
      </c>
      <c r="G1513" s="0" t="n">
        <f aca="false">ROUNDUP(F1513/75,0)</f>
        <v>1</v>
      </c>
    </row>
    <row r="1514" customFormat="false" ht="15" hidden="false" customHeight="false" outlineLevel="0" collapsed="false">
      <c r="A1514" s="0" t="s">
        <v>462</v>
      </c>
      <c r="B1514" s="0" t="s">
        <v>554</v>
      </c>
      <c r="C1514" s="0" t="s">
        <v>757</v>
      </c>
      <c r="D1514" s="0" t="n">
        <v>6</v>
      </c>
      <c r="E1514" s="0" t="n">
        <v>5</v>
      </c>
      <c r="F1514" s="0" t="n">
        <f aca="false">D1514*E1514</f>
        <v>30</v>
      </c>
      <c r="G1514" s="0" t="n">
        <f aca="false">ROUNDUP(F1514/75,0)</f>
        <v>1</v>
      </c>
    </row>
    <row r="1515" customFormat="false" ht="15" hidden="false" customHeight="false" outlineLevel="0" collapsed="false">
      <c r="A1515" s="0" t="s">
        <v>462</v>
      </c>
      <c r="B1515" s="0" t="s">
        <v>554</v>
      </c>
      <c r="C1515" s="0" t="s">
        <v>753</v>
      </c>
      <c r="D1515" s="0" t="n">
        <v>6</v>
      </c>
      <c r="E1515" s="0" t="n">
        <v>5</v>
      </c>
      <c r="F1515" s="0" t="n">
        <f aca="false">D1515*E1515</f>
        <v>30</v>
      </c>
      <c r="G1515" s="0" t="n">
        <f aca="false">ROUNDUP(F1515/75,0)</f>
        <v>1</v>
      </c>
    </row>
    <row r="1516" customFormat="false" ht="15" hidden="false" customHeight="false" outlineLevel="0" collapsed="false">
      <c r="A1516" s="0" t="s">
        <v>462</v>
      </c>
      <c r="B1516" s="0" t="s">
        <v>554</v>
      </c>
      <c r="C1516" s="0" t="s">
        <v>755</v>
      </c>
      <c r="D1516" s="0" t="n">
        <v>6</v>
      </c>
      <c r="E1516" s="0" t="n">
        <v>4</v>
      </c>
      <c r="F1516" s="0" t="n">
        <f aca="false">D1516*E1516</f>
        <v>24</v>
      </c>
      <c r="G1516" s="0" t="n">
        <f aca="false">ROUNDUP(F1516/75,0)</f>
        <v>1</v>
      </c>
    </row>
    <row r="1517" customFormat="false" ht="15" hidden="false" customHeight="false" outlineLevel="0" collapsed="false">
      <c r="A1517" s="0" t="s">
        <v>462</v>
      </c>
      <c r="B1517" s="0" t="s">
        <v>555</v>
      </c>
      <c r="C1517" s="0" t="s">
        <v>756</v>
      </c>
      <c r="D1517" s="0" t="n">
        <v>12</v>
      </c>
      <c r="E1517" s="0" t="n">
        <v>2</v>
      </c>
      <c r="F1517" s="0" t="n">
        <f aca="false">D1517*E1517</f>
        <v>24</v>
      </c>
      <c r="G1517" s="0" t="n">
        <f aca="false">ROUNDUP(F1517/75,0)</f>
        <v>1</v>
      </c>
    </row>
    <row r="1518" customFormat="false" ht="15" hidden="false" customHeight="false" outlineLevel="0" collapsed="false">
      <c r="A1518" s="0" t="s">
        <v>462</v>
      </c>
      <c r="B1518" s="0" t="s">
        <v>555</v>
      </c>
      <c r="C1518" s="0" t="s">
        <v>757</v>
      </c>
      <c r="D1518" s="0" t="n">
        <v>6</v>
      </c>
      <c r="E1518" s="0" t="n">
        <v>3</v>
      </c>
      <c r="F1518" s="0" t="n">
        <f aca="false">D1518*E1518</f>
        <v>18</v>
      </c>
      <c r="G1518" s="0" t="n">
        <f aca="false">ROUNDUP(F1518/75,0)</f>
        <v>1</v>
      </c>
    </row>
    <row r="1519" customFormat="false" ht="15" hidden="false" customHeight="false" outlineLevel="0" collapsed="false">
      <c r="A1519" s="0" t="s">
        <v>462</v>
      </c>
      <c r="B1519" s="0" t="s">
        <v>555</v>
      </c>
      <c r="C1519" s="0" t="s">
        <v>753</v>
      </c>
      <c r="D1519" s="0" t="n">
        <v>6</v>
      </c>
      <c r="E1519" s="0" t="n">
        <v>2</v>
      </c>
      <c r="F1519" s="0" t="n">
        <f aca="false">D1519*E1519</f>
        <v>12</v>
      </c>
      <c r="G1519" s="0" t="n">
        <f aca="false">ROUNDUP(F1519/75,0)</f>
        <v>1</v>
      </c>
    </row>
    <row r="1520" customFormat="false" ht="15" hidden="false" customHeight="false" outlineLevel="0" collapsed="false">
      <c r="A1520" s="0" t="s">
        <v>462</v>
      </c>
      <c r="B1520" s="0" t="s">
        <v>555</v>
      </c>
      <c r="C1520" s="0" t="s">
        <v>755</v>
      </c>
      <c r="D1520" s="0" t="n">
        <v>6</v>
      </c>
      <c r="E1520" s="0" t="n">
        <v>2</v>
      </c>
      <c r="F1520" s="0" t="n">
        <f aca="false">D1520*E1520</f>
        <v>12</v>
      </c>
      <c r="G1520" s="0" t="n">
        <f aca="false">ROUNDUP(F1520/75,0)</f>
        <v>1</v>
      </c>
    </row>
    <row r="1521" customFormat="false" ht="15" hidden="false" customHeight="false" outlineLevel="0" collapsed="false">
      <c r="A1521" s="0" t="s">
        <v>462</v>
      </c>
      <c r="B1521" s="0" t="s">
        <v>556</v>
      </c>
      <c r="C1521" s="0" t="s">
        <v>756</v>
      </c>
      <c r="D1521" s="0" t="n">
        <v>12</v>
      </c>
      <c r="E1521" s="0" t="n">
        <v>1</v>
      </c>
      <c r="F1521" s="0" t="n">
        <f aca="false">D1521*E1521</f>
        <v>12</v>
      </c>
      <c r="G1521" s="0" t="n">
        <f aca="false">ROUNDUP(F1521/75,0)</f>
        <v>1</v>
      </c>
    </row>
    <row r="1522" customFormat="false" ht="15" hidden="false" customHeight="false" outlineLevel="0" collapsed="false">
      <c r="A1522" s="0" t="s">
        <v>462</v>
      </c>
      <c r="B1522" s="0" t="s">
        <v>556</v>
      </c>
      <c r="C1522" s="0" t="s">
        <v>757</v>
      </c>
      <c r="D1522" s="0" t="n">
        <v>6</v>
      </c>
      <c r="E1522" s="0" t="n">
        <v>1</v>
      </c>
      <c r="F1522" s="0" t="n">
        <f aca="false">D1522*E1522</f>
        <v>6</v>
      </c>
      <c r="G1522" s="0" t="n">
        <f aca="false">ROUNDUP(F1522/75,0)</f>
        <v>1</v>
      </c>
    </row>
    <row r="1523" customFormat="false" ht="15" hidden="false" customHeight="false" outlineLevel="0" collapsed="false">
      <c r="A1523" s="0" t="s">
        <v>462</v>
      </c>
      <c r="B1523" s="0" t="s">
        <v>556</v>
      </c>
      <c r="C1523" s="0" t="s">
        <v>753</v>
      </c>
      <c r="D1523" s="0" t="n">
        <v>6</v>
      </c>
      <c r="E1523" s="0" t="n">
        <v>1</v>
      </c>
      <c r="F1523" s="0" t="n">
        <f aca="false">D1523*E1523</f>
        <v>6</v>
      </c>
      <c r="G1523" s="0" t="n">
        <f aca="false">ROUNDUP(F1523/75,0)</f>
        <v>1</v>
      </c>
    </row>
    <row r="1524" customFormat="false" ht="15" hidden="false" customHeight="false" outlineLevel="0" collapsed="false">
      <c r="A1524" s="0" t="s">
        <v>462</v>
      </c>
      <c r="B1524" s="0" t="s">
        <v>556</v>
      </c>
      <c r="C1524" s="0" t="s">
        <v>755</v>
      </c>
      <c r="D1524" s="0" t="n">
        <v>6</v>
      </c>
      <c r="E1524" s="0" t="n">
        <v>1</v>
      </c>
      <c r="F1524" s="0" t="n">
        <f aca="false">D1524*E1524</f>
        <v>6</v>
      </c>
      <c r="G1524" s="0" t="n">
        <f aca="false">ROUNDUP(F1524/75,0)</f>
        <v>1</v>
      </c>
    </row>
    <row r="1525" customFormat="false" ht="15" hidden="false" customHeight="false" outlineLevel="0" collapsed="false">
      <c r="A1525" s="0" t="s">
        <v>462</v>
      </c>
      <c r="B1525" s="0" t="s">
        <v>557</v>
      </c>
      <c r="C1525" s="0" t="s">
        <v>756</v>
      </c>
      <c r="D1525" s="0" t="n">
        <v>12</v>
      </c>
      <c r="E1525" s="0" t="n">
        <v>5</v>
      </c>
      <c r="F1525" s="0" t="n">
        <f aca="false">D1525*E1525</f>
        <v>60</v>
      </c>
      <c r="G1525" s="0" t="n">
        <f aca="false">ROUNDUP(F1525/75,0)</f>
        <v>1</v>
      </c>
    </row>
    <row r="1526" customFormat="false" ht="15" hidden="false" customHeight="false" outlineLevel="0" collapsed="false">
      <c r="A1526" s="0" t="s">
        <v>462</v>
      </c>
      <c r="B1526" s="0" t="s">
        <v>557</v>
      </c>
      <c r="C1526" s="0" t="s">
        <v>753</v>
      </c>
      <c r="D1526" s="0" t="n">
        <v>6</v>
      </c>
      <c r="E1526" s="0" t="n">
        <v>4</v>
      </c>
      <c r="F1526" s="0" t="n">
        <f aca="false">D1526*E1526</f>
        <v>24</v>
      </c>
      <c r="G1526" s="0" t="n">
        <f aca="false">ROUNDUP(F1526/75,0)</f>
        <v>1</v>
      </c>
    </row>
    <row r="1527" customFormat="false" ht="15" hidden="false" customHeight="false" outlineLevel="0" collapsed="false">
      <c r="A1527" s="0" t="s">
        <v>462</v>
      </c>
      <c r="B1527" s="0" t="s">
        <v>557</v>
      </c>
      <c r="C1527" s="0" t="s">
        <v>755</v>
      </c>
      <c r="D1527" s="0" t="n">
        <v>6</v>
      </c>
      <c r="E1527" s="0" t="n">
        <v>1</v>
      </c>
      <c r="F1527" s="0" t="n">
        <f aca="false">D1527*E1527</f>
        <v>6</v>
      </c>
      <c r="G1527" s="0" t="n">
        <f aca="false">ROUNDUP(F1527/75,0)</f>
        <v>1</v>
      </c>
    </row>
    <row r="1528" customFormat="false" ht="15" hidden="false" customHeight="false" outlineLevel="0" collapsed="false">
      <c r="A1528" s="0" t="s">
        <v>462</v>
      </c>
      <c r="B1528" s="0" t="s">
        <v>558</v>
      </c>
      <c r="C1528" s="0" t="s">
        <v>753</v>
      </c>
      <c r="D1528" s="0" t="n">
        <v>6</v>
      </c>
      <c r="E1528" s="0" t="n">
        <v>1</v>
      </c>
      <c r="F1528" s="0" t="n">
        <f aca="false">D1528*E1528</f>
        <v>6</v>
      </c>
      <c r="G1528" s="0" t="n">
        <f aca="false">ROUNDUP(F1528/75,0)</f>
        <v>1</v>
      </c>
    </row>
    <row r="1529" customFormat="false" ht="15" hidden="false" customHeight="false" outlineLevel="0" collapsed="false">
      <c r="A1529" s="0" t="s">
        <v>462</v>
      </c>
      <c r="B1529" s="0" t="s">
        <v>558</v>
      </c>
      <c r="C1529" s="0" t="s">
        <v>755</v>
      </c>
      <c r="D1529" s="0" t="n">
        <v>6</v>
      </c>
      <c r="E1529" s="0" t="n">
        <v>1</v>
      </c>
      <c r="F1529" s="0" t="n">
        <f aca="false">D1529*E1529</f>
        <v>6</v>
      </c>
      <c r="G1529" s="0" t="n">
        <f aca="false">ROUNDUP(F1529/75,0)</f>
        <v>1</v>
      </c>
    </row>
    <row r="1530" customFormat="false" ht="15" hidden="false" customHeight="false" outlineLevel="0" collapsed="false">
      <c r="A1530" s="0" t="s">
        <v>462</v>
      </c>
      <c r="B1530" s="0" t="s">
        <v>559</v>
      </c>
      <c r="C1530" s="0" t="s">
        <v>756</v>
      </c>
      <c r="D1530" s="0" t="n">
        <v>12</v>
      </c>
      <c r="E1530" s="0" t="n">
        <v>2</v>
      </c>
      <c r="F1530" s="0" t="n">
        <f aca="false">D1530*E1530</f>
        <v>24</v>
      </c>
      <c r="G1530" s="0" t="n">
        <f aca="false">ROUNDUP(F1530/75,0)</f>
        <v>1</v>
      </c>
    </row>
    <row r="1531" customFormat="false" ht="15" hidden="false" customHeight="false" outlineLevel="0" collapsed="false">
      <c r="A1531" s="0" t="s">
        <v>462</v>
      </c>
      <c r="B1531" s="0" t="s">
        <v>559</v>
      </c>
      <c r="C1531" s="0" t="s">
        <v>753</v>
      </c>
      <c r="D1531" s="0" t="n">
        <v>6</v>
      </c>
      <c r="E1531" s="0" t="n">
        <v>7</v>
      </c>
      <c r="F1531" s="0" t="n">
        <f aca="false">D1531*E1531</f>
        <v>42</v>
      </c>
      <c r="G1531" s="0" t="n">
        <f aca="false">ROUNDUP(F1531/75,0)</f>
        <v>1</v>
      </c>
    </row>
    <row r="1532" customFormat="false" ht="15" hidden="false" customHeight="false" outlineLevel="0" collapsed="false">
      <c r="A1532" s="0" t="s">
        <v>462</v>
      </c>
      <c r="B1532" s="0" t="s">
        <v>559</v>
      </c>
      <c r="C1532" s="0" t="s">
        <v>755</v>
      </c>
      <c r="D1532" s="0" t="n">
        <v>6</v>
      </c>
      <c r="E1532" s="0" t="n">
        <v>2</v>
      </c>
      <c r="F1532" s="0" t="n">
        <f aca="false">D1532*E1532</f>
        <v>12</v>
      </c>
      <c r="G1532" s="0" t="n">
        <f aca="false">ROUNDUP(F1532/75,0)</f>
        <v>1</v>
      </c>
    </row>
    <row r="1533" customFormat="false" ht="15" hidden="false" customHeight="false" outlineLevel="0" collapsed="false">
      <c r="A1533" s="0" t="s">
        <v>462</v>
      </c>
      <c r="B1533" s="0" t="s">
        <v>560</v>
      </c>
      <c r="C1533" s="0" t="s">
        <v>756</v>
      </c>
      <c r="D1533" s="0" t="n">
        <v>12</v>
      </c>
      <c r="E1533" s="0" t="n">
        <v>3</v>
      </c>
      <c r="F1533" s="0" t="n">
        <f aca="false">D1533*E1533</f>
        <v>36</v>
      </c>
      <c r="G1533" s="0" t="n">
        <f aca="false">ROUNDUP(F1533/75,0)</f>
        <v>1</v>
      </c>
    </row>
    <row r="1534" customFormat="false" ht="15" hidden="false" customHeight="false" outlineLevel="0" collapsed="false">
      <c r="A1534" s="0" t="s">
        <v>462</v>
      </c>
      <c r="B1534" s="0" t="s">
        <v>560</v>
      </c>
      <c r="C1534" s="0" t="s">
        <v>753</v>
      </c>
      <c r="D1534" s="0" t="n">
        <v>6</v>
      </c>
      <c r="E1534" s="0" t="n">
        <v>2</v>
      </c>
      <c r="F1534" s="0" t="n">
        <f aca="false">D1534*E1534</f>
        <v>12</v>
      </c>
      <c r="G1534" s="0" t="n">
        <f aca="false">ROUNDUP(F1534/75,0)</f>
        <v>1</v>
      </c>
    </row>
    <row r="1535" customFormat="false" ht="15" hidden="false" customHeight="false" outlineLevel="0" collapsed="false">
      <c r="A1535" s="0" t="s">
        <v>462</v>
      </c>
      <c r="B1535" s="0" t="s">
        <v>560</v>
      </c>
      <c r="C1535" s="0" t="s">
        <v>755</v>
      </c>
      <c r="D1535" s="0" t="n">
        <v>6</v>
      </c>
      <c r="E1535" s="0" t="n">
        <v>1</v>
      </c>
      <c r="F1535" s="0" t="n">
        <f aca="false">D1535*E1535</f>
        <v>6</v>
      </c>
      <c r="G1535" s="0" t="n">
        <f aca="false">ROUNDUP(F1535/75,0)</f>
        <v>1</v>
      </c>
    </row>
    <row r="1536" customFormat="false" ht="15" hidden="false" customHeight="false" outlineLevel="0" collapsed="false">
      <c r="A1536" s="0" t="s">
        <v>462</v>
      </c>
      <c r="B1536" s="0" t="s">
        <v>561</v>
      </c>
      <c r="C1536" s="0" t="s">
        <v>756</v>
      </c>
      <c r="D1536" s="0" t="n">
        <v>12</v>
      </c>
      <c r="E1536" s="0" t="n">
        <v>2</v>
      </c>
      <c r="F1536" s="0" t="n">
        <f aca="false">D1536*E1536</f>
        <v>24</v>
      </c>
      <c r="G1536" s="0" t="n">
        <f aca="false">ROUNDUP(F1536/75,0)</f>
        <v>1</v>
      </c>
    </row>
    <row r="1537" customFormat="false" ht="15" hidden="false" customHeight="false" outlineLevel="0" collapsed="false">
      <c r="A1537" s="0" t="s">
        <v>462</v>
      </c>
      <c r="B1537" s="0" t="s">
        <v>561</v>
      </c>
      <c r="C1537" s="0" t="s">
        <v>757</v>
      </c>
      <c r="D1537" s="0" t="n">
        <v>6</v>
      </c>
      <c r="E1537" s="0" t="n">
        <v>2</v>
      </c>
      <c r="F1537" s="0" t="n">
        <f aca="false">D1537*E1537</f>
        <v>12</v>
      </c>
      <c r="G1537" s="0" t="n">
        <f aca="false">ROUNDUP(F1537/75,0)</f>
        <v>1</v>
      </c>
    </row>
    <row r="1538" customFormat="false" ht="15" hidden="false" customHeight="false" outlineLevel="0" collapsed="false">
      <c r="A1538" s="0" t="s">
        <v>462</v>
      </c>
      <c r="B1538" s="0" t="s">
        <v>561</v>
      </c>
      <c r="C1538" s="0" t="s">
        <v>753</v>
      </c>
      <c r="D1538" s="0" t="n">
        <v>6</v>
      </c>
      <c r="E1538" s="0" t="n">
        <v>7</v>
      </c>
      <c r="F1538" s="0" t="n">
        <f aca="false">D1538*E1538</f>
        <v>42</v>
      </c>
      <c r="G1538" s="0" t="n">
        <f aca="false">ROUNDUP(F1538/75,0)</f>
        <v>1</v>
      </c>
    </row>
    <row r="1539" customFormat="false" ht="15" hidden="false" customHeight="false" outlineLevel="0" collapsed="false">
      <c r="A1539" s="0" t="s">
        <v>462</v>
      </c>
      <c r="B1539" s="0" t="s">
        <v>561</v>
      </c>
      <c r="C1539" s="0" t="s">
        <v>755</v>
      </c>
      <c r="D1539" s="0" t="n">
        <v>6</v>
      </c>
      <c r="E1539" s="0" t="n">
        <v>2</v>
      </c>
      <c r="F1539" s="0" t="n">
        <f aca="false">D1539*E1539</f>
        <v>12</v>
      </c>
      <c r="G1539" s="0" t="n">
        <f aca="false">ROUNDUP(F1539/75,0)</f>
        <v>1</v>
      </c>
    </row>
    <row r="1540" customFormat="false" ht="15" hidden="false" customHeight="false" outlineLevel="0" collapsed="false">
      <c r="A1540" s="0" t="s">
        <v>462</v>
      </c>
      <c r="B1540" s="0" t="s">
        <v>562</v>
      </c>
      <c r="C1540" s="0" t="s">
        <v>756</v>
      </c>
      <c r="D1540" s="0" t="n">
        <v>12</v>
      </c>
      <c r="E1540" s="0" t="n">
        <v>8</v>
      </c>
      <c r="F1540" s="0" t="n">
        <f aca="false">D1540*E1540</f>
        <v>96</v>
      </c>
      <c r="G1540" s="0" t="n">
        <f aca="false">ROUNDUP(F1540/75,0)</f>
        <v>2</v>
      </c>
    </row>
    <row r="1541" customFormat="false" ht="15" hidden="false" customHeight="false" outlineLevel="0" collapsed="false">
      <c r="A1541" s="0" t="s">
        <v>462</v>
      </c>
      <c r="B1541" s="0" t="s">
        <v>562</v>
      </c>
      <c r="C1541" s="0" t="s">
        <v>757</v>
      </c>
      <c r="D1541" s="0" t="n">
        <v>6</v>
      </c>
      <c r="E1541" s="0" t="n">
        <v>2</v>
      </c>
      <c r="F1541" s="0" t="n">
        <f aca="false">D1541*E1541</f>
        <v>12</v>
      </c>
      <c r="G1541" s="0" t="n">
        <f aca="false">ROUNDUP(F1541/75,0)</f>
        <v>1</v>
      </c>
    </row>
    <row r="1542" customFormat="false" ht="15" hidden="false" customHeight="false" outlineLevel="0" collapsed="false">
      <c r="A1542" s="0" t="s">
        <v>462</v>
      </c>
      <c r="B1542" s="0" t="s">
        <v>562</v>
      </c>
      <c r="C1542" s="0" t="s">
        <v>753</v>
      </c>
      <c r="D1542" s="0" t="n">
        <v>6</v>
      </c>
      <c r="E1542" s="0" t="n">
        <v>4</v>
      </c>
      <c r="F1542" s="0" t="n">
        <f aca="false">D1542*E1542</f>
        <v>24</v>
      </c>
      <c r="G1542" s="0" t="n">
        <f aca="false">ROUNDUP(F1542/75,0)</f>
        <v>1</v>
      </c>
    </row>
    <row r="1543" customFormat="false" ht="15" hidden="false" customHeight="false" outlineLevel="0" collapsed="false">
      <c r="A1543" s="0" t="s">
        <v>462</v>
      </c>
      <c r="B1543" s="0" t="s">
        <v>562</v>
      </c>
      <c r="C1543" s="0" t="s">
        <v>755</v>
      </c>
      <c r="D1543" s="0" t="n">
        <v>6</v>
      </c>
      <c r="E1543" s="0" t="n">
        <v>6</v>
      </c>
      <c r="F1543" s="0" t="n">
        <f aca="false">D1543*E1543</f>
        <v>36</v>
      </c>
      <c r="G1543" s="0" t="n">
        <f aca="false">ROUNDUP(F1543/75,0)</f>
        <v>1</v>
      </c>
    </row>
    <row r="1544" customFormat="false" ht="15" hidden="false" customHeight="false" outlineLevel="0" collapsed="false">
      <c r="A1544" s="0" t="s">
        <v>462</v>
      </c>
      <c r="B1544" s="0" t="s">
        <v>563</v>
      </c>
      <c r="C1544" s="0" t="s">
        <v>756</v>
      </c>
      <c r="D1544" s="0" t="n">
        <v>12</v>
      </c>
      <c r="E1544" s="0" t="n">
        <v>1</v>
      </c>
      <c r="F1544" s="0" t="n">
        <f aca="false">D1544*E1544</f>
        <v>12</v>
      </c>
      <c r="G1544" s="0" t="n">
        <f aca="false">ROUNDUP(F1544/75,0)</f>
        <v>1</v>
      </c>
    </row>
    <row r="1545" customFormat="false" ht="15" hidden="false" customHeight="false" outlineLevel="0" collapsed="false">
      <c r="A1545" s="0" t="s">
        <v>462</v>
      </c>
      <c r="B1545" s="0" t="s">
        <v>563</v>
      </c>
      <c r="C1545" s="0" t="s">
        <v>757</v>
      </c>
      <c r="D1545" s="0" t="n">
        <v>6</v>
      </c>
      <c r="E1545" s="0" t="n">
        <v>2</v>
      </c>
      <c r="F1545" s="0" t="n">
        <f aca="false">D1545*E1545</f>
        <v>12</v>
      </c>
      <c r="G1545" s="0" t="n">
        <f aca="false">ROUNDUP(F1545/75,0)</f>
        <v>1</v>
      </c>
    </row>
    <row r="1546" customFormat="false" ht="15" hidden="false" customHeight="false" outlineLevel="0" collapsed="false">
      <c r="A1546" s="0" t="s">
        <v>462</v>
      </c>
      <c r="B1546" s="0" t="s">
        <v>563</v>
      </c>
      <c r="C1546" s="0" t="s">
        <v>753</v>
      </c>
      <c r="D1546" s="0" t="n">
        <v>6</v>
      </c>
      <c r="E1546" s="0" t="n">
        <v>3</v>
      </c>
      <c r="F1546" s="0" t="n">
        <f aca="false">D1546*E1546</f>
        <v>18</v>
      </c>
      <c r="G1546" s="0" t="n">
        <f aca="false">ROUNDUP(F1546/75,0)</f>
        <v>1</v>
      </c>
    </row>
    <row r="1547" customFormat="false" ht="15" hidden="false" customHeight="false" outlineLevel="0" collapsed="false">
      <c r="A1547" s="0" t="s">
        <v>462</v>
      </c>
      <c r="B1547" s="0" t="s">
        <v>563</v>
      </c>
      <c r="C1547" s="0" t="s">
        <v>755</v>
      </c>
      <c r="D1547" s="0" t="n">
        <v>6</v>
      </c>
      <c r="E1547" s="0" t="n">
        <v>7</v>
      </c>
      <c r="F1547" s="0" t="n">
        <f aca="false">D1547*E1547</f>
        <v>42</v>
      </c>
      <c r="G1547" s="0" t="n">
        <f aca="false">ROUNDUP(F1547/75,0)</f>
        <v>1</v>
      </c>
    </row>
    <row r="1548" customFormat="false" ht="15" hidden="false" customHeight="false" outlineLevel="0" collapsed="false">
      <c r="A1548" s="0" t="s">
        <v>462</v>
      </c>
      <c r="B1548" s="0" t="s">
        <v>564</v>
      </c>
      <c r="C1548" s="0" t="s">
        <v>757</v>
      </c>
      <c r="D1548" s="0" t="n">
        <v>6</v>
      </c>
      <c r="E1548" s="0" t="n">
        <v>2</v>
      </c>
      <c r="F1548" s="0" t="n">
        <f aca="false">D1548*E1548</f>
        <v>12</v>
      </c>
      <c r="G1548" s="0" t="n">
        <f aca="false">ROUNDUP(F1548/75,0)</f>
        <v>1</v>
      </c>
    </row>
    <row r="1549" customFormat="false" ht="15" hidden="false" customHeight="false" outlineLevel="0" collapsed="false">
      <c r="A1549" s="0" t="s">
        <v>462</v>
      </c>
      <c r="B1549" s="0" t="s">
        <v>564</v>
      </c>
      <c r="C1549" s="0" t="s">
        <v>753</v>
      </c>
      <c r="D1549" s="0" t="n">
        <v>6</v>
      </c>
      <c r="E1549" s="0" t="n">
        <v>7</v>
      </c>
      <c r="F1549" s="0" t="n">
        <f aca="false">D1549*E1549</f>
        <v>42</v>
      </c>
      <c r="G1549" s="0" t="n">
        <f aca="false">ROUNDUP(F1549/75,0)</f>
        <v>1</v>
      </c>
    </row>
    <row r="1550" customFormat="false" ht="15" hidden="false" customHeight="false" outlineLevel="0" collapsed="false">
      <c r="A1550" s="0" t="s">
        <v>462</v>
      </c>
      <c r="B1550" s="0" t="s">
        <v>564</v>
      </c>
      <c r="C1550" s="0" t="s">
        <v>755</v>
      </c>
      <c r="D1550" s="0" t="n">
        <v>6</v>
      </c>
      <c r="E1550" s="0" t="n">
        <v>6</v>
      </c>
      <c r="F1550" s="0" t="n">
        <f aca="false">D1550*E1550</f>
        <v>36</v>
      </c>
      <c r="G1550" s="0" t="n">
        <f aca="false">ROUNDUP(F1550/75,0)</f>
        <v>1</v>
      </c>
    </row>
    <row r="1551" customFormat="false" ht="15" hidden="false" customHeight="false" outlineLevel="0" collapsed="false">
      <c r="A1551" s="0" t="s">
        <v>462</v>
      </c>
      <c r="B1551" s="0" t="s">
        <v>565</v>
      </c>
      <c r="C1551" s="0" t="s">
        <v>756</v>
      </c>
      <c r="D1551" s="0" t="n">
        <v>12</v>
      </c>
      <c r="E1551" s="0" t="n">
        <v>2</v>
      </c>
      <c r="F1551" s="0" t="n">
        <f aca="false">D1551*E1551</f>
        <v>24</v>
      </c>
      <c r="G1551" s="0" t="n">
        <f aca="false">ROUNDUP(F1551/75,0)</f>
        <v>1</v>
      </c>
    </row>
    <row r="1552" customFormat="false" ht="15" hidden="false" customHeight="false" outlineLevel="0" collapsed="false">
      <c r="A1552" s="0" t="s">
        <v>462</v>
      </c>
      <c r="B1552" s="0" t="s">
        <v>565</v>
      </c>
      <c r="C1552" s="0" t="s">
        <v>753</v>
      </c>
      <c r="D1552" s="0" t="n">
        <v>6</v>
      </c>
      <c r="E1552" s="0" t="n">
        <v>1</v>
      </c>
      <c r="F1552" s="0" t="n">
        <f aca="false">D1552*E1552</f>
        <v>6</v>
      </c>
      <c r="G1552" s="0" t="n">
        <f aca="false">ROUNDUP(F1552/75,0)</f>
        <v>1</v>
      </c>
    </row>
    <row r="1553" customFormat="false" ht="15" hidden="false" customHeight="false" outlineLevel="0" collapsed="false">
      <c r="A1553" s="0" t="s">
        <v>462</v>
      </c>
      <c r="B1553" s="0" t="s">
        <v>566</v>
      </c>
      <c r="C1553" s="0" t="s">
        <v>756</v>
      </c>
      <c r="D1553" s="0" t="n">
        <v>12</v>
      </c>
      <c r="E1553" s="0" t="n">
        <v>3</v>
      </c>
      <c r="F1553" s="0" t="n">
        <f aca="false">D1553*E1553</f>
        <v>36</v>
      </c>
      <c r="G1553" s="0" t="n">
        <f aca="false">ROUNDUP(F1553/75,0)</f>
        <v>1</v>
      </c>
    </row>
    <row r="1554" customFormat="false" ht="15" hidden="false" customHeight="false" outlineLevel="0" collapsed="false">
      <c r="A1554" s="0" t="s">
        <v>462</v>
      </c>
      <c r="B1554" s="0" t="s">
        <v>566</v>
      </c>
      <c r="C1554" s="0" t="s">
        <v>757</v>
      </c>
      <c r="D1554" s="0" t="n">
        <v>6</v>
      </c>
      <c r="E1554" s="0" t="n">
        <v>4</v>
      </c>
      <c r="F1554" s="0" t="n">
        <f aca="false">D1554*E1554</f>
        <v>24</v>
      </c>
      <c r="G1554" s="0" t="n">
        <f aca="false">ROUNDUP(F1554/75,0)</f>
        <v>1</v>
      </c>
    </row>
    <row r="1555" customFormat="false" ht="15" hidden="false" customHeight="false" outlineLevel="0" collapsed="false">
      <c r="A1555" s="0" t="s">
        <v>462</v>
      </c>
      <c r="B1555" s="0" t="s">
        <v>566</v>
      </c>
      <c r="C1555" s="0" t="s">
        <v>753</v>
      </c>
      <c r="D1555" s="0" t="n">
        <v>6</v>
      </c>
      <c r="E1555" s="0" t="n">
        <v>2</v>
      </c>
      <c r="F1555" s="0" t="n">
        <f aca="false">D1555*E1555</f>
        <v>12</v>
      </c>
      <c r="G1555" s="0" t="n">
        <f aca="false">ROUNDUP(F1555/75,0)</f>
        <v>1</v>
      </c>
    </row>
    <row r="1556" customFormat="false" ht="15" hidden="false" customHeight="false" outlineLevel="0" collapsed="false">
      <c r="A1556" s="0" t="s">
        <v>462</v>
      </c>
      <c r="B1556" s="0" t="s">
        <v>566</v>
      </c>
      <c r="C1556" s="0" t="s">
        <v>755</v>
      </c>
      <c r="D1556" s="0" t="n">
        <v>6</v>
      </c>
      <c r="E1556" s="0" t="n">
        <v>7</v>
      </c>
      <c r="F1556" s="0" t="n">
        <f aca="false">D1556*E1556</f>
        <v>42</v>
      </c>
      <c r="G1556" s="0" t="n">
        <f aca="false">ROUNDUP(F1556/75,0)</f>
        <v>1</v>
      </c>
    </row>
    <row r="1557" customFormat="false" ht="15" hidden="false" customHeight="false" outlineLevel="0" collapsed="false">
      <c r="A1557" s="0" t="s">
        <v>462</v>
      </c>
      <c r="B1557" s="0" t="s">
        <v>567</v>
      </c>
      <c r="C1557" s="0" t="s">
        <v>756</v>
      </c>
      <c r="D1557" s="0" t="n">
        <v>12</v>
      </c>
      <c r="E1557" s="0" t="n">
        <v>5</v>
      </c>
      <c r="F1557" s="0" t="n">
        <f aca="false">D1557*E1557</f>
        <v>60</v>
      </c>
      <c r="G1557" s="0" t="n">
        <f aca="false">ROUNDUP(F1557/75,0)</f>
        <v>1</v>
      </c>
    </row>
    <row r="1558" customFormat="false" ht="15" hidden="false" customHeight="false" outlineLevel="0" collapsed="false">
      <c r="A1558" s="0" t="s">
        <v>462</v>
      </c>
      <c r="B1558" s="0" t="s">
        <v>567</v>
      </c>
      <c r="C1558" s="0" t="s">
        <v>753</v>
      </c>
      <c r="D1558" s="0" t="n">
        <v>6</v>
      </c>
      <c r="E1558" s="0" t="n">
        <v>6</v>
      </c>
      <c r="F1558" s="0" t="n">
        <f aca="false">D1558*E1558</f>
        <v>36</v>
      </c>
      <c r="G1558" s="0" t="n">
        <f aca="false">ROUNDUP(F1558/75,0)</f>
        <v>1</v>
      </c>
    </row>
    <row r="1559" customFormat="false" ht="15" hidden="false" customHeight="false" outlineLevel="0" collapsed="false">
      <c r="A1559" s="0" t="s">
        <v>462</v>
      </c>
      <c r="B1559" s="0" t="s">
        <v>567</v>
      </c>
      <c r="C1559" s="0" t="s">
        <v>755</v>
      </c>
      <c r="D1559" s="0" t="n">
        <v>6</v>
      </c>
      <c r="E1559" s="0" t="n">
        <v>4</v>
      </c>
      <c r="F1559" s="0" t="n">
        <f aca="false">D1559*E1559</f>
        <v>24</v>
      </c>
      <c r="G1559" s="0" t="n">
        <f aca="false">ROUNDUP(F1559/75,0)</f>
        <v>1</v>
      </c>
    </row>
    <row r="1560" customFormat="false" ht="15" hidden="false" customHeight="false" outlineLevel="0" collapsed="false">
      <c r="A1560" s="0" t="s">
        <v>462</v>
      </c>
      <c r="B1560" s="0" t="s">
        <v>568</v>
      </c>
      <c r="C1560" s="0" t="s">
        <v>753</v>
      </c>
      <c r="D1560" s="0" t="n">
        <v>6</v>
      </c>
      <c r="E1560" s="0" t="n">
        <v>3</v>
      </c>
      <c r="F1560" s="0" t="n">
        <f aca="false">D1560*E1560</f>
        <v>18</v>
      </c>
      <c r="G1560" s="0" t="n">
        <f aca="false">ROUNDUP(F1560/75,0)</f>
        <v>1</v>
      </c>
    </row>
    <row r="1561" customFormat="false" ht="15" hidden="false" customHeight="false" outlineLevel="0" collapsed="false">
      <c r="A1561" s="0" t="s">
        <v>462</v>
      </c>
      <c r="B1561" s="0" t="s">
        <v>568</v>
      </c>
      <c r="C1561" s="0" t="s">
        <v>755</v>
      </c>
      <c r="D1561" s="0" t="n">
        <v>6</v>
      </c>
      <c r="E1561" s="0" t="n">
        <v>5</v>
      </c>
      <c r="F1561" s="0" t="n">
        <f aca="false">D1561*E1561</f>
        <v>30</v>
      </c>
      <c r="G1561" s="0" t="n">
        <f aca="false">ROUNDUP(F1561/75,0)</f>
        <v>1</v>
      </c>
    </row>
    <row r="1562" customFormat="false" ht="15" hidden="false" customHeight="false" outlineLevel="0" collapsed="false">
      <c r="A1562" s="0" t="s">
        <v>462</v>
      </c>
      <c r="B1562" s="0" t="s">
        <v>569</v>
      </c>
      <c r="C1562" s="0" t="s">
        <v>756</v>
      </c>
      <c r="D1562" s="0" t="n">
        <v>12</v>
      </c>
      <c r="E1562" s="0" t="n">
        <v>1</v>
      </c>
      <c r="F1562" s="0" t="n">
        <f aca="false">D1562*E1562</f>
        <v>12</v>
      </c>
      <c r="G1562" s="0" t="n">
        <f aca="false">ROUNDUP(F1562/75,0)</f>
        <v>1</v>
      </c>
    </row>
    <row r="1563" customFormat="false" ht="15" hidden="false" customHeight="false" outlineLevel="0" collapsed="false">
      <c r="A1563" s="0" t="s">
        <v>462</v>
      </c>
      <c r="B1563" s="0" t="s">
        <v>569</v>
      </c>
      <c r="C1563" s="0" t="s">
        <v>757</v>
      </c>
      <c r="D1563" s="0" t="n">
        <v>6</v>
      </c>
      <c r="E1563" s="0" t="n">
        <v>2</v>
      </c>
      <c r="F1563" s="0" t="n">
        <f aca="false">D1563*E1563</f>
        <v>12</v>
      </c>
      <c r="G1563" s="0" t="n">
        <f aca="false">ROUNDUP(F1563/75,0)</f>
        <v>1</v>
      </c>
    </row>
    <row r="1564" customFormat="false" ht="15" hidden="false" customHeight="false" outlineLevel="0" collapsed="false">
      <c r="A1564" s="0" t="s">
        <v>462</v>
      </c>
      <c r="B1564" s="0" t="s">
        <v>569</v>
      </c>
      <c r="C1564" s="0" t="s">
        <v>753</v>
      </c>
      <c r="D1564" s="0" t="n">
        <v>6</v>
      </c>
      <c r="E1564" s="0" t="n">
        <v>3</v>
      </c>
      <c r="F1564" s="0" t="n">
        <f aca="false">D1564*E1564</f>
        <v>18</v>
      </c>
      <c r="G1564" s="0" t="n">
        <f aca="false">ROUNDUP(F1564/75,0)</f>
        <v>1</v>
      </c>
    </row>
    <row r="1565" customFormat="false" ht="15" hidden="false" customHeight="false" outlineLevel="0" collapsed="false">
      <c r="A1565" s="0" t="s">
        <v>462</v>
      </c>
      <c r="B1565" s="0" t="s">
        <v>569</v>
      </c>
      <c r="C1565" s="0" t="s">
        <v>755</v>
      </c>
      <c r="D1565" s="0" t="n">
        <v>6</v>
      </c>
      <c r="E1565" s="0" t="n">
        <v>3</v>
      </c>
      <c r="F1565" s="0" t="n">
        <f aca="false">D1565*E1565</f>
        <v>18</v>
      </c>
      <c r="G1565" s="0" t="n">
        <f aca="false">ROUNDUP(F1565/75,0)</f>
        <v>1</v>
      </c>
    </row>
    <row r="1566" customFormat="false" ht="15" hidden="false" customHeight="false" outlineLevel="0" collapsed="false">
      <c r="A1566" s="0" t="s">
        <v>462</v>
      </c>
      <c r="B1566" s="0" t="s">
        <v>570</v>
      </c>
      <c r="C1566" s="0" t="s">
        <v>756</v>
      </c>
      <c r="D1566" s="0" t="n">
        <v>12</v>
      </c>
      <c r="E1566" s="0" t="n">
        <v>1</v>
      </c>
      <c r="F1566" s="0" t="n">
        <f aca="false">D1566*E1566</f>
        <v>12</v>
      </c>
      <c r="G1566" s="0" t="n">
        <f aca="false">ROUNDUP(F1566/75,0)</f>
        <v>1</v>
      </c>
    </row>
    <row r="1567" customFormat="false" ht="15" hidden="false" customHeight="false" outlineLevel="0" collapsed="false">
      <c r="A1567" s="0" t="s">
        <v>462</v>
      </c>
      <c r="B1567" s="0" t="s">
        <v>570</v>
      </c>
      <c r="C1567" s="0" t="s">
        <v>757</v>
      </c>
      <c r="D1567" s="0" t="n">
        <v>6</v>
      </c>
      <c r="E1567" s="0" t="n">
        <v>4</v>
      </c>
      <c r="F1567" s="0" t="n">
        <f aca="false">D1567*E1567</f>
        <v>24</v>
      </c>
      <c r="G1567" s="0" t="n">
        <f aca="false">ROUNDUP(F1567/75,0)</f>
        <v>1</v>
      </c>
    </row>
    <row r="1568" customFormat="false" ht="15" hidden="false" customHeight="false" outlineLevel="0" collapsed="false">
      <c r="A1568" s="0" t="s">
        <v>462</v>
      </c>
      <c r="B1568" s="0" t="s">
        <v>570</v>
      </c>
      <c r="C1568" s="0" t="s">
        <v>753</v>
      </c>
      <c r="D1568" s="0" t="n">
        <v>6</v>
      </c>
      <c r="E1568" s="0" t="n">
        <v>1</v>
      </c>
      <c r="F1568" s="0" t="n">
        <f aca="false">D1568*E1568</f>
        <v>6</v>
      </c>
      <c r="G1568" s="0" t="n">
        <f aca="false">ROUNDUP(F1568/75,0)</f>
        <v>1</v>
      </c>
    </row>
    <row r="1569" customFormat="false" ht="15" hidden="false" customHeight="false" outlineLevel="0" collapsed="false">
      <c r="A1569" s="0" t="s">
        <v>462</v>
      </c>
      <c r="B1569" s="0" t="s">
        <v>570</v>
      </c>
      <c r="C1569" s="0" t="s">
        <v>755</v>
      </c>
      <c r="D1569" s="0" t="n">
        <v>6</v>
      </c>
      <c r="E1569" s="0" t="n">
        <v>1</v>
      </c>
      <c r="F1569" s="0" t="n">
        <f aca="false">D1569*E1569</f>
        <v>6</v>
      </c>
      <c r="G1569" s="0" t="n">
        <f aca="false">ROUNDUP(F1569/75,0)</f>
        <v>1</v>
      </c>
    </row>
    <row r="1570" customFormat="false" ht="15" hidden="false" customHeight="false" outlineLevel="0" collapsed="false">
      <c r="A1570" s="0" t="s">
        <v>462</v>
      </c>
      <c r="B1570" s="0" t="s">
        <v>571</v>
      </c>
      <c r="C1570" s="0" t="s">
        <v>756</v>
      </c>
      <c r="D1570" s="0" t="n">
        <v>12</v>
      </c>
      <c r="E1570" s="0" t="n">
        <v>1</v>
      </c>
      <c r="F1570" s="0" t="n">
        <f aca="false">D1570*E1570</f>
        <v>12</v>
      </c>
      <c r="G1570" s="0" t="n">
        <f aca="false">ROUNDUP(F1570/75,0)</f>
        <v>1</v>
      </c>
    </row>
    <row r="1571" customFormat="false" ht="15" hidden="false" customHeight="false" outlineLevel="0" collapsed="false">
      <c r="A1571" s="0" t="s">
        <v>462</v>
      </c>
      <c r="B1571" s="0" t="s">
        <v>571</v>
      </c>
      <c r="C1571" s="0" t="s">
        <v>757</v>
      </c>
      <c r="D1571" s="0" t="n">
        <v>6</v>
      </c>
      <c r="E1571" s="0" t="n">
        <v>1</v>
      </c>
      <c r="F1571" s="0" t="n">
        <f aca="false">D1571*E1571</f>
        <v>6</v>
      </c>
      <c r="G1571" s="0" t="n">
        <f aca="false">ROUNDUP(F1571/75,0)</f>
        <v>1</v>
      </c>
    </row>
    <row r="1572" customFormat="false" ht="15" hidden="false" customHeight="false" outlineLevel="0" collapsed="false">
      <c r="A1572" s="0" t="s">
        <v>462</v>
      </c>
      <c r="B1572" s="0" t="s">
        <v>571</v>
      </c>
      <c r="C1572" s="0" t="s">
        <v>753</v>
      </c>
      <c r="D1572" s="0" t="n">
        <v>6</v>
      </c>
      <c r="E1572" s="0" t="n">
        <v>2</v>
      </c>
      <c r="F1572" s="0" t="n">
        <f aca="false">D1572*E1572</f>
        <v>12</v>
      </c>
      <c r="G1572" s="0" t="n">
        <f aca="false">ROUNDUP(F1572/75,0)</f>
        <v>1</v>
      </c>
    </row>
    <row r="1573" customFormat="false" ht="15" hidden="false" customHeight="false" outlineLevel="0" collapsed="false">
      <c r="A1573" s="0" t="s">
        <v>462</v>
      </c>
      <c r="B1573" s="0" t="s">
        <v>572</v>
      </c>
      <c r="C1573" s="0" t="s">
        <v>756</v>
      </c>
      <c r="D1573" s="0" t="n">
        <v>12</v>
      </c>
      <c r="E1573" s="0" t="n">
        <v>5</v>
      </c>
      <c r="F1573" s="0" t="n">
        <f aca="false">D1573*E1573</f>
        <v>60</v>
      </c>
      <c r="G1573" s="0" t="n">
        <f aca="false">ROUNDUP(F1573/75,0)</f>
        <v>1</v>
      </c>
    </row>
    <row r="1574" customFormat="false" ht="15" hidden="false" customHeight="false" outlineLevel="0" collapsed="false">
      <c r="A1574" s="0" t="s">
        <v>462</v>
      </c>
      <c r="B1574" s="0" t="s">
        <v>572</v>
      </c>
      <c r="C1574" s="0" t="s">
        <v>757</v>
      </c>
      <c r="D1574" s="0" t="n">
        <v>6</v>
      </c>
      <c r="E1574" s="0" t="n">
        <v>1</v>
      </c>
      <c r="F1574" s="0" t="n">
        <f aca="false">D1574*E1574</f>
        <v>6</v>
      </c>
      <c r="G1574" s="0" t="n">
        <f aca="false">ROUNDUP(F1574/75,0)</f>
        <v>1</v>
      </c>
    </row>
    <row r="1575" customFormat="false" ht="15" hidden="false" customHeight="false" outlineLevel="0" collapsed="false">
      <c r="A1575" s="0" t="s">
        <v>462</v>
      </c>
      <c r="B1575" s="0" t="s">
        <v>572</v>
      </c>
      <c r="C1575" s="0" t="s">
        <v>753</v>
      </c>
      <c r="D1575" s="0" t="n">
        <v>6</v>
      </c>
      <c r="E1575" s="0" t="n">
        <v>3</v>
      </c>
      <c r="F1575" s="0" t="n">
        <f aca="false">D1575*E1575</f>
        <v>18</v>
      </c>
      <c r="G1575" s="0" t="n">
        <f aca="false">ROUNDUP(F1575/75,0)</f>
        <v>1</v>
      </c>
    </row>
    <row r="1576" customFormat="false" ht="15" hidden="false" customHeight="false" outlineLevel="0" collapsed="false">
      <c r="A1576" s="0" t="s">
        <v>462</v>
      </c>
      <c r="B1576" s="0" t="s">
        <v>572</v>
      </c>
      <c r="C1576" s="0" t="s">
        <v>755</v>
      </c>
      <c r="D1576" s="0" t="n">
        <v>6</v>
      </c>
      <c r="E1576" s="0" t="n">
        <v>1</v>
      </c>
      <c r="F1576" s="0" t="n">
        <f aca="false">D1576*E1576</f>
        <v>6</v>
      </c>
      <c r="G1576" s="0" t="n">
        <f aca="false">ROUNDUP(F1576/75,0)</f>
        <v>1</v>
      </c>
    </row>
    <row r="1577" customFormat="false" ht="15" hidden="false" customHeight="false" outlineLevel="0" collapsed="false">
      <c r="A1577" s="0" t="s">
        <v>462</v>
      </c>
      <c r="B1577" s="0" t="s">
        <v>573</v>
      </c>
      <c r="C1577" s="0" t="s">
        <v>757</v>
      </c>
      <c r="D1577" s="0" t="n">
        <v>6</v>
      </c>
      <c r="E1577" s="0" t="n">
        <v>5</v>
      </c>
      <c r="F1577" s="0" t="n">
        <f aca="false">D1577*E1577</f>
        <v>30</v>
      </c>
      <c r="G1577" s="0" t="n">
        <f aca="false">ROUNDUP(F1577/75,0)</f>
        <v>1</v>
      </c>
    </row>
    <row r="1578" customFormat="false" ht="15" hidden="false" customHeight="false" outlineLevel="0" collapsed="false">
      <c r="A1578" s="0" t="s">
        <v>462</v>
      </c>
      <c r="B1578" s="0" t="s">
        <v>573</v>
      </c>
      <c r="C1578" s="0" t="s">
        <v>753</v>
      </c>
      <c r="D1578" s="0" t="n">
        <v>6</v>
      </c>
      <c r="E1578" s="0" t="n">
        <v>7</v>
      </c>
      <c r="F1578" s="0" t="n">
        <f aca="false">D1578*E1578</f>
        <v>42</v>
      </c>
      <c r="G1578" s="0" t="n">
        <f aca="false">ROUNDUP(F1578/75,0)</f>
        <v>1</v>
      </c>
    </row>
    <row r="1579" customFormat="false" ht="15" hidden="false" customHeight="false" outlineLevel="0" collapsed="false">
      <c r="A1579" s="0" t="s">
        <v>462</v>
      </c>
      <c r="B1579" s="0" t="s">
        <v>573</v>
      </c>
      <c r="C1579" s="0" t="s">
        <v>755</v>
      </c>
      <c r="D1579" s="0" t="n">
        <v>6</v>
      </c>
      <c r="E1579" s="0" t="n">
        <v>7</v>
      </c>
      <c r="F1579" s="0" t="n">
        <f aca="false">D1579*E1579</f>
        <v>42</v>
      </c>
      <c r="G1579" s="0" t="n">
        <f aca="false">ROUNDUP(F1579/75,0)</f>
        <v>1</v>
      </c>
    </row>
    <row r="1580" customFormat="false" ht="15" hidden="false" customHeight="false" outlineLevel="0" collapsed="false">
      <c r="A1580" s="0" t="s">
        <v>462</v>
      </c>
      <c r="B1580" s="0" t="s">
        <v>574</v>
      </c>
      <c r="C1580" s="0" t="s">
        <v>757</v>
      </c>
      <c r="D1580" s="0" t="n">
        <v>6</v>
      </c>
      <c r="E1580" s="0" t="n">
        <v>5</v>
      </c>
      <c r="F1580" s="0" t="n">
        <f aca="false">D1580*E1580</f>
        <v>30</v>
      </c>
      <c r="G1580" s="0" t="n">
        <f aca="false">ROUNDUP(F1580/75,0)</f>
        <v>1</v>
      </c>
    </row>
    <row r="1581" customFormat="false" ht="15" hidden="false" customHeight="false" outlineLevel="0" collapsed="false">
      <c r="A1581" s="0" t="s">
        <v>462</v>
      </c>
      <c r="B1581" s="0" t="s">
        <v>574</v>
      </c>
      <c r="C1581" s="0" t="s">
        <v>753</v>
      </c>
      <c r="D1581" s="0" t="n">
        <v>6</v>
      </c>
      <c r="E1581" s="0" t="n">
        <v>3</v>
      </c>
      <c r="F1581" s="0" t="n">
        <f aca="false">D1581*E1581</f>
        <v>18</v>
      </c>
      <c r="G1581" s="0" t="n">
        <f aca="false">ROUNDUP(F1581/75,0)</f>
        <v>1</v>
      </c>
    </row>
    <row r="1582" customFormat="false" ht="15" hidden="false" customHeight="false" outlineLevel="0" collapsed="false">
      <c r="A1582" s="0" t="s">
        <v>462</v>
      </c>
      <c r="B1582" s="0" t="s">
        <v>574</v>
      </c>
      <c r="C1582" s="0" t="s">
        <v>755</v>
      </c>
      <c r="D1582" s="0" t="n">
        <v>6</v>
      </c>
      <c r="E1582" s="0" t="n">
        <v>7</v>
      </c>
      <c r="F1582" s="0" t="n">
        <f aca="false">D1582*E1582</f>
        <v>42</v>
      </c>
      <c r="G1582" s="0" t="n">
        <f aca="false">ROUNDUP(F1582/75,0)</f>
        <v>1</v>
      </c>
    </row>
    <row r="1583" customFormat="false" ht="15" hidden="false" customHeight="false" outlineLevel="0" collapsed="false">
      <c r="A1583" s="0" t="s">
        <v>462</v>
      </c>
      <c r="B1583" s="0" t="s">
        <v>575</v>
      </c>
      <c r="C1583" s="0" t="s">
        <v>756</v>
      </c>
      <c r="D1583" s="0" t="n">
        <v>12</v>
      </c>
      <c r="E1583" s="0" t="n">
        <v>1</v>
      </c>
      <c r="F1583" s="0" t="n">
        <f aca="false">D1583*E1583</f>
        <v>12</v>
      </c>
      <c r="G1583" s="0" t="n">
        <f aca="false">ROUNDUP(F1583/75,0)</f>
        <v>1</v>
      </c>
    </row>
    <row r="1584" customFormat="false" ht="15" hidden="false" customHeight="false" outlineLevel="0" collapsed="false">
      <c r="A1584" s="0" t="s">
        <v>462</v>
      </c>
      <c r="B1584" s="0" t="s">
        <v>575</v>
      </c>
      <c r="C1584" s="0" t="s">
        <v>757</v>
      </c>
      <c r="D1584" s="0" t="n">
        <v>6</v>
      </c>
      <c r="E1584" s="0" t="n">
        <v>2</v>
      </c>
      <c r="F1584" s="0" t="n">
        <f aca="false">D1584*E1584</f>
        <v>12</v>
      </c>
      <c r="G1584" s="0" t="n">
        <f aca="false">ROUNDUP(F1584/75,0)</f>
        <v>1</v>
      </c>
    </row>
    <row r="1585" customFormat="false" ht="15" hidden="false" customHeight="false" outlineLevel="0" collapsed="false">
      <c r="A1585" s="0" t="s">
        <v>462</v>
      </c>
      <c r="B1585" s="0" t="s">
        <v>575</v>
      </c>
      <c r="C1585" s="0" t="s">
        <v>753</v>
      </c>
      <c r="D1585" s="0" t="n">
        <v>6</v>
      </c>
      <c r="E1585" s="0" t="n">
        <v>4</v>
      </c>
      <c r="F1585" s="0" t="n">
        <f aca="false">D1585*E1585</f>
        <v>24</v>
      </c>
      <c r="G1585" s="0" t="n">
        <f aca="false">ROUNDUP(F1585/75,0)</f>
        <v>1</v>
      </c>
    </row>
    <row r="1586" customFormat="false" ht="15" hidden="false" customHeight="false" outlineLevel="0" collapsed="false">
      <c r="A1586" s="0" t="s">
        <v>462</v>
      </c>
      <c r="B1586" s="0" t="s">
        <v>575</v>
      </c>
      <c r="C1586" s="0" t="s">
        <v>755</v>
      </c>
      <c r="D1586" s="0" t="n">
        <v>6</v>
      </c>
      <c r="E1586" s="0" t="n">
        <v>2</v>
      </c>
      <c r="F1586" s="0" t="n">
        <f aca="false">D1586*E1586</f>
        <v>12</v>
      </c>
      <c r="G1586" s="0" t="n">
        <f aca="false">ROUNDUP(F1586/75,0)</f>
        <v>1</v>
      </c>
    </row>
    <row r="1587" customFormat="false" ht="15" hidden="false" customHeight="false" outlineLevel="0" collapsed="false">
      <c r="A1587" s="0" t="s">
        <v>462</v>
      </c>
      <c r="B1587" s="0" t="s">
        <v>576</v>
      </c>
      <c r="C1587" s="0" t="s">
        <v>756</v>
      </c>
      <c r="D1587" s="0" t="n">
        <v>12</v>
      </c>
      <c r="E1587" s="0" t="n">
        <v>2</v>
      </c>
      <c r="F1587" s="0" t="n">
        <f aca="false">D1587*E1587</f>
        <v>24</v>
      </c>
      <c r="G1587" s="0" t="n">
        <f aca="false">ROUNDUP(F1587/75,0)</f>
        <v>1</v>
      </c>
    </row>
    <row r="1588" customFormat="false" ht="15" hidden="false" customHeight="false" outlineLevel="0" collapsed="false">
      <c r="A1588" s="0" t="s">
        <v>462</v>
      </c>
      <c r="B1588" s="0" t="s">
        <v>576</v>
      </c>
      <c r="C1588" s="0" t="s">
        <v>757</v>
      </c>
      <c r="D1588" s="0" t="n">
        <v>6</v>
      </c>
      <c r="E1588" s="0" t="n">
        <v>3</v>
      </c>
      <c r="F1588" s="0" t="n">
        <f aca="false">D1588*E1588</f>
        <v>18</v>
      </c>
      <c r="G1588" s="0" t="n">
        <f aca="false">ROUNDUP(F1588/75,0)</f>
        <v>1</v>
      </c>
    </row>
    <row r="1589" customFormat="false" ht="15" hidden="false" customHeight="false" outlineLevel="0" collapsed="false">
      <c r="A1589" s="0" t="s">
        <v>462</v>
      </c>
      <c r="B1589" s="0" t="s">
        <v>576</v>
      </c>
      <c r="C1589" s="0" t="s">
        <v>753</v>
      </c>
      <c r="D1589" s="0" t="n">
        <v>6</v>
      </c>
      <c r="E1589" s="0" t="n">
        <v>1</v>
      </c>
      <c r="F1589" s="0" t="n">
        <f aca="false">D1589*E1589</f>
        <v>6</v>
      </c>
      <c r="G1589" s="0" t="n">
        <f aca="false">ROUNDUP(F1589/75,0)</f>
        <v>1</v>
      </c>
    </row>
    <row r="1590" customFormat="false" ht="15" hidden="false" customHeight="false" outlineLevel="0" collapsed="false">
      <c r="A1590" s="0" t="s">
        <v>462</v>
      </c>
      <c r="B1590" s="0" t="s">
        <v>576</v>
      </c>
      <c r="C1590" s="0" t="s">
        <v>755</v>
      </c>
      <c r="D1590" s="0" t="n">
        <v>6</v>
      </c>
      <c r="E1590" s="0" t="n">
        <v>1</v>
      </c>
      <c r="F1590" s="0" t="n">
        <f aca="false">D1590*E1590</f>
        <v>6</v>
      </c>
      <c r="G1590" s="0" t="n">
        <f aca="false">ROUNDUP(F1590/75,0)</f>
        <v>1</v>
      </c>
    </row>
    <row r="1591" customFormat="false" ht="15" hidden="false" customHeight="false" outlineLevel="0" collapsed="false">
      <c r="A1591" s="0" t="s">
        <v>462</v>
      </c>
      <c r="B1591" s="0" t="s">
        <v>577</v>
      </c>
      <c r="C1591" s="0" t="s">
        <v>757</v>
      </c>
      <c r="D1591" s="0" t="n">
        <v>6</v>
      </c>
      <c r="E1591" s="0" t="n">
        <v>2</v>
      </c>
      <c r="F1591" s="0" t="n">
        <f aca="false">D1591*E1591</f>
        <v>12</v>
      </c>
      <c r="G1591" s="0" t="n">
        <f aca="false">ROUNDUP(F1591/75,0)</f>
        <v>1</v>
      </c>
    </row>
    <row r="1592" customFormat="false" ht="15" hidden="false" customHeight="false" outlineLevel="0" collapsed="false">
      <c r="A1592" s="0" t="s">
        <v>462</v>
      </c>
      <c r="B1592" s="0" t="s">
        <v>577</v>
      </c>
      <c r="C1592" s="0" t="s">
        <v>755</v>
      </c>
      <c r="D1592" s="0" t="n">
        <v>6</v>
      </c>
      <c r="E1592" s="0" t="n">
        <v>1</v>
      </c>
      <c r="F1592" s="0" t="n">
        <f aca="false">D1592*E1592</f>
        <v>6</v>
      </c>
      <c r="G1592" s="0" t="n">
        <f aca="false">ROUNDUP(F1592/75,0)</f>
        <v>1</v>
      </c>
    </row>
    <row r="1593" customFormat="false" ht="15" hidden="false" customHeight="false" outlineLevel="0" collapsed="false">
      <c r="A1593" s="0" t="s">
        <v>462</v>
      </c>
      <c r="B1593" s="0" t="s">
        <v>578</v>
      </c>
      <c r="C1593" s="0" t="s">
        <v>756</v>
      </c>
      <c r="D1593" s="0" t="n">
        <v>12</v>
      </c>
      <c r="E1593" s="0" t="n">
        <v>2</v>
      </c>
      <c r="F1593" s="0" t="n">
        <f aca="false">D1593*E1593</f>
        <v>24</v>
      </c>
      <c r="G1593" s="0" t="n">
        <f aca="false">ROUNDUP(F1593/75,0)</f>
        <v>1</v>
      </c>
    </row>
    <row r="1594" customFormat="false" ht="15" hidden="false" customHeight="false" outlineLevel="0" collapsed="false">
      <c r="A1594" s="0" t="s">
        <v>462</v>
      </c>
      <c r="B1594" s="0" t="s">
        <v>578</v>
      </c>
      <c r="C1594" s="0" t="s">
        <v>757</v>
      </c>
      <c r="D1594" s="0" t="n">
        <v>6</v>
      </c>
      <c r="E1594" s="0" t="n">
        <v>1</v>
      </c>
      <c r="F1594" s="0" t="n">
        <f aca="false">D1594*E1594</f>
        <v>6</v>
      </c>
      <c r="G1594" s="0" t="n">
        <f aca="false">ROUNDUP(F1594/75,0)</f>
        <v>1</v>
      </c>
    </row>
    <row r="1595" customFormat="false" ht="15" hidden="false" customHeight="false" outlineLevel="0" collapsed="false">
      <c r="A1595" s="0" t="s">
        <v>462</v>
      </c>
      <c r="B1595" s="0" t="s">
        <v>578</v>
      </c>
      <c r="C1595" s="0" t="s">
        <v>753</v>
      </c>
      <c r="D1595" s="0" t="n">
        <v>6</v>
      </c>
      <c r="E1595" s="0" t="n">
        <v>8</v>
      </c>
      <c r="F1595" s="0" t="n">
        <f aca="false">D1595*E1595</f>
        <v>48</v>
      </c>
      <c r="G1595" s="0" t="n">
        <f aca="false">ROUNDUP(F1595/75,0)</f>
        <v>1</v>
      </c>
    </row>
    <row r="1596" customFormat="false" ht="15" hidden="false" customHeight="false" outlineLevel="0" collapsed="false">
      <c r="A1596" s="0" t="s">
        <v>462</v>
      </c>
      <c r="B1596" s="0" t="s">
        <v>578</v>
      </c>
      <c r="C1596" s="0" t="s">
        <v>755</v>
      </c>
      <c r="D1596" s="0" t="n">
        <v>6</v>
      </c>
      <c r="E1596" s="0" t="n">
        <v>3</v>
      </c>
      <c r="F1596" s="0" t="n">
        <f aca="false">D1596*E1596</f>
        <v>18</v>
      </c>
      <c r="G1596" s="0" t="n">
        <f aca="false">ROUNDUP(F1596/75,0)</f>
        <v>1</v>
      </c>
    </row>
    <row r="1597" customFormat="false" ht="15" hidden="false" customHeight="false" outlineLevel="0" collapsed="false">
      <c r="A1597" s="0" t="s">
        <v>462</v>
      </c>
      <c r="B1597" s="0" t="s">
        <v>579</v>
      </c>
      <c r="C1597" s="0" t="s">
        <v>756</v>
      </c>
      <c r="D1597" s="0" t="n">
        <v>12</v>
      </c>
      <c r="E1597" s="0" t="n">
        <v>1</v>
      </c>
      <c r="F1597" s="0" t="n">
        <f aca="false">D1597*E1597</f>
        <v>12</v>
      </c>
      <c r="G1597" s="0" t="n">
        <f aca="false">ROUNDUP(F1597/75,0)</f>
        <v>1</v>
      </c>
    </row>
    <row r="1598" customFormat="false" ht="15" hidden="false" customHeight="false" outlineLevel="0" collapsed="false">
      <c r="A1598" s="0" t="s">
        <v>462</v>
      </c>
      <c r="B1598" s="0" t="s">
        <v>579</v>
      </c>
      <c r="C1598" s="0" t="s">
        <v>757</v>
      </c>
      <c r="D1598" s="0" t="n">
        <v>6</v>
      </c>
      <c r="E1598" s="0" t="n">
        <v>2</v>
      </c>
      <c r="F1598" s="0" t="n">
        <f aca="false">D1598*E1598</f>
        <v>12</v>
      </c>
      <c r="G1598" s="0" t="n">
        <f aca="false">ROUNDUP(F1598/75,0)</f>
        <v>1</v>
      </c>
    </row>
    <row r="1599" customFormat="false" ht="15" hidden="false" customHeight="false" outlineLevel="0" collapsed="false">
      <c r="A1599" s="0" t="s">
        <v>462</v>
      </c>
      <c r="B1599" s="0" t="s">
        <v>579</v>
      </c>
      <c r="C1599" s="0" t="s">
        <v>753</v>
      </c>
      <c r="D1599" s="0" t="n">
        <v>6</v>
      </c>
      <c r="E1599" s="0" t="n">
        <v>5</v>
      </c>
      <c r="F1599" s="0" t="n">
        <f aca="false">D1599*E1599</f>
        <v>30</v>
      </c>
      <c r="G1599" s="0" t="n">
        <f aca="false">ROUNDUP(F1599/75,0)</f>
        <v>1</v>
      </c>
    </row>
    <row r="1600" customFormat="false" ht="15" hidden="false" customHeight="false" outlineLevel="0" collapsed="false">
      <c r="A1600" s="0" t="s">
        <v>462</v>
      </c>
      <c r="B1600" s="0" t="s">
        <v>579</v>
      </c>
      <c r="C1600" s="0" t="s">
        <v>755</v>
      </c>
      <c r="D1600" s="0" t="n">
        <v>6</v>
      </c>
      <c r="E1600" s="0" t="n">
        <v>3</v>
      </c>
      <c r="F1600" s="0" t="n">
        <f aca="false">D1600*E1600</f>
        <v>18</v>
      </c>
      <c r="G1600" s="0" t="n">
        <f aca="false">ROUNDUP(F1600/75,0)</f>
        <v>1</v>
      </c>
    </row>
    <row r="1601" customFormat="false" ht="15" hidden="false" customHeight="false" outlineLevel="0" collapsed="false">
      <c r="A1601" s="0" t="s">
        <v>462</v>
      </c>
      <c r="B1601" s="0" t="s">
        <v>580</v>
      </c>
      <c r="C1601" s="0" t="s">
        <v>756</v>
      </c>
      <c r="D1601" s="0" t="n">
        <v>12</v>
      </c>
      <c r="E1601" s="0" t="n">
        <v>2</v>
      </c>
      <c r="F1601" s="0" t="n">
        <f aca="false">D1601*E1601</f>
        <v>24</v>
      </c>
      <c r="G1601" s="0" t="n">
        <f aca="false">ROUNDUP(F1601/75,0)</f>
        <v>1</v>
      </c>
    </row>
    <row r="1602" customFormat="false" ht="15" hidden="false" customHeight="false" outlineLevel="0" collapsed="false">
      <c r="A1602" s="0" t="s">
        <v>462</v>
      </c>
      <c r="B1602" s="0" t="s">
        <v>580</v>
      </c>
      <c r="C1602" s="0" t="s">
        <v>757</v>
      </c>
      <c r="D1602" s="0" t="n">
        <v>6</v>
      </c>
      <c r="E1602" s="0" t="n">
        <v>1</v>
      </c>
      <c r="F1602" s="0" t="n">
        <f aca="false">D1602*E1602</f>
        <v>6</v>
      </c>
      <c r="G1602" s="0" t="n">
        <f aca="false">ROUNDUP(F1602/75,0)</f>
        <v>1</v>
      </c>
    </row>
    <row r="1603" customFormat="false" ht="15" hidden="false" customHeight="false" outlineLevel="0" collapsed="false">
      <c r="A1603" s="0" t="s">
        <v>462</v>
      </c>
      <c r="B1603" s="0" t="s">
        <v>580</v>
      </c>
      <c r="C1603" s="0" t="s">
        <v>753</v>
      </c>
      <c r="D1603" s="0" t="n">
        <v>6</v>
      </c>
      <c r="E1603" s="0" t="n">
        <v>5</v>
      </c>
      <c r="F1603" s="0" t="n">
        <f aca="false">D1603*E1603</f>
        <v>30</v>
      </c>
      <c r="G1603" s="0" t="n">
        <f aca="false">ROUNDUP(F1603/75,0)</f>
        <v>1</v>
      </c>
    </row>
    <row r="1604" customFormat="false" ht="15" hidden="false" customHeight="false" outlineLevel="0" collapsed="false">
      <c r="A1604" s="0" t="s">
        <v>462</v>
      </c>
      <c r="B1604" s="0" t="s">
        <v>580</v>
      </c>
      <c r="C1604" s="0" t="s">
        <v>755</v>
      </c>
      <c r="D1604" s="0" t="n">
        <v>6</v>
      </c>
      <c r="E1604" s="0" t="n">
        <v>1</v>
      </c>
      <c r="F1604" s="0" t="n">
        <f aca="false">D1604*E1604</f>
        <v>6</v>
      </c>
      <c r="G1604" s="0" t="n">
        <f aca="false">ROUNDUP(F1604/75,0)</f>
        <v>1</v>
      </c>
    </row>
    <row r="1605" customFormat="false" ht="15" hidden="false" customHeight="false" outlineLevel="0" collapsed="false">
      <c r="A1605" s="0" t="s">
        <v>462</v>
      </c>
      <c r="B1605" s="0" t="s">
        <v>581</v>
      </c>
      <c r="C1605" s="0" t="s">
        <v>753</v>
      </c>
      <c r="D1605" s="0" t="n">
        <v>6</v>
      </c>
      <c r="E1605" s="0" t="n">
        <v>1</v>
      </c>
      <c r="F1605" s="0" t="n">
        <f aca="false">D1605*E1605</f>
        <v>6</v>
      </c>
      <c r="G1605" s="0" t="n">
        <f aca="false">ROUNDUP(F1605/75,0)</f>
        <v>1</v>
      </c>
    </row>
    <row r="1606" customFormat="false" ht="15" hidden="false" customHeight="false" outlineLevel="0" collapsed="false">
      <c r="A1606" s="0" t="s">
        <v>462</v>
      </c>
      <c r="B1606" s="0" t="s">
        <v>581</v>
      </c>
      <c r="C1606" s="0" t="s">
        <v>755</v>
      </c>
      <c r="D1606" s="0" t="n">
        <v>6</v>
      </c>
      <c r="E1606" s="0" t="n">
        <v>1</v>
      </c>
      <c r="F1606" s="0" t="n">
        <f aca="false">D1606*E1606</f>
        <v>6</v>
      </c>
      <c r="G1606" s="0" t="n">
        <f aca="false">ROUNDUP(F1606/75,0)</f>
        <v>1</v>
      </c>
    </row>
    <row r="1607" customFormat="false" ht="15" hidden="false" customHeight="false" outlineLevel="0" collapsed="false">
      <c r="A1607" s="0" t="s">
        <v>462</v>
      </c>
      <c r="B1607" s="0" t="s">
        <v>582</v>
      </c>
      <c r="C1607" s="0" t="s">
        <v>756</v>
      </c>
      <c r="D1607" s="0" t="n">
        <v>12</v>
      </c>
      <c r="E1607" s="0" t="n">
        <v>2</v>
      </c>
      <c r="F1607" s="0" t="n">
        <f aca="false">D1607*E1607</f>
        <v>24</v>
      </c>
      <c r="G1607" s="0" t="n">
        <f aca="false">ROUNDUP(F1607/75,0)</f>
        <v>1</v>
      </c>
    </row>
    <row r="1608" customFormat="false" ht="15" hidden="false" customHeight="false" outlineLevel="0" collapsed="false">
      <c r="A1608" s="0" t="s">
        <v>462</v>
      </c>
      <c r="B1608" s="0" t="s">
        <v>582</v>
      </c>
      <c r="C1608" s="0" t="s">
        <v>753</v>
      </c>
      <c r="D1608" s="0" t="n">
        <v>6</v>
      </c>
      <c r="E1608" s="0" t="n">
        <v>4</v>
      </c>
      <c r="F1608" s="0" t="n">
        <f aca="false">D1608*E1608</f>
        <v>24</v>
      </c>
      <c r="G1608" s="0" t="n">
        <f aca="false">ROUNDUP(F1608/75,0)</f>
        <v>1</v>
      </c>
    </row>
    <row r="1609" customFormat="false" ht="15" hidden="false" customHeight="false" outlineLevel="0" collapsed="false">
      <c r="A1609" s="0" t="s">
        <v>462</v>
      </c>
      <c r="B1609" s="0" t="s">
        <v>582</v>
      </c>
      <c r="C1609" s="0" t="s">
        <v>755</v>
      </c>
      <c r="D1609" s="0" t="n">
        <v>6</v>
      </c>
      <c r="E1609" s="0" t="n">
        <v>2</v>
      </c>
      <c r="F1609" s="0" t="n">
        <f aca="false">D1609*E1609</f>
        <v>12</v>
      </c>
      <c r="G1609" s="0" t="n">
        <f aca="false">ROUNDUP(F1609/75,0)</f>
        <v>1</v>
      </c>
    </row>
    <row r="1610" customFormat="false" ht="15" hidden="false" customHeight="false" outlineLevel="0" collapsed="false">
      <c r="A1610" s="0" t="s">
        <v>462</v>
      </c>
      <c r="B1610" s="0" t="s">
        <v>583</v>
      </c>
      <c r="C1610" s="0" t="s">
        <v>756</v>
      </c>
      <c r="D1610" s="0" t="n">
        <v>12</v>
      </c>
      <c r="E1610" s="0" t="n">
        <v>4</v>
      </c>
      <c r="F1610" s="0" t="n">
        <f aca="false">D1610*E1610</f>
        <v>48</v>
      </c>
      <c r="G1610" s="0" t="n">
        <f aca="false">ROUNDUP(F1610/75,0)</f>
        <v>1</v>
      </c>
    </row>
    <row r="1611" customFormat="false" ht="15" hidden="false" customHeight="false" outlineLevel="0" collapsed="false">
      <c r="A1611" s="0" t="s">
        <v>462</v>
      </c>
      <c r="B1611" s="0" t="s">
        <v>583</v>
      </c>
      <c r="C1611" s="0" t="s">
        <v>757</v>
      </c>
      <c r="D1611" s="0" t="n">
        <v>6</v>
      </c>
      <c r="E1611" s="0" t="n">
        <v>2</v>
      </c>
      <c r="F1611" s="0" t="n">
        <f aca="false">D1611*E1611</f>
        <v>12</v>
      </c>
      <c r="G1611" s="0" t="n">
        <f aca="false">ROUNDUP(F1611/75,0)</f>
        <v>1</v>
      </c>
    </row>
    <row r="1612" customFormat="false" ht="15" hidden="false" customHeight="false" outlineLevel="0" collapsed="false">
      <c r="A1612" s="0" t="s">
        <v>462</v>
      </c>
      <c r="B1612" s="0" t="s">
        <v>583</v>
      </c>
      <c r="C1612" s="0" t="s">
        <v>753</v>
      </c>
      <c r="D1612" s="0" t="n">
        <v>6</v>
      </c>
      <c r="E1612" s="0" t="n">
        <v>6</v>
      </c>
      <c r="F1612" s="0" t="n">
        <f aca="false">D1612*E1612</f>
        <v>36</v>
      </c>
      <c r="G1612" s="0" t="n">
        <f aca="false">ROUNDUP(F1612/75,0)</f>
        <v>1</v>
      </c>
    </row>
    <row r="1613" customFormat="false" ht="15" hidden="false" customHeight="false" outlineLevel="0" collapsed="false">
      <c r="A1613" s="0" t="s">
        <v>462</v>
      </c>
      <c r="B1613" s="0" t="s">
        <v>583</v>
      </c>
      <c r="C1613" s="0" t="s">
        <v>755</v>
      </c>
      <c r="D1613" s="0" t="n">
        <v>6</v>
      </c>
      <c r="E1613" s="0" t="n">
        <v>3</v>
      </c>
      <c r="F1613" s="0" t="n">
        <f aca="false">D1613*E1613</f>
        <v>18</v>
      </c>
      <c r="G1613" s="0" t="n">
        <f aca="false">ROUNDUP(F1613/75,0)</f>
        <v>1</v>
      </c>
    </row>
    <row r="1614" customFormat="false" ht="15" hidden="false" customHeight="false" outlineLevel="0" collapsed="false">
      <c r="A1614" s="0" t="s">
        <v>462</v>
      </c>
      <c r="B1614" s="0" t="s">
        <v>584</v>
      </c>
      <c r="C1614" s="0" t="s">
        <v>757</v>
      </c>
      <c r="D1614" s="0" t="n">
        <v>6</v>
      </c>
      <c r="E1614" s="0" t="n">
        <v>2</v>
      </c>
      <c r="F1614" s="0" t="n">
        <f aca="false">D1614*E1614</f>
        <v>12</v>
      </c>
      <c r="G1614" s="0" t="n">
        <f aca="false">ROUNDUP(F1614/75,0)</f>
        <v>1</v>
      </c>
    </row>
    <row r="1615" customFormat="false" ht="15" hidden="false" customHeight="false" outlineLevel="0" collapsed="false">
      <c r="A1615" s="0" t="s">
        <v>462</v>
      </c>
      <c r="B1615" s="0" t="s">
        <v>584</v>
      </c>
      <c r="C1615" s="0" t="s">
        <v>753</v>
      </c>
      <c r="D1615" s="0" t="n">
        <v>6</v>
      </c>
      <c r="E1615" s="0" t="n">
        <v>1</v>
      </c>
      <c r="F1615" s="0" t="n">
        <f aca="false">D1615*E1615</f>
        <v>6</v>
      </c>
      <c r="G1615" s="0" t="n">
        <f aca="false">ROUNDUP(F1615/75,0)</f>
        <v>1</v>
      </c>
    </row>
    <row r="1616" customFormat="false" ht="15" hidden="false" customHeight="false" outlineLevel="0" collapsed="false">
      <c r="A1616" s="0" t="s">
        <v>462</v>
      </c>
      <c r="B1616" s="0" t="s">
        <v>584</v>
      </c>
      <c r="C1616" s="0" t="s">
        <v>755</v>
      </c>
      <c r="D1616" s="0" t="n">
        <v>6</v>
      </c>
      <c r="E1616" s="0" t="n">
        <v>3</v>
      </c>
      <c r="F1616" s="0" t="n">
        <f aca="false">D1616*E1616</f>
        <v>18</v>
      </c>
      <c r="G1616" s="0" t="n">
        <f aca="false">ROUNDUP(F1616/75,0)</f>
        <v>1</v>
      </c>
    </row>
    <row r="1617" customFormat="false" ht="15" hidden="false" customHeight="false" outlineLevel="0" collapsed="false">
      <c r="A1617" s="0" t="s">
        <v>462</v>
      </c>
      <c r="B1617" s="0" t="s">
        <v>585</v>
      </c>
      <c r="C1617" s="0" t="s">
        <v>756</v>
      </c>
      <c r="D1617" s="0" t="n">
        <v>12</v>
      </c>
      <c r="E1617" s="0" t="n">
        <v>2</v>
      </c>
      <c r="F1617" s="0" t="n">
        <f aca="false">D1617*E1617</f>
        <v>24</v>
      </c>
      <c r="G1617" s="0" t="n">
        <f aca="false">ROUNDUP(F1617/75,0)</f>
        <v>1</v>
      </c>
    </row>
    <row r="1618" customFormat="false" ht="15" hidden="false" customHeight="false" outlineLevel="0" collapsed="false">
      <c r="A1618" s="0" t="s">
        <v>462</v>
      </c>
      <c r="B1618" s="0" t="s">
        <v>585</v>
      </c>
      <c r="C1618" s="0" t="s">
        <v>757</v>
      </c>
      <c r="D1618" s="0" t="n">
        <v>6</v>
      </c>
      <c r="E1618" s="0" t="n">
        <v>3</v>
      </c>
      <c r="F1618" s="0" t="n">
        <f aca="false">D1618*E1618</f>
        <v>18</v>
      </c>
      <c r="G1618" s="0" t="n">
        <f aca="false">ROUNDUP(F1618/75,0)</f>
        <v>1</v>
      </c>
    </row>
    <row r="1619" customFormat="false" ht="15" hidden="false" customHeight="false" outlineLevel="0" collapsed="false">
      <c r="A1619" s="0" t="s">
        <v>462</v>
      </c>
      <c r="B1619" s="0" t="s">
        <v>585</v>
      </c>
      <c r="C1619" s="0" t="s">
        <v>753</v>
      </c>
      <c r="D1619" s="0" t="n">
        <v>6</v>
      </c>
      <c r="E1619" s="0" t="n">
        <v>2</v>
      </c>
      <c r="F1619" s="0" t="n">
        <f aca="false">D1619*E1619</f>
        <v>12</v>
      </c>
      <c r="G1619" s="0" t="n">
        <f aca="false">ROUNDUP(F1619/75,0)</f>
        <v>1</v>
      </c>
    </row>
    <row r="1620" customFormat="false" ht="15" hidden="false" customHeight="false" outlineLevel="0" collapsed="false">
      <c r="A1620" s="0" t="s">
        <v>462</v>
      </c>
      <c r="B1620" s="0" t="s">
        <v>585</v>
      </c>
      <c r="C1620" s="0" t="s">
        <v>755</v>
      </c>
      <c r="D1620" s="0" t="n">
        <v>6</v>
      </c>
      <c r="E1620" s="0" t="n">
        <v>9</v>
      </c>
      <c r="F1620" s="0" t="n">
        <f aca="false">D1620*E1620</f>
        <v>54</v>
      </c>
      <c r="G1620" s="0" t="n">
        <f aca="false">ROUNDUP(F1620/75,0)</f>
        <v>1</v>
      </c>
    </row>
    <row r="1621" customFormat="false" ht="15" hidden="false" customHeight="false" outlineLevel="0" collapsed="false">
      <c r="A1621" s="0" t="s">
        <v>462</v>
      </c>
      <c r="B1621" s="0" t="s">
        <v>586</v>
      </c>
      <c r="C1621" s="0" t="s">
        <v>756</v>
      </c>
      <c r="D1621" s="0" t="n">
        <v>12</v>
      </c>
      <c r="E1621" s="0" t="n">
        <v>2</v>
      </c>
      <c r="F1621" s="0" t="n">
        <f aca="false">D1621*E1621</f>
        <v>24</v>
      </c>
      <c r="G1621" s="0" t="n">
        <f aca="false">ROUNDUP(F1621/75,0)</f>
        <v>1</v>
      </c>
    </row>
    <row r="1622" customFormat="false" ht="15" hidden="false" customHeight="false" outlineLevel="0" collapsed="false">
      <c r="A1622" s="0" t="s">
        <v>462</v>
      </c>
      <c r="B1622" s="0" t="s">
        <v>586</v>
      </c>
      <c r="C1622" s="0" t="s">
        <v>757</v>
      </c>
      <c r="D1622" s="0" t="n">
        <v>6</v>
      </c>
      <c r="E1622" s="0" t="n">
        <v>2</v>
      </c>
      <c r="F1622" s="0" t="n">
        <f aca="false">D1622*E1622</f>
        <v>12</v>
      </c>
      <c r="G1622" s="0" t="n">
        <f aca="false">ROUNDUP(F1622/75,0)</f>
        <v>1</v>
      </c>
    </row>
    <row r="1623" customFormat="false" ht="15" hidden="false" customHeight="false" outlineLevel="0" collapsed="false">
      <c r="A1623" s="0" t="s">
        <v>462</v>
      </c>
      <c r="B1623" s="0" t="s">
        <v>586</v>
      </c>
      <c r="C1623" s="0" t="s">
        <v>753</v>
      </c>
      <c r="D1623" s="0" t="n">
        <v>6</v>
      </c>
      <c r="E1623" s="0" t="n">
        <v>2</v>
      </c>
      <c r="F1623" s="0" t="n">
        <f aca="false">D1623*E1623</f>
        <v>12</v>
      </c>
      <c r="G1623" s="0" t="n">
        <f aca="false">ROUNDUP(F1623/75,0)</f>
        <v>1</v>
      </c>
    </row>
    <row r="1624" customFormat="false" ht="15" hidden="false" customHeight="false" outlineLevel="0" collapsed="false">
      <c r="A1624" s="0" t="s">
        <v>462</v>
      </c>
      <c r="B1624" s="0" t="s">
        <v>586</v>
      </c>
      <c r="C1624" s="0" t="s">
        <v>755</v>
      </c>
      <c r="D1624" s="0" t="n">
        <v>6</v>
      </c>
      <c r="E1624" s="0" t="n">
        <v>1</v>
      </c>
      <c r="F1624" s="0" t="n">
        <f aca="false">D1624*E1624</f>
        <v>6</v>
      </c>
      <c r="G1624" s="0" t="n">
        <f aca="false">ROUNDUP(F1624/75,0)</f>
        <v>1</v>
      </c>
    </row>
    <row r="1625" customFormat="false" ht="15" hidden="false" customHeight="false" outlineLevel="0" collapsed="false">
      <c r="A1625" s="0" t="s">
        <v>462</v>
      </c>
      <c r="B1625" s="0" t="s">
        <v>587</v>
      </c>
      <c r="C1625" s="0" t="s">
        <v>756</v>
      </c>
      <c r="D1625" s="0" t="n">
        <v>12</v>
      </c>
      <c r="E1625" s="0" t="n">
        <v>1</v>
      </c>
      <c r="F1625" s="0" t="n">
        <f aca="false">D1625*E1625</f>
        <v>12</v>
      </c>
      <c r="G1625" s="0" t="n">
        <f aca="false">ROUNDUP(F1625/75,0)</f>
        <v>1</v>
      </c>
    </row>
    <row r="1626" customFormat="false" ht="15" hidden="false" customHeight="false" outlineLevel="0" collapsed="false">
      <c r="A1626" s="0" t="s">
        <v>462</v>
      </c>
      <c r="B1626" s="0" t="s">
        <v>587</v>
      </c>
      <c r="C1626" s="0" t="s">
        <v>753</v>
      </c>
      <c r="D1626" s="0" t="n">
        <v>6</v>
      </c>
      <c r="E1626" s="0" t="n">
        <v>1</v>
      </c>
      <c r="F1626" s="0" t="n">
        <f aca="false">D1626*E1626</f>
        <v>6</v>
      </c>
      <c r="G1626" s="0" t="n">
        <f aca="false">ROUNDUP(F1626/75,0)</f>
        <v>1</v>
      </c>
    </row>
    <row r="1627" customFormat="false" ht="15" hidden="false" customHeight="false" outlineLevel="0" collapsed="false">
      <c r="A1627" s="0" t="s">
        <v>462</v>
      </c>
      <c r="B1627" s="0" t="s">
        <v>588</v>
      </c>
      <c r="C1627" s="0" t="s">
        <v>757</v>
      </c>
      <c r="D1627" s="0" t="n">
        <v>6</v>
      </c>
      <c r="E1627" s="0" t="n">
        <v>1</v>
      </c>
      <c r="F1627" s="0" t="n">
        <f aca="false">D1627*E1627</f>
        <v>6</v>
      </c>
      <c r="G1627" s="0" t="n">
        <f aca="false">ROUNDUP(F1627/75,0)</f>
        <v>1</v>
      </c>
    </row>
    <row r="1628" customFormat="false" ht="15" hidden="false" customHeight="false" outlineLevel="0" collapsed="false">
      <c r="A1628" s="0" t="s">
        <v>462</v>
      </c>
      <c r="B1628" s="0" t="s">
        <v>588</v>
      </c>
      <c r="C1628" s="0" t="s">
        <v>753</v>
      </c>
      <c r="D1628" s="0" t="n">
        <v>6</v>
      </c>
      <c r="E1628" s="0" t="n">
        <v>1</v>
      </c>
      <c r="F1628" s="0" t="n">
        <f aca="false">D1628*E1628</f>
        <v>6</v>
      </c>
      <c r="G1628" s="0" t="n">
        <f aca="false">ROUNDUP(F1628/75,0)</f>
        <v>1</v>
      </c>
    </row>
    <row r="1629" customFormat="false" ht="15" hidden="false" customHeight="false" outlineLevel="0" collapsed="false">
      <c r="A1629" s="0" t="s">
        <v>462</v>
      </c>
      <c r="B1629" s="0" t="s">
        <v>588</v>
      </c>
      <c r="C1629" s="0" t="s">
        <v>755</v>
      </c>
      <c r="D1629" s="0" t="n">
        <v>6</v>
      </c>
      <c r="E1629" s="0" t="n">
        <v>2</v>
      </c>
      <c r="F1629" s="0" t="n">
        <f aca="false">D1629*E1629</f>
        <v>12</v>
      </c>
      <c r="G1629" s="0" t="n">
        <f aca="false">ROUNDUP(F1629/75,0)</f>
        <v>1</v>
      </c>
    </row>
    <row r="1630" customFormat="false" ht="15" hidden="false" customHeight="false" outlineLevel="0" collapsed="false">
      <c r="A1630" s="0" t="s">
        <v>462</v>
      </c>
      <c r="B1630" s="0" t="s">
        <v>589</v>
      </c>
      <c r="C1630" s="0" t="s">
        <v>753</v>
      </c>
      <c r="D1630" s="0" t="n">
        <v>6</v>
      </c>
      <c r="E1630" s="0" t="n">
        <v>12</v>
      </c>
      <c r="F1630" s="0" t="n">
        <f aca="false">D1630*E1630</f>
        <v>72</v>
      </c>
      <c r="G1630" s="0" t="n">
        <f aca="false">ROUNDUP(F1630/75,0)</f>
        <v>1</v>
      </c>
    </row>
    <row r="1631" customFormat="false" ht="15" hidden="false" customHeight="false" outlineLevel="0" collapsed="false">
      <c r="A1631" s="0" t="s">
        <v>462</v>
      </c>
      <c r="B1631" s="0" t="s">
        <v>590</v>
      </c>
      <c r="C1631" s="0" t="s">
        <v>757</v>
      </c>
      <c r="D1631" s="0" t="n">
        <v>6</v>
      </c>
      <c r="E1631" s="0" t="n">
        <v>1</v>
      </c>
      <c r="F1631" s="0" t="n">
        <f aca="false">D1631*E1631</f>
        <v>6</v>
      </c>
      <c r="G1631" s="0" t="n">
        <f aca="false">ROUNDUP(F1631/75,0)</f>
        <v>1</v>
      </c>
    </row>
    <row r="1632" customFormat="false" ht="15" hidden="false" customHeight="false" outlineLevel="0" collapsed="false">
      <c r="A1632" s="0" t="s">
        <v>462</v>
      </c>
      <c r="B1632" s="0" t="s">
        <v>590</v>
      </c>
      <c r="C1632" s="0" t="s">
        <v>753</v>
      </c>
      <c r="D1632" s="0" t="n">
        <v>6</v>
      </c>
      <c r="E1632" s="0" t="n">
        <v>2</v>
      </c>
      <c r="F1632" s="0" t="n">
        <f aca="false">D1632*E1632</f>
        <v>12</v>
      </c>
      <c r="G1632" s="0" t="n">
        <f aca="false">ROUNDUP(F1632/75,0)</f>
        <v>1</v>
      </c>
    </row>
    <row r="1633" customFormat="false" ht="15" hidden="false" customHeight="false" outlineLevel="0" collapsed="false">
      <c r="A1633" s="0" t="s">
        <v>462</v>
      </c>
      <c r="B1633" s="0" t="s">
        <v>590</v>
      </c>
      <c r="C1633" s="0" t="s">
        <v>755</v>
      </c>
      <c r="D1633" s="0" t="n">
        <v>6</v>
      </c>
      <c r="E1633" s="0" t="n">
        <v>2</v>
      </c>
      <c r="F1633" s="0" t="n">
        <f aca="false">D1633*E1633</f>
        <v>12</v>
      </c>
      <c r="G1633" s="0" t="n">
        <f aca="false">ROUNDUP(F1633/75,0)</f>
        <v>1</v>
      </c>
    </row>
    <row r="1634" customFormat="false" ht="15" hidden="false" customHeight="false" outlineLevel="0" collapsed="false">
      <c r="A1634" s="0" t="s">
        <v>462</v>
      </c>
      <c r="B1634" s="0" t="s">
        <v>591</v>
      </c>
      <c r="C1634" s="0" t="s">
        <v>756</v>
      </c>
      <c r="D1634" s="0" t="n">
        <v>12</v>
      </c>
      <c r="E1634" s="0" t="n">
        <v>2</v>
      </c>
      <c r="F1634" s="0" t="n">
        <f aca="false">D1634*E1634</f>
        <v>24</v>
      </c>
      <c r="G1634" s="0" t="n">
        <f aca="false">ROUNDUP(F1634/75,0)</f>
        <v>1</v>
      </c>
    </row>
    <row r="1635" customFormat="false" ht="15" hidden="false" customHeight="false" outlineLevel="0" collapsed="false">
      <c r="A1635" s="0" t="s">
        <v>462</v>
      </c>
      <c r="B1635" s="0" t="s">
        <v>591</v>
      </c>
      <c r="C1635" s="0" t="s">
        <v>757</v>
      </c>
      <c r="D1635" s="0" t="n">
        <v>6</v>
      </c>
      <c r="E1635" s="0" t="n">
        <v>1</v>
      </c>
      <c r="F1635" s="0" t="n">
        <f aca="false">D1635*E1635</f>
        <v>6</v>
      </c>
      <c r="G1635" s="0" t="n">
        <f aca="false">ROUNDUP(F1635/75,0)</f>
        <v>1</v>
      </c>
    </row>
    <row r="1636" customFormat="false" ht="15" hidden="false" customHeight="false" outlineLevel="0" collapsed="false">
      <c r="A1636" s="0" t="s">
        <v>462</v>
      </c>
      <c r="B1636" s="0" t="s">
        <v>591</v>
      </c>
      <c r="C1636" s="0" t="s">
        <v>753</v>
      </c>
      <c r="D1636" s="0" t="n">
        <v>6</v>
      </c>
      <c r="E1636" s="0" t="n">
        <v>6</v>
      </c>
      <c r="F1636" s="0" t="n">
        <f aca="false">D1636*E1636</f>
        <v>36</v>
      </c>
      <c r="G1636" s="0" t="n">
        <f aca="false">ROUNDUP(F1636/75,0)</f>
        <v>1</v>
      </c>
    </row>
    <row r="1637" customFormat="false" ht="15" hidden="false" customHeight="false" outlineLevel="0" collapsed="false">
      <c r="A1637" s="0" t="s">
        <v>462</v>
      </c>
      <c r="B1637" s="0" t="s">
        <v>591</v>
      </c>
      <c r="C1637" s="0" t="s">
        <v>755</v>
      </c>
      <c r="D1637" s="0" t="n">
        <v>6</v>
      </c>
      <c r="E1637" s="0" t="n">
        <v>4</v>
      </c>
      <c r="F1637" s="0" t="n">
        <f aca="false">D1637*E1637</f>
        <v>24</v>
      </c>
      <c r="G1637" s="0" t="n">
        <f aca="false">ROUNDUP(F1637/75,0)</f>
        <v>1</v>
      </c>
    </row>
    <row r="1638" customFormat="false" ht="15" hidden="false" customHeight="false" outlineLevel="0" collapsed="false">
      <c r="A1638" s="0" t="s">
        <v>462</v>
      </c>
      <c r="B1638" s="0" t="s">
        <v>592</v>
      </c>
      <c r="C1638" s="0" t="s">
        <v>756</v>
      </c>
      <c r="D1638" s="0" t="n">
        <v>12</v>
      </c>
      <c r="E1638" s="0" t="n">
        <v>1</v>
      </c>
      <c r="F1638" s="0" t="n">
        <f aca="false">D1638*E1638</f>
        <v>12</v>
      </c>
      <c r="G1638" s="0" t="n">
        <f aca="false">ROUNDUP(F1638/75,0)</f>
        <v>1</v>
      </c>
    </row>
    <row r="1639" customFormat="false" ht="15" hidden="false" customHeight="false" outlineLevel="0" collapsed="false">
      <c r="A1639" s="0" t="s">
        <v>462</v>
      </c>
      <c r="B1639" s="0" t="s">
        <v>592</v>
      </c>
      <c r="C1639" s="0" t="s">
        <v>755</v>
      </c>
      <c r="D1639" s="0" t="n">
        <v>6</v>
      </c>
      <c r="E1639" s="0" t="n">
        <v>1</v>
      </c>
      <c r="F1639" s="0" t="n">
        <f aca="false">D1639*E1639</f>
        <v>6</v>
      </c>
      <c r="G1639" s="0" t="n">
        <f aca="false">ROUNDUP(F1639/75,0)</f>
        <v>1</v>
      </c>
    </row>
    <row r="1640" customFormat="false" ht="15" hidden="false" customHeight="false" outlineLevel="0" collapsed="false">
      <c r="A1640" s="0" t="s">
        <v>462</v>
      </c>
      <c r="B1640" s="0" t="s">
        <v>593</v>
      </c>
      <c r="C1640" s="0" t="s">
        <v>757</v>
      </c>
      <c r="D1640" s="0" t="n">
        <v>6</v>
      </c>
      <c r="E1640" s="0" t="n">
        <v>1</v>
      </c>
      <c r="F1640" s="0" t="n">
        <f aca="false">D1640*E1640</f>
        <v>6</v>
      </c>
      <c r="G1640" s="0" t="n">
        <f aca="false">ROUNDUP(F1640/75,0)</f>
        <v>1</v>
      </c>
    </row>
    <row r="1641" customFormat="false" ht="15" hidden="false" customHeight="false" outlineLevel="0" collapsed="false">
      <c r="A1641" s="0" t="s">
        <v>462</v>
      </c>
      <c r="B1641" s="0" t="s">
        <v>593</v>
      </c>
      <c r="C1641" s="0" t="s">
        <v>753</v>
      </c>
      <c r="D1641" s="0" t="n">
        <v>6</v>
      </c>
      <c r="E1641" s="0" t="n">
        <v>5</v>
      </c>
      <c r="F1641" s="0" t="n">
        <f aca="false">D1641*E1641</f>
        <v>30</v>
      </c>
      <c r="G1641" s="0" t="n">
        <f aca="false">ROUNDUP(F1641/75,0)</f>
        <v>1</v>
      </c>
    </row>
    <row r="1642" customFormat="false" ht="15" hidden="false" customHeight="false" outlineLevel="0" collapsed="false">
      <c r="A1642" s="0" t="s">
        <v>462</v>
      </c>
      <c r="B1642" s="0" t="s">
        <v>593</v>
      </c>
      <c r="C1642" s="0" t="s">
        <v>755</v>
      </c>
      <c r="D1642" s="0" t="n">
        <v>6</v>
      </c>
      <c r="E1642" s="0" t="n">
        <v>6</v>
      </c>
      <c r="F1642" s="0" t="n">
        <f aca="false">D1642*E1642</f>
        <v>36</v>
      </c>
      <c r="G1642" s="0" t="n">
        <f aca="false">ROUNDUP(F1642/75,0)</f>
        <v>1</v>
      </c>
    </row>
    <row r="1643" customFormat="false" ht="15" hidden="false" customHeight="false" outlineLevel="0" collapsed="false">
      <c r="A1643" s="0" t="s">
        <v>462</v>
      </c>
      <c r="B1643" s="0" t="s">
        <v>594</v>
      </c>
      <c r="C1643" s="0" t="s">
        <v>757</v>
      </c>
      <c r="D1643" s="0" t="n">
        <v>6</v>
      </c>
      <c r="E1643" s="0" t="n">
        <v>3</v>
      </c>
      <c r="F1643" s="0" t="n">
        <f aca="false">D1643*E1643</f>
        <v>18</v>
      </c>
      <c r="G1643" s="0" t="n">
        <f aca="false">ROUNDUP(F1643/75,0)</f>
        <v>1</v>
      </c>
    </row>
    <row r="1644" customFormat="false" ht="15" hidden="false" customHeight="false" outlineLevel="0" collapsed="false">
      <c r="A1644" s="0" t="s">
        <v>462</v>
      </c>
      <c r="B1644" s="0" t="s">
        <v>594</v>
      </c>
      <c r="C1644" s="0" t="s">
        <v>753</v>
      </c>
      <c r="D1644" s="0" t="n">
        <v>6</v>
      </c>
      <c r="E1644" s="0" t="n">
        <v>7</v>
      </c>
      <c r="F1644" s="0" t="n">
        <f aca="false">D1644*E1644</f>
        <v>42</v>
      </c>
      <c r="G1644" s="0" t="n">
        <f aca="false">ROUNDUP(F1644/75,0)</f>
        <v>1</v>
      </c>
    </row>
    <row r="1645" customFormat="false" ht="15" hidden="false" customHeight="false" outlineLevel="0" collapsed="false">
      <c r="A1645" s="0" t="s">
        <v>462</v>
      </c>
      <c r="B1645" s="0" t="s">
        <v>594</v>
      </c>
      <c r="C1645" s="0" t="s">
        <v>755</v>
      </c>
      <c r="D1645" s="0" t="n">
        <v>6</v>
      </c>
      <c r="E1645" s="0" t="n">
        <v>4</v>
      </c>
      <c r="F1645" s="0" t="n">
        <f aca="false">D1645*E1645</f>
        <v>24</v>
      </c>
      <c r="G1645" s="0" t="n">
        <f aca="false">ROUNDUP(F1645/75,0)</f>
        <v>1</v>
      </c>
    </row>
    <row r="1646" customFormat="false" ht="15" hidden="false" customHeight="false" outlineLevel="0" collapsed="false">
      <c r="A1646" s="0" t="s">
        <v>462</v>
      </c>
      <c r="B1646" s="0" t="s">
        <v>595</v>
      </c>
      <c r="C1646" s="0" t="s">
        <v>756</v>
      </c>
      <c r="D1646" s="0" t="n">
        <v>12</v>
      </c>
      <c r="E1646" s="0" t="n">
        <v>3</v>
      </c>
      <c r="F1646" s="0" t="n">
        <f aca="false">D1646*E1646</f>
        <v>36</v>
      </c>
      <c r="G1646" s="0" t="n">
        <f aca="false">ROUNDUP(F1646/75,0)</f>
        <v>1</v>
      </c>
    </row>
    <row r="1647" customFormat="false" ht="15" hidden="false" customHeight="false" outlineLevel="0" collapsed="false">
      <c r="A1647" s="0" t="s">
        <v>462</v>
      </c>
      <c r="B1647" s="0" t="s">
        <v>595</v>
      </c>
      <c r="C1647" s="0" t="s">
        <v>757</v>
      </c>
      <c r="D1647" s="0" t="n">
        <v>6</v>
      </c>
      <c r="E1647" s="0" t="n">
        <v>7</v>
      </c>
      <c r="F1647" s="0" t="n">
        <f aca="false">D1647*E1647</f>
        <v>42</v>
      </c>
      <c r="G1647" s="0" t="n">
        <f aca="false">ROUNDUP(F1647/75,0)</f>
        <v>1</v>
      </c>
    </row>
    <row r="1648" customFormat="false" ht="15" hidden="false" customHeight="false" outlineLevel="0" collapsed="false">
      <c r="A1648" s="0" t="s">
        <v>462</v>
      </c>
      <c r="B1648" s="0" t="s">
        <v>595</v>
      </c>
      <c r="C1648" s="0" t="s">
        <v>753</v>
      </c>
      <c r="D1648" s="0" t="n">
        <v>6</v>
      </c>
      <c r="E1648" s="0" t="n">
        <v>4</v>
      </c>
      <c r="F1648" s="0" t="n">
        <f aca="false">D1648*E1648</f>
        <v>24</v>
      </c>
      <c r="G1648" s="0" t="n">
        <f aca="false">ROUNDUP(F1648/75,0)</f>
        <v>1</v>
      </c>
    </row>
    <row r="1649" customFormat="false" ht="15" hidden="false" customHeight="false" outlineLevel="0" collapsed="false">
      <c r="A1649" s="0" t="s">
        <v>462</v>
      </c>
      <c r="B1649" s="0" t="s">
        <v>596</v>
      </c>
      <c r="C1649" s="0" t="s">
        <v>753</v>
      </c>
      <c r="D1649" s="0" t="n">
        <v>6</v>
      </c>
      <c r="E1649" s="0" t="n">
        <v>3</v>
      </c>
      <c r="F1649" s="0" t="n">
        <f aca="false">D1649*E1649</f>
        <v>18</v>
      </c>
      <c r="G1649" s="0" t="n">
        <f aca="false">ROUNDUP(F1649/75,0)</f>
        <v>1</v>
      </c>
    </row>
    <row r="1650" customFormat="false" ht="15" hidden="false" customHeight="false" outlineLevel="0" collapsed="false">
      <c r="A1650" s="0" t="s">
        <v>462</v>
      </c>
      <c r="B1650" s="0" t="s">
        <v>596</v>
      </c>
      <c r="C1650" s="0" t="s">
        <v>755</v>
      </c>
      <c r="D1650" s="0" t="n">
        <v>6</v>
      </c>
      <c r="E1650" s="0" t="n">
        <v>1</v>
      </c>
      <c r="F1650" s="0" t="n">
        <f aca="false">D1650*E1650</f>
        <v>6</v>
      </c>
      <c r="G1650" s="0" t="n">
        <f aca="false">ROUNDUP(F1650/75,0)</f>
        <v>1</v>
      </c>
    </row>
    <row r="1651" customFormat="false" ht="15" hidden="false" customHeight="false" outlineLevel="0" collapsed="false">
      <c r="A1651" s="0" t="s">
        <v>462</v>
      </c>
      <c r="B1651" s="0" t="s">
        <v>597</v>
      </c>
      <c r="C1651" s="0" t="s">
        <v>753</v>
      </c>
      <c r="D1651" s="0" t="n">
        <v>6</v>
      </c>
      <c r="E1651" s="0" t="n">
        <v>4</v>
      </c>
      <c r="F1651" s="0" t="n">
        <f aca="false">D1651*E1651</f>
        <v>24</v>
      </c>
      <c r="G1651" s="0" t="n">
        <f aca="false">ROUNDUP(F1651/75,0)</f>
        <v>1</v>
      </c>
    </row>
    <row r="1652" customFormat="false" ht="15" hidden="false" customHeight="false" outlineLevel="0" collapsed="false">
      <c r="A1652" s="0" t="s">
        <v>462</v>
      </c>
      <c r="B1652" s="0" t="s">
        <v>598</v>
      </c>
      <c r="C1652" s="0" t="s">
        <v>753</v>
      </c>
      <c r="D1652" s="0" t="n">
        <v>6</v>
      </c>
      <c r="E1652" s="0" t="n">
        <v>2</v>
      </c>
      <c r="F1652" s="0" t="n">
        <f aca="false">D1652*E1652</f>
        <v>12</v>
      </c>
      <c r="G1652" s="0" t="n">
        <f aca="false">ROUNDUP(F1652/75,0)</f>
        <v>1</v>
      </c>
    </row>
    <row r="1653" customFormat="false" ht="15" hidden="false" customHeight="false" outlineLevel="0" collapsed="false">
      <c r="A1653" s="0" t="s">
        <v>462</v>
      </c>
      <c r="B1653" s="0" t="s">
        <v>598</v>
      </c>
      <c r="C1653" s="0" t="s">
        <v>755</v>
      </c>
      <c r="D1653" s="0" t="n">
        <v>6</v>
      </c>
      <c r="E1653" s="0" t="n">
        <v>2</v>
      </c>
      <c r="F1653" s="0" t="n">
        <f aca="false">D1653*E1653</f>
        <v>12</v>
      </c>
      <c r="G1653" s="0" t="n">
        <f aca="false">ROUNDUP(F1653/75,0)</f>
        <v>1</v>
      </c>
    </row>
    <row r="1654" customFormat="false" ht="15" hidden="false" customHeight="false" outlineLevel="0" collapsed="false">
      <c r="A1654" s="0" t="s">
        <v>462</v>
      </c>
      <c r="B1654" s="0" t="s">
        <v>599</v>
      </c>
      <c r="C1654" s="0" t="s">
        <v>757</v>
      </c>
      <c r="D1654" s="0" t="n">
        <v>6</v>
      </c>
      <c r="E1654" s="0" t="n">
        <v>4</v>
      </c>
      <c r="F1654" s="0" t="n">
        <f aca="false">D1654*E1654</f>
        <v>24</v>
      </c>
      <c r="G1654" s="0" t="n">
        <f aca="false">ROUNDUP(F1654/75,0)</f>
        <v>1</v>
      </c>
    </row>
    <row r="1655" customFormat="false" ht="15" hidden="false" customHeight="false" outlineLevel="0" collapsed="false">
      <c r="A1655" s="0" t="s">
        <v>462</v>
      </c>
      <c r="B1655" s="0" t="s">
        <v>599</v>
      </c>
      <c r="C1655" s="0" t="s">
        <v>753</v>
      </c>
      <c r="D1655" s="0" t="n">
        <v>6</v>
      </c>
      <c r="E1655" s="0" t="n">
        <v>3</v>
      </c>
      <c r="F1655" s="0" t="n">
        <f aca="false">D1655*E1655</f>
        <v>18</v>
      </c>
      <c r="G1655" s="0" t="n">
        <f aca="false">ROUNDUP(F1655/75,0)</f>
        <v>1</v>
      </c>
    </row>
    <row r="1656" customFormat="false" ht="15" hidden="false" customHeight="false" outlineLevel="0" collapsed="false">
      <c r="A1656" s="0" t="s">
        <v>462</v>
      </c>
      <c r="B1656" s="0" t="s">
        <v>599</v>
      </c>
      <c r="C1656" s="0" t="s">
        <v>755</v>
      </c>
      <c r="D1656" s="0" t="n">
        <v>6</v>
      </c>
      <c r="E1656" s="0" t="n">
        <v>2</v>
      </c>
      <c r="F1656" s="0" t="n">
        <f aca="false">D1656*E1656</f>
        <v>12</v>
      </c>
      <c r="G1656" s="0" t="n">
        <f aca="false">ROUNDUP(F1656/75,0)</f>
        <v>1</v>
      </c>
    </row>
    <row r="1657" customFormat="false" ht="15" hidden="false" customHeight="false" outlineLevel="0" collapsed="false">
      <c r="A1657" s="0" t="s">
        <v>462</v>
      </c>
      <c r="B1657" s="0" t="s">
        <v>600</v>
      </c>
      <c r="C1657" s="0" t="s">
        <v>756</v>
      </c>
      <c r="D1657" s="0" t="n">
        <v>12</v>
      </c>
      <c r="E1657" s="0" t="n">
        <v>1</v>
      </c>
      <c r="F1657" s="0" t="n">
        <f aca="false">D1657*E1657</f>
        <v>12</v>
      </c>
      <c r="G1657" s="0" t="n">
        <f aca="false">ROUNDUP(F1657/75,0)</f>
        <v>1</v>
      </c>
    </row>
    <row r="1658" customFormat="false" ht="15" hidden="false" customHeight="false" outlineLevel="0" collapsed="false">
      <c r="A1658" s="0" t="s">
        <v>462</v>
      </c>
      <c r="B1658" s="0" t="s">
        <v>600</v>
      </c>
      <c r="C1658" s="0" t="s">
        <v>757</v>
      </c>
      <c r="D1658" s="0" t="n">
        <v>6</v>
      </c>
      <c r="E1658" s="0" t="n">
        <v>1</v>
      </c>
      <c r="F1658" s="0" t="n">
        <f aca="false">D1658*E1658</f>
        <v>6</v>
      </c>
      <c r="G1658" s="0" t="n">
        <f aca="false">ROUNDUP(F1658/75,0)</f>
        <v>1</v>
      </c>
    </row>
    <row r="1659" customFormat="false" ht="15" hidden="false" customHeight="false" outlineLevel="0" collapsed="false">
      <c r="A1659" s="0" t="s">
        <v>462</v>
      </c>
      <c r="B1659" s="0" t="s">
        <v>600</v>
      </c>
      <c r="C1659" s="0" t="s">
        <v>753</v>
      </c>
      <c r="D1659" s="0" t="n">
        <v>6</v>
      </c>
      <c r="E1659" s="0" t="n">
        <v>4</v>
      </c>
      <c r="F1659" s="0" t="n">
        <f aca="false">D1659*E1659</f>
        <v>24</v>
      </c>
      <c r="G1659" s="0" t="n">
        <f aca="false">ROUNDUP(F1659/75,0)</f>
        <v>1</v>
      </c>
    </row>
    <row r="1660" customFormat="false" ht="15" hidden="false" customHeight="false" outlineLevel="0" collapsed="false">
      <c r="A1660" s="0" t="s">
        <v>462</v>
      </c>
      <c r="B1660" s="0" t="s">
        <v>600</v>
      </c>
      <c r="C1660" s="0" t="s">
        <v>755</v>
      </c>
      <c r="D1660" s="0" t="n">
        <v>6</v>
      </c>
      <c r="E1660" s="0" t="n">
        <v>1</v>
      </c>
      <c r="F1660" s="0" t="n">
        <f aca="false">D1660*E1660</f>
        <v>6</v>
      </c>
      <c r="G1660" s="0" t="n">
        <f aca="false">ROUNDUP(F1660/75,0)</f>
        <v>1</v>
      </c>
    </row>
    <row r="1661" customFormat="false" ht="15" hidden="false" customHeight="false" outlineLevel="0" collapsed="false">
      <c r="A1661" s="0" t="s">
        <v>462</v>
      </c>
      <c r="B1661" s="0" t="s">
        <v>601</v>
      </c>
      <c r="C1661" s="0" t="s">
        <v>756</v>
      </c>
      <c r="D1661" s="0" t="n">
        <v>12</v>
      </c>
      <c r="E1661" s="0" t="n">
        <v>2</v>
      </c>
      <c r="F1661" s="0" t="n">
        <f aca="false">D1661*E1661</f>
        <v>24</v>
      </c>
      <c r="G1661" s="0" t="n">
        <f aca="false">ROUNDUP(F1661/75,0)</f>
        <v>1</v>
      </c>
    </row>
    <row r="1662" customFormat="false" ht="15" hidden="false" customHeight="false" outlineLevel="0" collapsed="false">
      <c r="A1662" s="0" t="s">
        <v>462</v>
      </c>
      <c r="B1662" s="0" t="s">
        <v>601</v>
      </c>
      <c r="C1662" s="0" t="s">
        <v>753</v>
      </c>
      <c r="D1662" s="0" t="n">
        <v>6</v>
      </c>
      <c r="E1662" s="0" t="n">
        <v>1</v>
      </c>
      <c r="F1662" s="0" t="n">
        <f aca="false">D1662*E1662</f>
        <v>6</v>
      </c>
      <c r="G1662" s="0" t="n">
        <f aca="false">ROUNDUP(F1662/75,0)</f>
        <v>1</v>
      </c>
    </row>
    <row r="1663" customFormat="false" ht="15" hidden="false" customHeight="false" outlineLevel="0" collapsed="false">
      <c r="A1663" s="0" t="s">
        <v>462</v>
      </c>
      <c r="B1663" s="0" t="s">
        <v>601</v>
      </c>
      <c r="C1663" s="0" t="s">
        <v>755</v>
      </c>
      <c r="D1663" s="0" t="n">
        <v>6</v>
      </c>
      <c r="E1663" s="0" t="n">
        <v>2</v>
      </c>
      <c r="F1663" s="0" t="n">
        <f aca="false">D1663*E1663</f>
        <v>12</v>
      </c>
      <c r="G1663" s="0" t="n">
        <f aca="false">ROUNDUP(F1663/75,0)</f>
        <v>1</v>
      </c>
    </row>
    <row r="1664" customFormat="false" ht="15" hidden="false" customHeight="false" outlineLevel="0" collapsed="false">
      <c r="A1664" s="0" t="s">
        <v>462</v>
      </c>
      <c r="B1664" s="0" t="s">
        <v>602</v>
      </c>
      <c r="C1664" s="0" t="s">
        <v>756</v>
      </c>
      <c r="D1664" s="0" t="n">
        <v>12</v>
      </c>
      <c r="E1664" s="0" t="n">
        <v>4</v>
      </c>
      <c r="F1664" s="0" t="n">
        <f aca="false">D1664*E1664</f>
        <v>48</v>
      </c>
      <c r="G1664" s="0" t="n">
        <f aca="false">ROUNDUP(F1664/75,0)</f>
        <v>1</v>
      </c>
    </row>
    <row r="1665" customFormat="false" ht="15" hidden="false" customHeight="false" outlineLevel="0" collapsed="false">
      <c r="A1665" s="0" t="s">
        <v>462</v>
      </c>
      <c r="B1665" s="0" t="s">
        <v>602</v>
      </c>
      <c r="C1665" s="0" t="s">
        <v>757</v>
      </c>
      <c r="D1665" s="0" t="n">
        <v>6</v>
      </c>
      <c r="E1665" s="0" t="n">
        <v>7</v>
      </c>
      <c r="F1665" s="0" t="n">
        <f aca="false">D1665*E1665</f>
        <v>42</v>
      </c>
      <c r="G1665" s="0" t="n">
        <f aca="false">ROUNDUP(F1665/75,0)</f>
        <v>1</v>
      </c>
    </row>
    <row r="1666" customFormat="false" ht="15" hidden="false" customHeight="false" outlineLevel="0" collapsed="false">
      <c r="A1666" s="0" t="s">
        <v>462</v>
      </c>
      <c r="B1666" s="0" t="s">
        <v>602</v>
      </c>
      <c r="C1666" s="0" t="s">
        <v>753</v>
      </c>
      <c r="D1666" s="0" t="n">
        <v>6</v>
      </c>
      <c r="E1666" s="0" t="n">
        <v>4</v>
      </c>
      <c r="F1666" s="0" t="n">
        <f aca="false">D1666*E1666</f>
        <v>24</v>
      </c>
      <c r="G1666" s="0" t="n">
        <f aca="false">ROUNDUP(F1666/75,0)</f>
        <v>1</v>
      </c>
    </row>
    <row r="1667" customFormat="false" ht="15" hidden="false" customHeight="false" outlineLevel="0" collapsed="false">
      <c r="A1667" s="0" t="s">
        <v>462</v>
      </c>
      <c r="B1667" s="0" t="s">
        <v>603</v>
      </c>
      <c r="C1667" s="0" t="s">
        <v>753</v>
      </c>
      <c r="D1667" s="0" t="n">
        <v>6</v>
      </c>
      <c r="E1667" s="0" t="n">
        <v>6</v>
      </c>
      <c r="F1667" s="0" t="n">
        <f aca="false">D1667*E1667</f>
        <v>36</v>
      </c>
      <c r="G1667" s="0" t="n">
        <f aca="false">ROUNDUP(F1667/75,0)</f>
        <v>1</v>
      </c>
    </row>
    <row r="1668" customFormat="false" ht="15" hidden="false" customHeight="false" outlineLevel="0" collapsed="false">
      <c r="A1668" s="0" t="s">
        <v>462</v>
      </c>
      <c r="B1668" s="0" t="s">
        <v>603</v>
      </c>
      <c r="C1668" s="0" t="s">
        <v>755</v>
      </c>
      <c r="D1668" s="0" t="n">
        <v>6</v>
      </c>
      <c r="E1668" s="0" t="n">
        <v>3</v>
      </c>
      <c r="F1668" s="0" t="n">
        <f aca="false">D1668*E1668</f>
        <v>18</v>
      </c>
      <c r="G1668" s="0" t="n">
        <f aca="false">ROUNDUP(F1668/75,0)</f>
        <v>1</v>
      </c>
    </row>
    <row r="1669" customFormat="false" ht="15" hidden="false" customHeight="false" outlineLevel="0" collapsed="false">
      <c r="A1669" s="0" t="s">
        <v>462</v>
      </c>
      <c r="B1669" s="0" t="s">
        <v>604</v>
      </c>
      <c r="C1669" s="0" t="s">
        <v>756</v>
      </c>
      <c r="D1669" s="0" t="n">
        <v>12</v>
      </c>
      <c r="E1669" s="0" t="n">
        <v>4</v>
      </c>
      <c r="F1669" s="0" t="n">
        <f aca="false">D1669*E1669</f>
        <v>48</v>
      </c>
      <c r="G1669" s="0" t="n">
        <f aca="false">ROUNDUP(F1669/75,0)</f>
        <v>1</v>
      </c>
    </row>
    <row r="1670" customFormat="false" ht="15" hidden="false" customHeight="false" outlineLevel="0" collapsed="false">
      <c r="A1670" s="0" t="s">
        <v>462</v>
      </c>
      <c r="B1670" s="0" t="s">
        <v>604</v>
      </c>
      <c r="C1670" s="0" t="s">
        <v>757</v>
      </c>
      <c r="D1670" s="0" t="n">
        <v>6</v>
      </c>
      <c r="E1670" s="0" t="n">
        <v>12</v>
      </c>
      <c r="F1670" s="0" t="n">
        <f aca="false">D1670*E1670</f>
        <v>72</v>
      </c>
      <c r="G1670" s="0" t="n">
        <f aca="false">ROUNDUP(F1670/75,0)</f>
        <v>1</v>
      </c>
    </row>
    <row r="1671" customFormat="false" ht="15" hidden="false" customHeight="false" outlineLevel="0" collapsed="false">
      <c r="A1671" s="0" t="s">
        <v>462</v>
      </c>
      <c r="B1671" s="0" t="s">
        <v>604</v>
      </c>
      <c r="C1671" s="0" t="s">
        <v>753</v>
      </c>
      <c r="D1671" s="0" t="n">
        <v>6</v>
      </c>
      <c r="E1671" s="0" t="n">
        <v>2</v>
      </c>
      <c r="F1671" s="0" t="n">
        <f aca="false">D1671*E1671</f>
        <v>12</v>
      </c>
      <c r="G1671" s="0" t="n">
        <f aca="false">ROUNDUP(F1671/75,0)</f>
        <v>1</v>
      </c>
    </row>
    <row r="1672" customFormat="false" ht="15" hidden="false" customHeight="false" outlineLevel="0" collapsed="false">
      <c r="A1672" s="0" t="s">
        <v>462</v>
      </c>
      <c r="B1672" s="0" t="s">
        <v>604</v>
      </c>
      <c r="C1672" s="0" t="s">
        <v>755</v>
      </c>
      <c r="D1672" s="0" t="n">
        <v>6</v>
      </c>
      <c r="E1672" s="0" t="n">
        <v>2</v>
      </c>
      <c r="F1672" s="0" t="n">
        <f aca="false">D1672*E1672</f>
        <v>12</v>
      </c>
      <c r="G1672" s="0" t="n">
        <f aca="false">ROUNDUP(F1672/75,0)</f>
        <v>1</v>
      </c>
    </row>
    <row r="1673" customFormat="false" ht="15" hidden="false" customHeight="false" outlineLevel="0" collapsed="false">
      <c r="A1673" s="0" t="s">
        <v>462</v>
      </c>
      <c r="B1673" s="0" t="s">
        <v>605</v>
      </c>
      <c r="C1673" s="0" t="s">
        <v>757</v>
      </c>
      <c r="D1673" s="0" t="n">
        <v>6</v>
      </c>
      <c r="E1673" s="0" t="n">
        <v>1</v>
      </c>
      <c r="F1673" s="0" t="n">
        <f aca="false">D1673*E1673</f>
        <v>6</v>
      </c>
      <c r="G1673" s="0" t="n">
        <f aca="false">ROUNDUP(F1673/75,0)</f>
        <v>1</v>
      </c>
    </row>
    <row r="1674" customFormat="false" ht="15" hidden="false" customHeight="false" outlineLevel="0" collapsed="false">
      <c r="A1674" s="0" t="s">
        <v>462</v>
      </c>
      <c r="B1674" s="0" t="s">
        <v>605</v>
      </c>
      <c r="C1674" s="0" t="s">
        <v>753</v>
      </c>
      <c r="D1674" s="0" t="n">
        <v>6</v>
      </c>
      <c r="E1674" s="0" t="n">
        <v>3</v>
      </c>
      <c r="F1674" s="0" t="n">
        <f aca="false">D1674*E1674</f>
        <v>18</v>
      </c>
      <c r="G1674" s="0" t="n">
        <f aca="false">ROUNDUP(F1674/75,0)</f>
        <v>1</v>
      </c>
    </row>
    <row r="1675" customFormat="false" ht="15" hidden="false" customHeight="false" outlineLevel="0" collapsed="false">
      <c r="A1675" s="0" t="s">
        <v>462</v>
      </c>
      <c r="B1675" s="0" t="s">
        <v>605</v>
      </c>
      <c r="C1675" s="0" t="s">
        <v>755</v>
      </c>
      <c r="D1675" s="0" t="n">
        <v>6</v>
      </c>
      <c r="E1675" s="0" t="n">
        <v>1</v>
      </c>
      <c r="F1675" s="0" t="n">
        <f aca="false">D1675*E1675</f>
        <v>6</v>
      </c>
      <c r="G1675" s="0" t="n">
        <f aca="false">ROUNDUP(F1675/75,0)</f>
        <v>1</v>
      </c>
    </row>
    <row r="1676" customFormat="false" ht="15" hidden="false" customHeight="false" outlineLevel="0" collapsed="false">
      <c r="A1676" s="0" t="s">
        <v>462</v>
      </c>
      <c r="B1676" s="0" t="s">
        <v>606</v>
      </c>
      <c r="C1676" s="0" t="s">
        <v>755</v>
      </c>
      <c r="D1676" s="0" t="n">
        <v>6</v>
      </c>
      <c r="E1676" s="0" t="n">
        <v>4</v>
      </c>
      <c r="F1676" s="0" t="n">
        <f aca="false">D1676*E1676</f>
        <v>24</v>
      </c>
      <c r="G1676" s="0" t="n">
        <f aca="false">ROUNDUP(F1676/75,0)</f>
        <v>1</v>
      </c>
    </row>
    <row r="1677" customFormat="false" ht="15" hidden="false" customHeight="false" outlineLevel="0" collapsed="false">
      <c r="A1677" s="0" t="s">
        <v>462</v>
      </c>
      <c r="B1677" s="0" t="s">
        <v>607</v>
      </c>
      <c r="C1677" s="0" t="s">
        <v>756</v>
      </c>
      <c r="D1677" s="0" t="n">
        <v>12</v>
      </c>
      <c r="E1677" s="0" t="n">
        <v>1</v>
      </c>
      <c r="F1677" s="0" t="n">
        <f aca="false">D1677*E1677</f>
        <v>12</v>
      </c>
      <c r="G1677" s="0" t="n">
        <f aca="false">ROUNDUP(F1677/75,0)</f>
        <v>1</v>
      </c>
    </row>
    <row r="1678" customFormat="false" ht="15" hidden="false" customHeight="false" outlineLevel="0" collapsed="false">
      <c r="A1678" s="0" t="s">
        <v>462</v>
      </c>
      <c r="B1678" s="0" t="s">
        <v>607</v>
      </c>
      <c r="C1678" s="0" t="s">
        <v>753</v>
      </c>
      <c r="D1678" s="0" t="n">
        <v>6</v>
      </c>
      <c r="E1678" s="0" t="n">
        <v>2</v>
      </c>
      <c r="F1678" s="0" t="n">
        <f aca="false">D1678*E1678</f>
        <v>12</v>
      </c>
      <c r="G1678" s="0" t="n">
        <f aca="false">ROUNDUP(F1678/75,0)</f>
        <v>1</v>
      </c>
    </row>
    <row r="1679" customFormat="false" ht="15" hidden="false" customHeight="false" outlineLevel="0" collapsed="false">
      <c r="A1679" s="0" t="s">
        <v>462</v>
      </c>
      <c r="B1679" s="0" t="s">
        <v>607</v>
      </c>
      <c r="C1679" s="0" t="s">
        <v>755</v>
      </c>
      <c r="D1679" s="0" t="n">
        <v>6</v>
      </c>
      <c r="E1679" s="0" t="n">
        <v>1</v>
      </c>
      <c r="F1679" s="0" t="n">
        <f aca="false">D1679*E1679</f>
        <v>6</v>
      </c>
      <c r="G1679" s="0" t="n">
        <f aca="false">ROUNDUP(F1679/75,0)</f>
        <v>1</v>
      </c>
    </row>
    <row r="1680" customFormat="false" ht="15" hidden="false" customHeight="false" outlineLevel="0" collapsed="false">
      <c r="A1680" s="0" t="s">
        <v>462</v>
      </c>
      <c r="B1680" s="0" t="s">
        <v>608</v>
      </c>
      <c r="C1680" s="0" t="s">
        <v>757</v>
      </c>
      <c r="D1680" s="0" t="n">
        <v>6</v>
      </c>
      <c r="E1680" s="0" t="n">
        <v>1</v>
      </c>
      <c r="F1680" s="0" t="n">
        <f aca="false">D1680*E1680</f>
        <v>6</v>
      </c>
      <c r="G1680" s="0" t="n">
        <f aca="false">ROUNDUP(F1680/75,0)</f>
        <v>1</v>
      </c>
    </row>
    <row r="1681" customFormat="false" ht="15" hidden="false" customHeight="false" outlineLevel="0" collapsed="false">
      <c r="A1681" s="0" t="s">
        <v>462</v>
      </c>
      <c r="B1681" s="0" t="s">
        <v>608</v>
      </c>
      <c r="C1681" s="0" t="s">
        <v>755</v>
      </c>
      <c r="D1681" s="0" t="n">
        <v>6</v>
      </c>
      <c r="E1681" s="0" t="n">
        <v>2</v>
      </c>
      <c r="F1681" s="0" t="n">
        <f aca="false">D1681*E1681</f>
        <v>12</v>
      </c>
      <c r="G1681" s="0" t="n">
        <f aca="false">ROUNDUP(F1681/75,0)</f>
        <v>1</v>
      </c>
    </row>
    <row r="1682" customFormat="false" ht="15" hidden="false" customHeight="false" outlineLevel="0" collapsed="false">
      <c r="A1682" s="0" t="s">
        <v>462</v>
      </c>
      <c r="B1682" s="0" t="s">
        <v>609</v>
      </c>
      <c r="C1682" s="0" t="s">
        <v>757</v>
      </c>
      <c r="D1682" s="0" t="n">
        <v>6</v>
      </c>
      <c r="E1682" s="0" t="n">
        <v>2</v>
      </c>
      <c r="F1682" s="0" t="n">
        <f aca="false">D1682*E1682</f>
        <v>12</v>
      </c>
      <c r="G1682" s="0" t="n">
        <f aca="false">ROUNDUP(F1682/75,0)</f>
        <v>1</v>
      </c>
    </row>
    <row r="1683" customFormat="false" ht="15" hidden="false" customHeight="false" outlineLevel="0" collapsed="false">
      <c r="A1683" s="0" t="s">
        <v>462</v>
      </c>
      <c r="B1683" s="0" t="s">
        <v>609</v>
      </c>
      <c r="C1683" s="0" t="s">
        <v>753</v>
      </c>
      <c r="D1683" s="0" t="n">
        <v>6</v>
      </c>
      <c r="E1683" s="0" t="n">
        <v>11</v>
      </c>
      <c r="F1683" s="0" t="n">
        <f aca="false">D1683*E1683</f>
        <v>66</v>
      </c>
      <c r="G1683" s="0" t="n">
        <f aca="false">ROUNDUP(F1683/75,0)</f>
        <v>1</v>
      </c>
    </row>
    <row r="1684" customFormat="false" ht="15" hidden="false" customHeight="false" outlineLevel="0" collapsed="false">
      <c r="A1684" s="0" t="s">
        <v>462</v>
      </c>
      <c r="B1684" s="0" t="s">
        <v>610</v>
      </c>
      <c r="C1684" s="0" t="s">
        <v>757</v>
      </c>
      <c r="D1684" s="0" t="n">
        <v>6</v>
      </c>
      <c r="E1684" s="0" t="n">
        <v>1</v>
      </c>
      <c r="F1684" s="0" t="n">
        <f aca="false">D1684*E1684</f>
        <v>6</v>
      </c>
      <c r="G1684" s="0" t="n">
        <f aca="false">ROUNDUP(F1684/75,0)</f>
        <v>1</v>
      </c>
    </row>
    <row r="1685" customFormat="false" ht="15" hidden="false" customHeight="false" outlineLevel="0" collapsed="false">
      <c r="A1685" s="0" t="s">
        <v>462</v>
      </c>
      <c r="B1685" s="0" t="s">
        <v>610</v>
      </c>
      <c r="C1685" s="0" t="s">
        <v>753</v>
      </c>
      <c r="D1685" s="0" t="n">
        <v>6</v>
      </c>
      <c r="E1685" s="0" t="n">
        <v>4</v>
      </c>
      <c r="F1685" s="0" t="n">
        <f aca="false">D1685*E1685</f>
        <v>24</v>
      </c>
      <c r="G1685" s="0" t="n">
        <f aca="false">ROUNDUP(F1685/75,0)</f>
        <v>1</v>
      </c>
    </row>
    <row r="1686" customFormat="false" ht="15" hidden="false" customHeight="false" outlineLevel="0" collapsed="false">
      <c r="A1686" s="0" t="s">
        <v>462</v>
      </c>
      <c r="B1686" s="0" t="s">
        <v>611</v>
      </c>
      <c r="C1686" s="0" t="s">
        <v>756</v>
      </c>
      <c r="D1686" s="0" t="n">
        <v>12</v>
      </c>
      <c r="E1686" s="0" t="n">
        <v>2</v>
      </c>
      <c r="F1686" s="0" t="n">
        <f aca="false">D1686*E1686</f>
        <v>24</v>
      </c>
      <c r="G1686" s="0" t="n">
        <f aca="false">ROUNDUP(F1686/75,0)</f>
        <v>1</v>
      </c>
    </row>
    <row r="1687" customFormat="false" ht="15" hidden="false" customHeight="false" outlineLevel="0" collapsed="false">
      <c r="A1687" s="0" t="s">
        <v>462</v>
      </c>
      <c r="B1687" s="0" t="s">
        <v>611</v>
      </c>
      <c r="C1687" s="0" t="s">
        <v>757</v>
      </c>
      <c r="D1687" s="0" t="n">
        <v>6</v>
      </c>
      <c r="E1687" s="0" t="n">
        <v>1</v>
      </c>
      <c r="F1687" s="0" t="n">
        <f aca="false">D1687*E1687</f>
        <v>6</v>
      </c>
      <c r="G1687" s="0" t="n">
        <f aca="false">ROUNDUP(F1687/75,0)</f>
        <v>1</v>
      </c>
    </row>
    <row r="1688" customFormat="false" ht="15" hidden="false" customHeight="false" outlineLevel="0" collapsed="false">
      <c r="A1688" s="0" t="s">
        <v>462</v>
      </c>
      <c r="B1688" s="0" t="s">
        <v>611</v>
      </c>
      <c r="C1688" s="0" t="s">
        <v>753</v>
      </c>
      <c r="D1688" s="0" t="n">
        <v>6</v>
      </c>
      <c r="E1688" s="0" t="n">
        <v>3.5</v>
      </c>
      <c r="F1688" s="0" t="n">
        <f aca="false">D1688*E1688</f>
        <v>21</v>
      </c>
      <c r="G1688" s="0" t="n">
        <f aca="false">ROUNDUP(F1688/75,0)</f>
        <v>1</v>
      </c>
    </row>
    <row r="1689" customFormat="false" ht="15" hidden="false" customHeight="false" outlineLevel="0" collapsed="false">
      <c r="A1689" s="0" t="s">
        <v>462</v>
      </c>
      <c r="B1689" s="0" t="s">
        <v>612</v>
      </c>
      <c r="C1689" s="0" t="s">
        <v>757</v>
      </c>
      <c r="D1689" s="0" t="n">
        <v>6</v>
      </c>
      <c r="E1689" s="0" t="n">
        <v>4</v>
      </c>
      <c r="F1689" s="0" t="n">
        <f aca="false">D1689*E1689</f>
        <v>24</v>
      </c>
      <c r="G1689" s="0" t="n">
        <f aca="false">ROUNDUP(F1689/75,0)</f>
        <v>1</v>
      </c>
    </row>
    <row r="1690" customFormat="false" ht="15" hidden="false" customHeight="false" outlineLevel="0" collapsed="false">
      <c r="A1690" s="0" t="s">
        <v>462</v>
      </c>
      <c r="B1690" s="0" t="s">
        <v>612</v>
      </c>
      <c r="C1690" s="0" t="s">
        <v>753</v>
      </c>
      <c r="D1690" s="0" t="n">
        <v>6</v>
      </c>
      <c r="E1690" s="0" t="n">
        <v>6</v>
      </c>
      <c r="F1690" s="0" t="n">
        <f aca="false">D1690*E1690</f>
        <v>36</v>
      </c>
      <c r="G1690" s="0" t="n">
        <f aca="false">ROUNDUP(F1690/75,0)</f>
        <v>1</v>
      </c>
    </row>
    <row r="1691" customFormat="false" ht="15" hidden="false" customHeight="false" outlineLevel="0" collapsed="false">
      <c r="A1691" s="0" t="s">
        <v>462</v>
      </c>
      <c r="B1691" s="0" t="s">
        <v>612</v>
      </c>
      <c r="C1691" s="0" t="s">
        <v>755</v>
      </c>
      <c r="D1691" s="0" t="n">
        <v>6</v>
      </c>
      <c r="E1691" s="0" t="n">
        <v>5</v>
      </c>
      <c r="F1691" s="0" t="n">
        <f aca="false">D1691*E1691</f>
        <v>30</v>
      </c>
      <c r="G1691" s="0" t="n">
        <f aca="false">ROUNDUP(F1691/75,0)</f>
        <v>1</v>
      </c>
    </row>
    <row r="1692" customFormat="false" ht="15" hidden="false" customHeight="false" outlineLevel="0" collapsed="false">
      <c r="A1692" s="0" t="s">
        <v>462</v>
      </c>
      <c r="B1692" s="0" t="s">
        <v>613</v>
      </c>
      <c r="C1692" s="0" t="s">
        <v>757</v>
      </c>
      <c r="D1692" s="0" t="n">
        <v>6</v>
      </c>
      <c r="E1692" s="0" t="n">
        <v>2</v>
      </c>
      <c r="F1692" s="0" t="n">
        <f aca="false">D1692*E1692</f>
        <v>12</v>
      </c>
      <c r="G1692" s="0" t="n">
        <f aca="false">ROUNDUP(F1692/75,0)</f>
        <v>1</v>
      </c>
    </row>
    <row r="1693" customFormat="false" ht="15" hidden="false" customHeight="false" outlineLevel="0" collapsed="false">
      <c r="A1693" s="0" t="s">
        <v>462</v>
      </c>
      <c r="B1693" s="0" t="s">
        <v>613</v>
      </c>
      <c r="C1693" s="0" t="s">
        <v>753</v>
      </c>
      <c r="D1693" s="0" t="n">
        <v>6</v>
      </c>
      <c r="E1693" s="0" t="n">
        <v>5</v>
      </c>
      <c r="F1693" s="0" t="n">
        <f aca="false">D1693*E1693</f>
        <v>30</v>
      </c>
      <c r="G1693" s="0" t="n">
        <f aca="false">ROUNDUP(F1693/75,0)</f>
        <v>1</v>
      </c>
    </row>
    <row r="1694" customFormat="false" ht="15" hidden="false" customHeight="false" outlineLevel="0" collapsed="false">
      <c r="A1694" s="0" t="s">
        <v>462</v>
      </c>
      <c r="B1694" s="0" t="s">
        <v>613</v>
      </c>
      <c r="C1694" s="0" t="s">
        <v>755</v>
      </c>
      <c r="D1694" s="0" t="n">
        <v>6</v>
      </c>
      <c r="E1694" s="0" t="n">
        <v>5</v>
      </c>
      <c r="F1694" s="0" t="n">
        <f aca="false">D1694*E1694</f>
        <v>30</v>
      </c>
      <c r="G1694" s="0" t="n">
        <f aca="false">ROUNDUP(F1694/75,0)</f>
        <v>1</v>
      </c>
    </row>
    <row r="1695" customFormat="false" ht="15" hidden="false" customHeight="false" outlineLevel="0" collapsed="false">
      <c r="A1695" s="0" t="s">
        <v>462</v>
      </c>
      <c r="B1695" s="0" t="s">
        <v>614</v>
      </c>
      <c r="C1695" s="0" t="s">
        <v>756</v>
      </c>
      <c r="D1695" s="0" t="n">
        <v>12</v>
      </c>
      <c r="E1695" s="0" t="n">
        <v>1</v>
      </c>
      <c r="F1695" s="0" t="n">
        <f aca="false">D1695*E1695</f>
        <v>12</v>
      </c>
      <c r="G1695" s="0" t="n">
        <f aca="false">ROUNDUP(F1695/75,0)</f>
        <v>1</v>
      </c>
    </row>
    <row r="1696" customFormat="false" ht="15" hidden="false" customHeight="false" outlineLevel="0" collapsed="false">
      <c r="A1696" s="0" t="s">
        <v>462</v>
      </c>
      <c r="B1696" s="0" t="s">
        <v>614</v>
      </c>
      <c r="C1696" s="0" t="s">
        <v>757</v>
      </c>
      <c r="D1696" s="0" t="n">
        <v>6</v>
      </c>
      <c r="E1696" s="0" t="n">
        <v>3</v>
      </c>
      <c r="F1696" s="0" t="n">
        <f aca="false">D1696*E1696</f>
        <v>18</v>
      </c>
      <c r="G1696" s="0" t="n">
        <f aca="false">ROUNDUP(F1696/75,0)</f>
        <v>1</v>
      </c>
    </row>
    <row r="1697" customFormat="false" ht="15" hidden="false" customHeight="false" outlineLevel="0" collapsed="false">
      <c r="A1697" s="0" t="s">
        <v>462</v>
      </c>
      <c r="B1697" s="0" t="s">
        <v>614</v>
      </c>
      <c r="C1697" s="0" t="s">
        <v>753</v>
      </c>
      <c r="D1697" s="0" t="n">
        <v>6</v>
      </c>
      <c r="E1697" s="0" t="n">
        <v>2</v>
      </c>
      <c r="F1697" s="0" t="n">
        <f aca="false">D1697*E1697</f>
        <v>12</v>
      </c>
      <c r="G1697" s="0" t="n">
        <f aca="false">ROUNDUP(F1697/75,0)</f>
        <v>1</v>
      </c>
    </row>
    <row r="1698" customFormat="false" ht="15" hidden="false" customHeight="false" outlineLevel="0" collapsed="false">
      <c r="A1698" s="0" t="s">
        <v>462</v>
      </c>
      <c r="B1698" s="0" t="s">
        <v>614</v>
      </c>
      <c r="C1698" s="0" t="s">
        <v>755</v>
      </c>
      <c r="D1698" s="0" t="n">
        <v>6</v>
      </c>
      <c r="E1698" s="0" t="n">
        <v>1</v>
      </c>
      <c r="F1698" s="0" t="n">
        <f aca="false">D1698*E1698</f>
        <v>6</v>
      </c>
      <c r="G1698" s="0" t="n">
        <f aca="false">ROUNDUP(F1698/75,0)</f>
        <v>1</v>
      </c>
    </row>
    <row r="1699" customFormat="false" ht="15" hidden="false" customHeight="false" outlineLevel="0" collapsed="false">
      <c r="A1699" s="0" t="s">
        <v>462</v>
      </c>
      <c r="B1699" s="0" t="s">
        <v>615</v>
      </c>
      <c r="C1699" s="0" t="s">
        <v>756</v>
      </c>
      <c r="D1699" s="0" t="n">
        <v>12</v>
      </c>
      <c r="E1699" s="0" t="n">
        <v>1</v>
      </c>
      <c r="F1699" s="0" t="n">
        <f aca="false">D1699*E1699</f>
        <v>12</v>
      </c>
      <c r="G1699" s="0" t="n">
        <f aca="false">ROUNDUP(F1699/75,0)</f>
        <v>1</v>
      </c>
    </row>
    <row r="1700" customFormat="false" ht="15" hidden="false" customHeight="false" outlineLevel="0" collapsed="false">
      <c r="A1700" s="0" t="s">
        <v>462</v>
      </c>
      <c r="B1700" s="0" t="s">
        <v>615</v>
      </c>
      <c r="C1700" s="0" t="s">
        <v>757</v>
      </c>
      <c r="D1700" s="0" t="n">
        <v>6</v>
      </c>
      <c r="E1700" s="0" t="n">
        <v>1</v>
      </c>
      <c r="F1700" s="0" t="n">
        <f aca="false">D1700*E1700</f>
        <v>6</v>
      </c>
      <c r="G1700" s="0" t="n">
        <f aca="false">ROUNDUP(F1700/75,0)</f>
        <v>1</v>
      </c>
    </row>
    <row r="1701" customFormat="false" ht="15" hidden="false" customHeight="false" outlineLevel="0" collapsed="false">
      <c r="A1701" s="0" t="s">
        <v>462</v>
      </c>
      <c r="B1701" s="0" t="s">
        <v>615</v>
      </c>
      <c r="C1701" s="0" t="s">
        <v>753</v>
      </c>
      <c r="D1701" s="0" t="n">
        <v>6</v>
      </c>
      <c r="E1701" s="0" t="n">
        <v>3</v>
      </c>
      <c r="F1701" s="0" t="n">
        <f aca="false">D1701*E1701</f>
        <v>18</v>
      </c>
      <c r="G1701" s="0" t="n">
        <f aca="false">ROUNDUP(F1701/75,0)</f>
        <v>1</v>
      </c>
    </row>
    <row r="1702" customFormat="false" ht="15" hidden="false" customHeight="false" outlineLevel="0" collapsed="false">
      <c r="A1702" s="0" t="s">
        <v>462</v>
      </c>
      <c r="B1702" s="0" t="s">
        <v>615</v>
      </c>
      <c r="C1702" s="0" t="s">
        <v>755</v>
      </c>
      <c r="D1702" s="0" t="n">
        <v>6</v>
      </c>
      <c r="E1702" s="0" t="n">
        <v>2</v>
      </c>
      <c r="F1702" s="0" t="n">
        <f aca="false">D1702*E1702</f>
        <v>12</v>
      </c>
      <c r="G1702" s="0" t="n">
        <f aca="false">ROUNDUP(F1702/75,0)</f>
        <v>1</v>
      </c>
    </row>
    <row r="1703" customFormat="false" ht="15" hidden="false" customHeight="false" outlineLevel="0" collapsed="false">
      <c r="A1703" s="0" t="s">
        <v>462</v>
      </c>
      <c r="B1703" s="0" t="s">
        <v>616</v>
      </c>
      <c r="C1703" s="0" t="s">
        <v>756</v>
      </c>
      <c r="D1703" s="0" t="n">
        <v>12</v>
      </c>
      <c r="E1703" s="0" t="n">
        <v>3</v>
      </c>
      <c r="F1703" s="0" t="n">
        <f aca="false">D1703*E1703</f>
        <v>36</v>
      </c>
      <c r="G1703" s="0" t="n">
        <f aca="false">ROUNDUP(F1703/75,0)</f>
        <v>1</v>
      </c>
    </row>
    <row r="1704" customFormat="false" ht="15" hidden="false" customHeight="false" outlineLevel="0" collapsed="false">
      <c r="A1704" s="0" t="s">
        <v>462</v>
      </c>
      <c r="B1704" s="0" t="s">
        <v>616</v>
      </c>
      <c r="C1704" s="0" t="s">
        <v>757</v>
      </c>
      <c r="D1704" s="0" t="n">
        <v>6</v>
      </c>
      <c r="E1704" s="0" t="n">
        <v>1</v>
      </c>
      <c r="F1704" s="0" t="n">
        <f aca="false">D1704*E1704</f>
        <v>6</v>
      </c>
      <c r="G1704" s="0" t="n">
        <f aca="false">ROUNDUP(F1704/75,0)</f>
        <v>1</v>
      </c>
    </row>
    <row r="1705" customFormat="false" ht="15" hidden="false" customHeight="false" outlineLevel="0" collapsed="false">
      <c r="A1705" s="0" t="s">
        <v>462</v>
      </c>
      <c r="B1705" s="0" t="s">
        <v>616</v>
      </c>
      <c r="C1705" s="0" t="s">
        <v>753</v>
      </c>
      <c r="D1705" s="0" t="n">
        <v>6</v>
      </c>
      <c r="E1705" s="0" t="n">
        <v>2</v>
      </c>
      <c r="F1705" s="0" t="n">
        <f aca="false">D1705*E1705</f>
        <v>12</v>
      </c>
      <c r="G1705" s="0" t="n">
        <f aca="false">ROUNDUP(F1705/75,0)</f>
        <v>1</v>
      </c>
    </row>
    <row r="1706" customFormat="false" ht="15" hidden="false" customHeight="false" outlineLevel="0" collapsed="false">
      <c r="A1706" s="0" t="s">
        <v>462</v>
      </c>
      <c r="B1706" s="0" t="s">
        <v>616</v>
      </c>
      <c r="C1706" s="0" t="s">
        <v>755</v>
      </c>
      <c r="D1706" s="0" t="n">
        <v>6</v>
      </c>
      <c r="E1706" s="0" t="n">
        <v>1</v>
      </c>
      <c r="F1706" s="0" t="n">
        <f aca="false">D1706*E1706</f>
        <v>6</v>
      </c>
      <c r="G1706" s="0" t="n">
        <f aca="false">ROUNDUP(F1706/75,0)</f>
        <v>1</v>
      </c>
    </row>
    <row r="1707" customFormat="false" ht="15" hidden="false" customHeight="false" outlineLevel="0" collapsed="false">
      <c r="A1707" s="0" t="s">
        <v>462</v>
      </c>
      <c r="B1707" s="0" t="s">
        <v>617</v>
      </c>
      <c r="C1707" s="0" t="s">
        <v>756</v>
      </c>
      <c r="D1707" s="0" t="n">
        <v>12</v>
      </c>
      <c r="E1707" s="0" t="n">
        <v>3</v>
      </c>
      <c r="F1707" s="0" t="n">
        <f aca="false">D1707*E1707</f>
        <v>36</v>
      </c>
      <c r="G1707" s="0" t="n">
        <f aca="false">ROUNDUP(F1707/75,0)</f>
        <v>1</v>
      </c>
    </row>
    <row r="1708" customFormat="false" ht="15" hidden="false" customHeight="false" outlineLevel="0" collapsed="false">
      <c r="A1708" s="0" t="s">
        <v>462</v>
      </c>
      <c r="B1708" s="0" t="s">
        <v>618</v>
      </c>
      <c r="C1708" s="0" t="s">
        <v>757</v>
      </c>
      <c r="D1708" s="0" t="n">
        <v>6</v>
      </c>
      <c r="E1708" s="0" t="n">
        <v>2</v>
      </c>
      <c r="F1708" s="0" t="n">
        <f aca="false">D1708*E1708</f>
        <v>12</v>
      </c>
      <c r="G1708" s="0" t="n">
        <f aca="false">ROUNDUP(F1708/75,0)</f>
        <v>1</v>
      </c>
    </row>
    <row r="1709" customFormat="false" ht="15" hidden="false" customHeight="false" outlineLevel="0" collapsed="false">
      <c r="A1709" s="0" t="s">
        <v>462</v>
      </c>
      <c r="B1709" s="0" t="s">
        <v>618</v>
      </c>
      <c r="C1709" s="0" t="s">
        <v>753</v>
      </c>
      <c r="D1709" s="0" t="n">
        <v>6</v>
      </c>
      <c r="E1709" s="0" t="n">
        <v>2</v>
      </c>
      <c r="F1709" s="0" t="n">
        <f aca="false">D1709*E1709</f>
        <v>12</v>
      </c>
      <c r="G1709" s="0" t="n">
        <f aca="false">ROUNDUP(F1709/75,0)</f>
        <v>1</v>
      </c>
    </row>
    <row r="1710" customFormat="false" ht="15" hidden="false" customHeight="false" outlineLevel="0" collapsed="false">
      <c r="A1710" s="0" t="s">
        <v>462</v>
      </c>
      <c r="B1710" s="0" t="s">
        <v>618</v>
      </c>
      <c r="C1710" s="0" t="s">
        <v>755</v>
      </c>
      <c r="D1710" s="0" t="n">
        <v>6</v>
      </c>
      <c r="E1710" s="0" t="n">
        <v>5</v>
      </c>
      <c r="F1710" s="0" t="n">
        <f aca="false">D1710*E1710</f>
        <v>30</v>
      </c>
      <c r="G1710" s="0" t="n">
        <f aca="false">ROUNDUP(F1710/75,0)</f>
        <v>1</v>
      </c>
    </row>
    <row r="1711" customFormat="false" ht="15" hidden="false" customHeight="false" outlineLevel="0" collapsed="false">
      <c r="A1711" s="0" t="s">
        <v>462</v>
      </c>
      <c r="B1711" s="0" t="s">
        <v>619</v>
      </c>
      <c r="C1711" s="0" t="s">
        <v>756</v>
      </c>
      <c r="D1711" s="0" t="n">
        <v>12</v>
      </c>
      <c r="E1711" s="0" t="n">
        <v>3</v>
      </c>
      <c r="F1711" s="0" t="n">
        <f aca="false">D1711*E1711</f>
        <v>36</v>
      </c>
      <c r="G1711" s="0" t="n">
        <f aca="false">ROUNDUP(F1711/75,0)</f>
        <v>1</v>
      </c>
    </row>
    <row r="1712" customFormat="false" ht="15" hidden="false" customHeight="false" outlineLevel="0" collapsed="false">
      <c r="A1712" s="0" t="s">
        <v>462</v>
      </c>
      <c r="B1712" s="0" t="s">
        <v>619</v>
      </c>
      <c r="C1712" s="0" t="s">
        <v>757</v>
      </c>
      <c r="D1712" s="0" t="n">
        <v>6</v>
      </c>
      <c r="E1712" s="0" t="n">
        <v>2</v>
      </c>
      <c r="F1712" s="0" t="n">
        <f aca="false">D1712*E1712</f>
        <v>12</v>
      </c>
      <c r="G1712" s="0" t="n">
        <f aca="false">ROUNDUP(F1712/75,0)</f>
        <v>1</v>
      </c>
    </row>
    <row r="1713" customFormat="false" ht="15" hidden="false" customHeight="false" outlineLevel="0" collapsed="false">
      <c r="A1713" s="0" t="s">
        <v>462</v>
      </c>
      <c r="B1713" s="0" t="s">
        <v>619</v>
      </c>
      <c r="C1713" s="0" t="s">
        <v>753</v>
      </c>
      <c r="D1713" s="0" t="n">
        <v>6</v>
      </c>
      <c r="E1713" s="0" t="n">
        <v>8</v>
      </c>
      <c r="F1713" s="0" t="n">
        <f aca="false">D1713*E1713</f>
        <v>48</v>
      </c>
      <c r="G1713" s="0" t="n">
        <f aca="false">ROUNDUP(F1713/75,0)</f>
        <v>1</v>
      </c>
    </row>
    <row r="1714" customFormat="false" ht="15" hidden="false" customHeight="false" outlineLevel="0" collapsed="false">
      <c r="A1714" s="0" t="s">
        <v>462</v>
      </c>
      <c r="B1714" s="0" t="s">
        <v>619</v>
      </c>
      <c r="C1714" s="0" t="s">
        <v>755</v>
      </c>
      <c r="D1714" s="0" t="n">
        <v>6</v>
      </c>
      <c r="E1714" s="0" t="n">
        <v>5</v>
      </c>
      <c r="F1714" s="0" t="n">
        <f aca="false">D1714*E1714</f>
        <v>30</v>
      </c>
      <c r="G1714" s="0" t="n">
        <f aca="false">ROUNDUP(F1714/75,0)</f>
        <v>1</v>
      </c>
    </row>
    <row r="1715" customFormat="false" ht="15" hidden="false" customHeight="false" outlineLevel="0" collapsed="false">
      <c r="A1715" s="0" t="s">
        <v>462</v>
      </c>
      <c r="B1715" s="0" t="s">
        <v>620</v>
      </c>
      <c r="C1715" s="0" t="s">
        <v>757</v>
      </c>
      <c r="D1715" s="0" t="n">
        <v>6</v>
      </c>
      <c r="E1715" s="0" t="n">
        <v>1</v>
      </c>
      <c r="F1715" s="0" t="n">
        <f aca="false">D1715*E1715</f>
        <v>6</v>
      </c>
      <c r="G1715" s="0" t="n">
        <f aca="false">ROUNDUP(F1715/75,0)</f>
        <v>1</v>
      </c>
    </row>
    <row r="1716" customFormat="false" ht="15" hidden="false" customHeight="false" outlineLevel="0" collapsed="false">
      <c r="A1716" s="0" t="s">
        <v>462</v>
      </c>
      <c r="B1716" s="0" t="s">
        <v>620</v>
      </c>
      <c r="C1716" s="0" t="s">
        <v>753</v>
      </c>
      <c r="D1716" s="0" t="n">
        <v>6</v>
      </c>
      <c r="E1716" s="0" t="n">
        <v>2</v>
      </c>
      <c r="F1716" s="0" t="n">
        <f aca="false">D1716*E1716</f>
        <v>12</v>
      </c>
      <c r="G1716" s="0" t="n">
        <f aca="false">ROUNDUP(F1716/75,0)</f>
        <v>1</v>
      </c>
    </row>
    <row r="1717" customFormat="false" ht="15" hidden="false" customHeight="false" outlineLevel="0" collapsed="false">
      <c r="A1717" s="0" t="s">
        <v>462</v>
      </c>
      <c r="B1717" s="0" t="s">
        <v>621</v>
      </c>
      <c r="C1717" s="0" t="s">
        <v>756</v>
      </c>
      <c r="D1717" s="0" t="n">
        <v>12</v>
      </c>
      <c r="E1717" s="0" t="n">
        <v>3</v>
      </c>
      <c r="F1717" s="0" t="n">
        <f aca="false">D1717*E1717</f>
        <v>36</v>
      </c>
      <c r="G1717" s="0" t="n">
        <f aca="false">ROUNDUP(F1717/75,0)</f>
        <v>1</v>
      </c>
    </row>
    <row r="1718" customFormat="false" ht="15" hidden="false" customHeight="false" outlineLevel="0" collapsed="false">
      <c r="A1718" s="0" t="s">
        <v>462</v>
      </c>
      <c r="B1718" s="0" t="s">
        <v>621</v>
      </c>
      <c r="C1718" s="0" t="s">
        <v>755</v>
      </c>
      <c r="D1718" s="0" t="n">
        <v>6</v>
      </c>
      <c r="E1718" s="0" t="n">
        <v>1</v>
      </c>
      <c r="F1718" s="0" t="n">
        <f aca="false">D1718*E1718</f>
        <v>6</v>
      </c>
      <c r="G1718" s="0" t="n">
        <f aca="false">ROUNDUP(F1718/75,0)</f>
        <v>1</v>
      </c>
    </row>
    <row r="1719" customFormat="false" ht="15" hidden="false" customHeight="false" outlineLevel="0" collapsed="false">
      <c r="A1719" s="0" t="s">
        <v>462</v>
      </c>
      <c r="B1719" s="0" t="s">
        <v>622</v>
      </c>
      <c r="C1719" s="0" t="s">
        <v>756</v>
      </c>
      <c r="D1719" s="0" t="n">
        <v>12</v>
      </c>
      <c r="E1719" s="0" t="n">
        <v>1</v>
      </c>
      <c r="F1719" s="0" t="n">
        <f aca="false">D1719*E1719</f>
        <v>12</v>
      </c>
      <c r="G1719" s="0" t="n">
        <f aca="false">ROUNDUP(F1719/75,0)</f>
        <v>1</v>
      </c>
    </row>
    <row r="1720" customFormat="false" ht="15" hidden="false" customHeight="false" outlineLevel="0" collapsed="false">
      <c r="A1720" s="0" t="s">
        <v>462</v>
      </c>
      <c r="B1720" s="0" t="s">
        <v>622</v>
      </c>
      <c r="C1720" s="0" t="s">
        <v>757</v>
      </c>
      <c r="D1720" s="0" t="n">
        <v>6</v>
      </c>
      <c r="E1720" s="0" t="n">
        <v>1</v>
      </c>
      <c r="F1720" s="0" t="n">
        <f aca="false">D1720*E1720</f>
        <v>6</v>
      </c>
      <c r="G1720" s="0" t="n">
        <f aca="false">ROUNDUP(F1720/75,0)</f>
        <v>1</v>
      </c>
    </row>
    <row r="1721" customFormat="false" ht="15" hidden="false" customHeight="false" outlineLevel="0" collapsed="false">
      <c r="A1721" s="0" t="s">
        <v>462</v>
      </c>
      <c r="B1721" s="0" t="s">
        <v>622</v>
      </c>
      <c r="C1721" s="0" t="s">
        <v>753</v>
      </c>
      <c r="D1721" s="0" t="n">
        <v>6</v>
      </c>
      <c r="E1721" s="0" t="n">
        <v>2</v>
      </c>
      <c r="F1721" s="0" t="n">
        <f aca="false">D1721*E1721</f>
        <v>12</v>
      </c>
      <c r="G1721" s="0" t="n">
        <f aca="false">ROUNDUP(F1721/75,0)</f>
        <v>1</v>
      </c>
    </row>
    <row r="1722" customFormat="false" ht="15" hidden="false" customHeight="false" outlineLevel="0" collapsed="false">
      <c r="A1722" s="0" t="s">
        <v>462</v>
      </c>
      <c r="B1722" s="0" t="s">
        <v>623</v>
      </c>
      <c r="C1722" s="0" t="s">
        <v>756</v>
      </c>
      <c r="D1722" s="0" t="n">
        <v>12</v>
      </c>
      <c r="E1722" s="0" t="n">
        <v>1</v>
      </c>
      <c r="F1722" s="0" t="n">
        <f aca="false">D1722*E1722</f>
        <v>12</v>
      </c>
      <c r="G1722" s="0" t="n">
        <f aca="false">ROUNDUP(F1722/75,0)</f>
        <v>1</v>
      </c>
    </row>
    <row r="1723" customFormat="false" ht="15" hidden="false" customHeight="false" outlineLevel="0" collapsed="false">
      <c r="A1723" s="0" t="s">
        <v>462</v>
      </c>
      <c r="B1723" s="0" t="s">
        <v>623</v>
      </c>
      <c r="C1723" s="0" t="s">
        <v>753</v>
      </c>
      <c r="D1723" s="0" t="n">
        <v>6</v>
      </c>
      <c r="E1723" s="0" t="n">
        <v>3</v>
      </c>
      <c r="F1723" s="0" t="n">
        <f aca="false">D1723*E1723</f>
        <v>18</v>
      </c>
      <c r="G1723" s="0" t="n">
        <f aca="false">ROUNDUP(F1723/75,0)</f>
        <v>1</v>
      </c>
    </row>
    <row r="1724" customFormat="false" ht="15" hidden="false" customHeight="false" outlineLevel="0" collapsed="false">
      <c r="A1724" s="0" t="s">
        <v>462</v>
      </c>
      <c r="B1724" s="0" t="s">
        <v>623</v>
      </c>
      <c r="C1724" s="0" t="s">
        <v>755</v>
      </c>
      <c r="D1724" s="0" t="n">
        <v>6</v>
      </c>
      <c r="E1724" s="0" t="n">
        <v>1</v>
      </c>
      <c r="F1724" s="0" t="n">
        <f aca="false">D1724*E1724</f>
        <v>6</v>
      </c>
      <c r="G1724" s="0" t="n">
        <f aca="false">ROUNDUP(F1724/75,0)</f>
        <v>1</v>
      </c>
    </row>
    <row r="1725" customFormat="false" ht="15" hidden="false" customHeight="false" outlineLevel="0" collapsed="false">
      <c r="A1725" s="0" t="s">
        <v>462</v>
      </c>
      <c r="B1725" s="0" t="s">
        <v>624</v>
      </c>
      <c r="C1725" s="0" t="s">
        <v>757</v>
      </c>
      <c r="D1725" s="0" t="n">
        <v>6</v>
      </c>
      <c r="E1725" s="0" t="n">
        <v>2</v>
      </c>
      <c r="F1725" s="0" t="n">
        <f aca="false">D1725*E1725</f>
        <v>12</v>
      </c>
      <c r="G1725" s="0" t="n">
        <f aca="false">ROUNDUP(F1725/75,0)</f>
        <v>1</v>
      </c>
    </row>
    <row r="1726" customFormat="false" ht="15" hidden="false" customHeight="false" outlineLevel="0" collapsed="false">
      <c r="A1726" s="0" t="s">
        <v>462</v>
      </c>
      <c r="B1726" s="0" t="s">
        <v>624</v>
      </c>
      <c r="C1726" s="0" t="s">
        <v>753</v>
      </c>
      <c r="D1726" s="0" t="n">
        <v>6</v>
      </c>
      <c r="E1726" s="0" t="n">
        <v>4</v>
      </c>
      <c r="F1726" s="0" t="n">
        <f aca="false">D1726*E1726</f>
        <v>24</v>
      </c>
      <c r="G1726" s="0" t="n">
        <f aca="false">ROUNDUP(F1726/75,0)</f>
        <v>1</v>
      </c>
    </row>
    <row r="1727" customFormat="false" ht="15" hidden="false" customHeight="false" outlineLevel="0" collapsed="false">
      <c r="A1727" s="0" t="s">
        <v>462</v>
      </c>
      <c r="B1727" s="0" t="s">
        <v>624</v>
      </c>
      <c r="C1727" s="0" t="s">
        <v>755</v>
      </c>
      <c r="D1727" s="0" t="n">
        <v>6</v>
      </c>
      <c r="E1727" s="0" t="n">
        <v>6</v>
      </c>
      <c r="F1727" s="0" t="n">
        <f aca="false">D1727*E1727</f>
        <v>36</v>
      </c>
      <c r="G1727" s="0" t="n">
        <f aca="false">ROUNDUP(F1727/75,0)</f>
        <v>1</v>
      </c>
    </row>
    <row r="1728" customFormat="false" ht="15" hidden="false" customHeight="false" outlineLevel="0" collapsed="false">
      <c r="A1728" s="0" t="s">
        <v>462</v>
      </c>
      <c r="B1728" s="0" t="s">
        <v>625</v>
      </c>
      <c r="C1728" s="0" t="s">
        <v>757</v>
      </c>
      <c r="D1728" s="0" t="n">
        <v>6</v>
      </c>
      <c r="E1728" s="0" t="n">
        <v>2</v>
      </c>
      <c r="F1728" s="0" t="n">
        <f aca="false">D1728*E1728</f>
        <v>12</v>
      </c>
      <c r="G1728" s="0" t="n">
        <f aca="false">ROUNDUP(F1728/75,0)</f>
        <v>1</v>
      </c>
    </row>
    <row r="1729" customFormat="false" ht="15" hidden="false" customHeight="false" outlineLevel="0" collapsed="false">
      <c r="A1729" s="0" t="s">
        <v>462</v>
      </c>
      <c r="B1729" s="0" t="s">
        <v>625</v>
      </c>
      <c r="C1729" s="0" t="s">
        <v>755</v>
      </c>
      <c r="D1729" s="0" t="n">
        <v>6</v>
      </c>
      <c r="E1729" s="0" t="n">
        <v>1</v>
      </c>
      <c r="F1729" s="0" t="n">
        <f aca="false">D1729*E1729</f>
        <v>6</v>
      </c>
      <c r="G1729" s="0" t="n">
        <f aca="false">ROUNDUP(F1729/75,0)</f>
        <v>1</v>
      </c>
    </row>
    <row r="1730" customFormat="false" ht="15" hidden="false" customHeight="false" outlineLevel="0" collapsed="false">
      <c r="A1730" s="0" t="s">
        <v>462</v>
      </c>
      <c r="B1730" s="0" t="s">
        <v>626</v>
      </c>
      <c r="C1730" s="0" t="s">
        <v>753</v>
      </c>
      <c r="D1730" s="0" t="n">
        <v>6</v>
      </c>
      <c r="E1730" s="0" t="n">
        <v>1</v>
      </c>
      <c r="F1730" s="0" t="n">
        <f aca="false">D1730*E1730</f>
        <v>6</v>
      </c>
      <c r="G1730" s="0" t="n">
        <f aca="false">ROUNDUP(F1730/75,0)</f>
        <v>1</v>
      </c>
    </row>
    <row r="1731" customFormat="false" ht="15" hidden="false" customHeight="false" outlineLevel="0" collapsed="false">
      <c r="A1731" s="0" t="s">
        <v>462</v>
      </c>
      <c r="B1731" s="0" t="s">
        <v>626</v>
      </c>
      <c r="C1731" s="0" t="s">
        <v>755</v>
      </c>
      <c r="D1731" s="0" t="n">
        <v>6</v>
      </c>
      <c r="E1731" s="0" t="n">
        <v>1</v>
      </c>
      <c r="F1731" s="0" t="n">
        <f aca="false">D1731*E1731</f>
        <v>6</v>
      </c>
      <c r="G1731" s="0" t="n">
        <f aca="false">ROUNDUP(F1731/75,0)</f>
        <v>1</v>
      </c>
    </row>
    <row r="1732" customFormat="false" ht="15" hidden="false" customHeight="false" outlineLevel="0" collapsed="false">
      <c r="A1732" s="0" t="s">
        <v>462</v>
      </c>
      <c r="B1732" s="0" t="s">
        <v>627</v>
      </c>
      <c r="C1732" s="0" t="s">
        <v>757</v>
      </c>
      <c r="D1732" s="0" t="n">
        <v>6</v>
      </c>
      <c r="E1732" s="0" t="n">
        <v>2</v>
      </c>
      <c r="F1732" s="0" t="n">
        <f aca="false">D1732*E1732</f>
        <v>12</v>
      </c>
      <c r="G1732" s="0" t="n">
        <f aca="false">ROUNDUP(F1732/75,0)</f>
        <v>1</v>
      </c>
    </row>
    <row r="1733" customFormat="false" ht="15" hidden="false" customHeight="false" outlineLevel="0" collapsed="false">
      <c r="A1733" s="0" t="s">
        <v>462</v>
      </c>
      <c r="B1733" s="0" t="s">
        <v>627</v>
      </c>
      <c r="C1733" s="0" t="s">
        <v>753</v>
      </c>
      <c r="D1733" s="0" t="n">
        <v>6</v>
      </c>
      <c r="E1733" s="0" t="n">
        <v>2</v>
      </c>
      <c r="F1733" s="0" t="n">
        <f aca="false">D1733*E1733</f>
        <v>12</v>
      </c>
      <c r="G1733" s="0" t="n">
        <f aca="false">ROUNDUP(F1733/75,0)</f>
        <v>1</v>
      </c>
    </row>
    <row r="1734" customFormat="false" ht="15" hidden="false" customHeight="false" outlineLevel="0" collapsed="false">
      <c r="A1734" s="0" t="s">
        <v>462</v>
      </c>
      <c r="B1734" s="0" t="s">
        <v>627</v>
      </c>
      <c r="C1734" s="0" t="s">
        <v>755</v>
      </c>
      <c r="D1734" s="0" t="n">
        <v>6</v>
      </c>
      <c r="E1734" s="0" t="n">
        <v>5</v>
      </c>
      <c r="F1734" s="0" t="n">
        <f aca="false">D1734*E1734</f>
        <v>30</v>
      </c>
      <c r="G1734" s="0" t="n">
        <f aca="false">ROUNDUP(F1734/75,0)</f>
        <v>1</v>
      </c>
    </row>
    <row r="1735" customFormat="false" ht="15" hidden="false" customHeight="false" outlineLevel="0" collapsed="false">
      <c r="A1735" s="0" t="s">
        <v>462</v>
      </c>
      <c r="B1735" s="0" t="s">
        <v>628</v>
      </c>
      <c r="C1735" s="0" t="s">
        <v>757</v>
      </c>
      <c r="D1735" s="0" t="n">
        <v>6</v>
      </c>
      <c r="E1735" s="0" t="n">
        <v>6</v>
      </c>
      <c r="F1735" s="0" t="n">
        <f aca="false">D1735*E1735</f>
        <v>36</v>
      </c>
      <c r="G1735" s="0" t="n">
        <f aca="false">ROUNDUP(F1735/75,0)</f>
        <v>1</v>
      </c>
    </row>
    <row r="1736" customFormat="false" ht="15" hidden="false" customHeight="false" outlineLevel="0" collapsed="false">
      <c r="A1736" s="0" t="s">
        <v>462</v>
      </c>
      <c r="B1736" s="0" t="s">
        <v>628</v>
      </c>
      <c r="C1736" s="0" t="s">
        <v>755</v>
      </c>
      <c r="D1736" s="0" t="n">
        <v>6</v>
      </c>
      <c r="E1736" s="0" t="n">
        <v>2</v>
      </c>
      <c r="F1736" s="0" t="n">
        <f aca="false">D1736*E1736</f>
        <v>12</v>
      </c>
      <c r="G1736" s="0" t="n">
        <f aca="false">ROUNDUP(F1736/75,0)</f>
        <v>1</v>
      </c>
    </row>
    <row r="1737" customFormat="false" ht="15" hidden="false" customHeight="false" outlineLevel="0" collapsed="false">
      <c r="A1737" s="0" t="s">
        <v>462</v>
      </c>
      <c r="B1737" s="0" t="s">
        <v>629</v>
      </c>
      <c r="C1737" s="0" t="s">
        <v>757</v>
      </c>
      <c r="D1737" s="0" t="n">
        <v>6</v>
      </c>
      <c r="E1737" s="0" t="n">
        <v>2</v>
      </c>
      <c r="F1737" s="0" t="n">
        <f aca="false">D1737*E1737</f>
        <v>12</v>
      </c>
      <c r="G1737" s="0" t="n">
        <f aca="false">ROUNDUP(F1737/75,0)</f>
        <v>1</v>
      </c>
    </row>
    <row r="1738" customFormat="false" ht="15" hidden="false" customHeight="false" outlineLevel="0" collapsed="false">
      <c r="A1738" s="0" t="s">
        <v>462</v>
      </c>
      <c r="B1738" s="0" t="s">
        <v>629</v>
      </c>
      <c r="C1738" s="0" t="s">
        <v>755</v>
      </c>
      <c r="D1738" s="0" t="n">
        <v>6</v>
      </c>
      <c r="E1738" s="0" t="n">
        <v>2</v>
      </c>
      <c r="F1738" s="0" t="n">
        <f aca="false">D1738*E1738</f>
        <v>12</v>
      </c>
      <c r="G1738" s="0" t="n">
        <f aca="false">ROUNDUP(F1738/75,0)</f>
        <v>1</v>
      </c>
    </row>
    <row r="1739" customFormat="false" ht="15" hidden="false" customHeight="false" outlineLevel="0" collapsed="false">
      <c r="A1739" s="0" t="s">
        <v>462</v>
      </c>
      <c r="B1739" s="0" t="s">
        <v>630</v>
      </c>
      <c r="C1739" s="0" t="s">
        <v>756</v>
      </c>
      <c r="D1739" s="0" t="n">
        <v>12</v>
      </c>
      <c r="E1739" s="0" t="n">
        <v>1</v>
      </c>
      <c r="F1739" s="0" t="n">
        <f aca="false">D1739*E1739</f>
        <v>12</v>
      </c>
      <c r="G1739" s="0" t="n">
        <f aca="false">ROUNDUP(F1739/75,0)</f>
        <v>1</v>
      </c>
    </row>
    <row r="1740" customFormat="false" ht="15" hidden="false" customHeight="false" outlineLevel="0" collapsed="false">
      <c r="A1740" s="0" t="s">
        <v>462</v>
      </c>
      <c r="B1740" s="0" t="s">
        <v>630</v>
      </c>
      <c r="C1740" s="0" t="s">
        <v>757</v>
      </c>
      <c r="D1740" s="0" t="n">
        <v>6</v>
      </c>
      <c r="E1740" s="0" t="n">
        <v>2</v>
      </c>
      <c r="F1740" s="0" t="n">
        <f aca="false">D1740*E1740</f>
        <v>12</v>
      </c>
      <c r="G1740" s="0" t="n">
        <f aca="false">ROUNDUP(F1740/75,0)</f>
        <v>1</v>
      </c>
    </row>
    <row r="1741" customFormat="false" ht="15" hidden="false" customHeight="false" outlineLevel="0" collapsed="false">
      <c r="A1741" s="0" t="s">
        <v>462</v>
      </c>
      <c r="B1741" s="0" t="s">
        <v>630</v>
      </c>
      <c r="C1741" s="0" t="s">
        <v>755</v>
      </c>
      <c r="D1741" s="0" t="n">
        <v>6</v>
      </c>
      <c r="E1741" s="0" t="n">
        <v>2</v>
      </c>
      <c r="F1741" s="0" t="n">
        <f aca="false">D1741*E1741</f>
        <v>12</v>
      </c>
      <c r="G1741" s="0" t="n">
        <f aca="false">ROUNDUP(F1741/75,0)</f>
        <v>1</v>
      </c>
    </row>
    <row r="1742" customFormat="false" ht="15" hidden="false" customHeight="false" outlineLevel="0" collapsed="false">
      <c r="A1742" s="0" t="s">
        <v>462</v>
      </c>
      <c r="B1742" s="0" t="s">
        <v>631</v>
      </c>
      <c r="C1742" s="0" t="s">
        <v>755</v>
      </c>
      <c r="D1742" s="0" t="n">
        <v>6</v>
      </c>
      <c r="E1742" s="0" t="n">
        <v>3</v>
      </c>
      <c r="F1742" s="0" t="n">
        <f aca="false">D1742*E1742</f>
        <v>18</v>
      </c>
      <c r="G1742" s="0" t="n">
        <f aca="false">ROUNDUP(F1742/75,0)</f>
        <v>1</v>
      </c>
    </row>
    <row r="1743" customFormat="false" ht="15" hidden="false" customHeight="false" outlineLevel="0" collapsed="false">
      <c r="A1743" s="0" t="s">
        <v>462</v>
      </c>
      <c r="B1743" s="0" t="s">
        <v>632</v>
      </c>
      <c r="C1743" s="0" t="s">
        <v>756</v>
      </c>
      <c r="D1743" s="0" t="n">
        <v>12</v>
      </c>
      <c r="E1743" s="0" t="n">
        <v>2</v>
      </c>
      <c r="F1743" s="0" t="n">
        <f aca="false">D1743*E1743</f>
        <v>24</v>
      </c>
      <c r="G1743" s="0" t="n">
        <f aca="false">ROUNDUP(F1743/75,0)</f>
        <v>1</v>
      </c>
    </row>
    <row r="1744" customFormat="false" ht="15" hidden="false" customHeight="false" outlineLevel="0" collapsed="false">
      <c r="A1744" s="0" t="s">
        <v>462</v>
      </c>
      <c r="B1744" s="0" t="s">
        <v>632</v>
      </c>
      <c r="C1744" s="0" t="s">
        <v>753</v>
      </c>
      <c r="D1744" s="0" t="n">
        <v>6</v>
      </c>
      <c r="E1744" s="0" t="n">
        <v>2</v>
      </c>
      <c r="F1744" s="0" t="n">
        <f aca="false">D1744*E1744</f>
        <v>12</v>
      </c>
      <c r="G1744" s="0" t="n">
        <f aca="false">ROUNDUP(F1744/75,0)</f>
        <v>1</v>
      </c>
    </row>
    <row r="1745" customFormat="false" ht="15" hidden="false" customHeight="false" outlineLevel="0" collapsed="false">
      <c r="A1745" s="0" t="s">
        <v>462</v>
      </c>
      <c r="B1745" s="0" t="s">
        <v>632</v>
      </c>
      <c r="C1745" s="0" t="s">
        <v>755</v>
      </c>
      <c r="D1745" s="0" t="n">
        <v>6</v>
      </c>
      <c r="E1745" s="0" t="n">
        <v>1</v>
      </c>
      <c r="F1745" s="0" t="n">
        <f aca="false">D1745*E1745</f>
        <v>6</v>
      </c>
      <c r="G1745" s="0" t="n">
        <f aca="false">ROUNDUP(F1745/75,0)</f>
        <v>1</v>
      </c>
    </row>
    <row r="1746" customFormat="false" ht="15" hidden="false" customHeight="false" outlineLevel="0" collapsed="false">
      <c r="A1746" s="0" t="s">
        <v>462</v>
      </c>
      <c r="B1746" s="0" t="s">
        <v>633</v>
      </c>
      <c r="C1746" s="0" t="s">
        <v>756</v>
      </c>
      <c r="D1746" s="0" t="n">
        <v>12</v>
      </c>
      <c r="E1746" s="0" t="n">
        <v>1</v>
      </c>
      <c r="F1746" s="0" t="n">
        <f aca="false">D1746*E1746</f>
        <v>12</v>
      </c>
      <c r="G1746" s="0" t="n">
        <f aca="false">ROUNDUP(F1746/75,0)</f>
        <v>1</v>
      </c>
    </row>
    <row r="1747" customFormat="false" ht="15" hidden="false" customHeight="false" outlineLevel="0" collapsed="false">
      <c r="A1747" s="0" t="s">
        <v>462</v>
      </c>
      <c r="B1747" s="0" t="s">
        <v>633</v>
      </c>
      <c r="C1747" s="0" t="s">
        <v>753</v>
      </c>
      <c r="D1747" s="0" t="n">
        <v>6</v>
      </c>
      <c r="E1747" s="0" t="n">
        <v>4</v>
      </c>
      <c r="F1747" s="0" t="n">
        <f aca="false">D1747*E1747</f>
        <v>24</v>
      </c>
      <c r="G1747" s="0" t="n">
        <f aca="false">ROUNDUP(F1747/75,0)</f>
        <v>1</v>
      </c>
    </row>
    <row r="1748" customFormat="false" ht="15" hidden="false" customHeight="false" outlineLevel="0" collapsed="false">
      <c r="A1748" s="0" t="s">
        <v>462</v>
      </c>
      <c r="B1748" s="0" t="s">
        <v>633</v>
      </c>
      <c r="C1748" s="0" t="s">
        <v>755</v>
      </c>
      <c r="D1748" s="0" t="n">
        <v>6</v>
      </c>
      <c r="E1748" s="0" t="n">
        <v>4</v>
      </c>
      <c r="F1748" s="0" t="n">
        <f aca="false">D1748*E1748</f>
        <v>24</v>
      </c>
      <c r="G1748" s="0" t="n">
        <f aca="false">ROUNDUP(F1748/75,0)</f>
        <v>1</v>
      </c>
    </row>
    <row r="1749" customFormat="false" ht="15" hidden="false" customHeight="false" outlineLevel="0" collapsed="false">
      <c r="A1749" s="0" t="s">
        <v>462</v>
      </c>
      <c r="B1749" s="0" t="s">
        <v>634</v>
      </c>
      <c r="C1749" s="0" t="s">
        <v>757</v>
      </c>
      <c r="D1749" s="0" t="n">
        <v>6</v>
      </c>
      <c r="E1749" s="0" t="n">
        <v>2</v>
      </c>
      <c r="F1749" s="0" t="n">
        <f aca="false">D1749*E1749</f>
        <v>12</v>
      </c>
      <c r="G1749" s="0" t="n">
        <f aca="false">ROUNDUP(F1749/75,0)</f>
        <v>1</v>
      </c>
    </row>
    <row r="1750" customFormat="false" ht="15" hidden="false" customHeight="false" outlineLevel="0" collapsed="false">
      <c r="A1750" s="0" t="s">
        <v>462</v>
      </c>
      <c r="B1750" s="0" t="s">
        <v>634</v>
      </c>
      <c r="C1750" s="0" t="s">
        <v>753</v>
      </c>
      <c r="D1750" s="0" t="n">
        <v>6</v>
      </c>
      <c r="E1750" s="0" t="n">
        <v>5</v>
      </c>
      <c r="F1750" s="0" t="n">
        <f aca="false">D1750*E1750</f>
        <v>30</v>
      </c>
      <c r="G1750" s="0" t="n">
        <f aca="false">ROUNDUP(F1750/75,0)</f>
        <v>1</v>
      </c>
    </row>
    <row r="1751" customFormat="false" ht="15" hidden="false" customHeight="false" outlineLevel="0" collapsed="false">
      <c r="A1751" s="0" t="s">
        <v>462</v>
      </c>
      <c r="B1751" s="0" t="s">
        <v>634</v>
      </c>
      <c r="C1751" s="0" t="s">
        <v>755</v>
      </c>
      <c r="D1751" s="0" t="n">
        <v>6</v>
      </c>
      <c r="E1751" s="0" t="n">
        <v>1</v>
      </c>
      <c r="F1751" s="0" t="n">
        <f aca="false">D1751*E1751</f>
        <v>6</v>
      </c>
      <c r="G1751" s="0" t="n">
        <f aca="false">ROUNDUP(F1751/75,0)</f>
        <v>1</v>
      </c>
    </row>
    <row r="1752" customFormat="false" ht="15" hidden="false" customHeight="false" outlineLevel="0" collapsed="false">
      <c r="A1752" s="0" t="s">
        <v>462</v>
      </c>
      <c r="B1752" s="0" t="s">
        <v>635</v>
      </c>
      <c r="C1752" s="0" t="s">
        <v>756</v>
      </c>
      <c r="D1752" s="0" t="n">
        <v>12</v>
      </c>
      <c r="E1752" s="0" t="n">
        <v>2</v>
      </c>
      <c r="F1752" s="0" t="n">
        <f aca="false">D1752*E1752</f>
        <v>24</v>
      </c>
      <c r="G1752" s="0" t="n">
        <f aca="false">ROUNDUP(F1752/75,0)</f>
        <v>1</v>
      </c>
    </row>
    <row r="1753" customFormat="false" ht="15" hidden="false" customHeight="false" outlineLevel="0" collapsed="false">
      <c r="A1753" s="0" t="s">
        <v>462</v>
      </c>
      <c r="B1753" s="0" t="s">
        <v>636</v>
      </c>
      <c r="C1753" s="0" t="s">
        <v>756</v>
      </c>
      <c r="D1753" s="0" t="n">
        <v>12</v>
      </c>
      <c r="E1753" s="0" t="n">
        <v>1</v>
      </c>
      <c r="F1753" s="0" t="n">
        <f aca="false">D1753*E1753</f>
        <v>12</v>
      </c>
      <c r="G1753" s="0" t="n">
        <f aca="false">ROUNDUP(F1753/75,0)</f>
        <v>1</v>
      </c>
    </row>
    <row r="1754" customFormat="false" ht="15" hidden="false" customHeight="false" outlineLevel="0" collapsed="false">
      <c r="A1754" s="0" t="s">
        <v>462</v>
      </c>
      <c r="B1754" s="0" t="s">
        <v>636</v>
      </c>
      <c r="C1754" s="0" t="s">
        <v>757</v>
      </c>
      <c r="D1754" s="0" t="n">
        <v>6</v>
      </c>
      <c r="E1754" s="0" t="n">
        <v>2</v>
      </c>
      <c r="F1754" s="0" t="n">
        <f aca="false">D1754*E1754</f>
        <v>12</v>
      </c>
      <c r="G1754" s="0" t="n">
        <f aca="false">ROUNDUP(F1754/75,0)</f>
        <v>1</v>
      </c>
    </row>
    <row r="1755" customFormat="false" ht="15" hidden="false" customHeight="false" outlineLevel="0" collapsed="false">
      <c r="A1755" s="0" t="s">
        <v>462</v>
      </c>
      <c r="B1755" s="0" t="s">
        <v>636</v>
      </c>
      <c r="C1755" s="0" t="s">
        <v>753</v>
      </c>
      <c r="D1755" s="0" t="n">
        <v>6</v>
      </c>
      <c r="E1755" s="0" t="n">
        <v>2</v>
      </c>
      <c r="F1755" s="0" t="n">
        <f aca="false">D1755*E1755</f>
        <v>12</v>
      </c>
      <c r="G1755" s="0" t="n">
        <f aca="false">ROUNDUP(F1755/75,0)</f>
        <v>1</v>
      </c>
    </row>
    <row r="1756" customFormat="false" ht="15" hidden="false" customHeight="false" outlineLevel="0" collapsed="false">
      <c r="A1756" s="0" t="s">
        <v>462</v>
      </c>
      <c r="B1756" s="0" t="s">
        <v>637</v>
      </c>
      <c r="C1756" s="0" t="s">
        <v>756</v>
      </c>
      <c r="D1756" s="0" t="n">
        <v>12</v>
      </c>
      <c r="E1756" s="0" t="n">
        <v>2</v>
      </c>
      <c r="F1756" s="0" t="n">
        <f aca="false">D1756*E1756</f>
        <v>24</v>
      </c>
      <c r="G1756" s="0" t="n">
        <f aca="false">ROUNDUP(F1756/75,0)</f>
        <v>1</v>
      </c>
    </row>
    <row r="1757" customFormat="false" ht="15" hidden="false" customHeight="false" outlineLevel="0" collapsed="false">
      <c r="A1757" s="0" t="s">
        <v>462</v>
      </c>
      <c r="B1757" s="0" t="s">
        <v>637</v>
      </c>
      <c r="C1757" s="0" t="s">
        <v>757</v>
      </c>
      <c r="D1757" s="0" t="n">
        <v>6</v>
      </c>
      <c r="E1757" s="0" t="n">
        <v>1</v>
      </c>
      <c r="F1757" s="0" t="n">
        <f aca="false">D1757*E1757</f>
        <v>6</v>
      </c>
      <c r="G1757" s="0" t="n">
        <f aca="false">ROUNDUP(F1757/75,0)</f>
        <v>1</v>
      </c>
    </row>
    <row r="1758" customFormat="false" ht="15" hidden="false" customHeight="false" outlineLevel="0" collapsed="false">
      <c r="A1758" s="0" t="s">
        <v>462</v>
      </c>
      <c r="B1758" s="0" t="s">
        <v>638</v>
      </c>
      <c r="C1758" s="0" t="s">
        <v>757</v>
      </c>
      <c r="D1758" s="0" t="n">
        <v>6</v>
      </c>
      <c r="E1758" s="0" t="n">
        <v>1</v>
      </c>
      <c r="F1758" s="0" t="n">
        <f aca="false">D1758*E1758</f>
        <v>6</v>
      </c>
      <c r="G1758" s="0" t="n">
        <f aca="false">ROUNDUP(F1758/75,0)</f>
        <v>1</v>
      </c>
    </row>
    <row r="1759" customFormat="false" ht="15" hidden="false" customHeight="false" outlineLevel="0" collapsed="false">
      <c r="A1759" s="0" t="s">
        <v>462</v>
      </c>
      <c r="B1759" s="0" t="s">
        <v>638</v>
      </c>
      <c r="C1759" s="0" t="s">
        <v>753</v>
      </c>
      <c r="D1759" s="0" t="n">
        <v>6</v>
      </c>
      <c r="E1759" s="0" t="n">
        <v>2</v>
      </c>
      <c r="F1759" s="0" t="n">
        <f aca="false">D1759*E1759</f>
        <v>12</v>
      </c>
      <c r="G1759" s="0" t="n">
        <f aca="false">ROUNDUP(F1759/75,0)</f>
        <v>1</v>
      </c>
    </row>
    <row r="1760" customFormat="false" ht="15" hidden="false" customHeight="false" outlineLevel="0" collapsed="false">
      <c r="A1760" s="0" t="s">
        <v>462</v>
      </c>
      <c r="B1760" s="0" t="s">
        <v>638</v>
      </c>
      <c r="C1760" s="0" t="s">
        <v>755</v>
      </c>
      <c r="D1760" s="0" t="n">
        <v>6</v>
      </c>
      <c r="E1760" s="0" t="n">
        <v>5</v>
      </c>
      <c r="F1760" s="0" t="n">
        <f aca="false">D1760*E1760</f>
        <v>30</v>
      </c>
      <c r="G1760" s="0" t="n">
        <f aca="false">ROUNDUP(F1760/75,0)</f>
        <v>1</v>
      </c>
    </row>
    <row r="1761" customFormat="false" ht="15" hidden="false" customHeight="false" outlineLevel="0" collapsed="false">
      <c r="A1761" s="0" t="s">
        <v>462</v>
      </c>
      <c r="B1761" s="0" t="s">
        <v>639</v>
      </c>
      <c r="C1761" s="0" t="s">
        <v>757</v>
      </c>
      <c r="D1761" s="0" t="n">
        <v>6</v>
      </c>
      <c r="E1761" s="0" t="n">
        <v>3</v>
      </c>
      <c r="F1761" s="0" t="n">
        <f aca="false">D1761*E1761</f>
        <v>18</v>
      </c>
      <c r="G1761" s="0" t="n">
        <f aca="false">ROUNDUP(F1761/75,0)</f>
        <v>1</v>
      </c>
    </row>
    <row r="1762" customFormat="false" ht="15" hidden="false" customHeight="false" outlineLevel="0" collapsed="false">
      <c r="A1762" s="0" t="s">
        <v>462</v>
      </c>
      <c r="B1762" s="0" t="s">
        <v>639</v>
      </c>
      <c r="C1762" s="0" t="s">
        <v>753</v>
      </c>
      <c r="D1762" s="0" t="n">
        <v>6</v>
      </c>
      <c r="E1762" s="0" t="n">
        <v>5</v>
      </c>
      <c r="F1762" s="0" t="n">
        <f aca="false">D1762*E1762</f>
        <v>30</v>
      </c>
      <c r="G1762" s="0" t="n">
        <f aca="false">ROUNDUP(F1762/75,0)</f>
        <v>1</v>
      </c>
    </row>
    <row r="1763" customFormat="false" ht="15" hidden="false" customHeight="false" outlineLevel="0" collapsed="false">
      <c r="A1763" s="0" t="s">
        <v>462</v>
      </c>
      <c r="B1763" s="0" t="s">
        <v>639</v>
      </c>
      <c r="C1763" s="0" t="s">
        <v>755</v>
      </c>
      <c r="D1763" s="0" t="n">
        <v>6</v>
      </c>
      <c r="E1763" s="0" t="n">
        <v>1</v>
      </c>
      <c r="F1763" s="0" t="n">
        <f aca="false">D1763*E1763</f>
        <v>6</v>
      </c>
      <c r="G1763" s="0" t="n">
        <f aca="false">ROUNDUP(F1763/75,0)</f>
        <v>1</v>
      </c>
    </row>
    <row r="1764" customFormat="false" ht="15" hidden="false" customHeight="false" outlineLevel="0" collapsed="false">
      <c r="A1764" s="0" t="s">
        <v>462</v>
      </c>
      <c r="B1764" s="0" t="s">
        <v>640</v>
      </c>
      <c r="C1764" s="0" t="s">
        <v>757</v>
      </c>
      <c r="D1764" s="0" t="n">
        <v>6</v>
      </c>
      <c r="E1764" s="0" t="n">
        <v>1</v>
      </c>
      <c r="F1764" s="0" t="n">
        <f aca="false">D1764*E1764</f>
        <v>6</v>
      </c>
      <c r="G1764" s="0" t="n">
        <f aca="false">ROUNDUP(F1764/75,0)</f>
        <v>1</v>
      </c>
    </row>
    <row r="1765" customFormat="false" ht="15" hidden="false" customHeight="false" outlineLevel="0" collapsed="false">
      <c r="A1765" s="0" t="s">
        <v>462</v>
      </c>
      <c r="B1765" s="0" t="s">
        <v>640</v>
      </c>
      <c r="C1765" s="0" t="s">
        <v>753</v>
      </c>
      <c r="D1765" s="0" t="n">
        <v>6</v>
      </c>
      <c r="E1765" s="0" t="n">
        <v>4</v>
      </c>
      <c r="F1765" s="0" t="n">
        <f aca="false">D1765*E1765</f>
        <v>24</v>
      </c>
      <c r="G1765" s="0" t="n">
        <f aca="false">ROUNDUP(F1765/75,0)</f>
        <v>1</v>
      </c>
    </row>
    <row r="1766" customFormat="false" ht="15" hidden="false" customHeight="false" outlineLevel="0" collapsed="false">
      <c r="A1766" s="0" t="s">
        <v>462</v>
      </c>
      <c r="B1766" s="0" t="s">
        <v>640</v>
      </c>
      <c r="C1766" s="0" t="s">
        <v>755</v>
      </c>
      <c r="D1766" s="0" t="n">
        <v>6</v>
      </c>
      <c r="E1766" s="0" t="n">
        <v>2</v>
      </c>
      <c r="F1766" s="0" t="n">
        <f aca="false">D1766*E1766</f>
        <v>12</v>
      </c>
      <c r="G1766" s="0" t="n">
        <f aca="false">ROUNDUP(F1766/75,0)</f>
        <v>1</v>
      </c>
    </row>
    <row r="1767" customFormat="false" ht="15" hidden="false" customHeight="false" outlineLevel="0" collapsed="false">
      <c r="A1767" s="0" t="s">
        <v>462</v>
      </c>
      <c r="B1767" s="0" t="s">
        <v>641</v>
      </c>
      <c r="C1767" s="0" t="s">
        <v>757</v>
      </c>
      <c r="D1767" s="0" t="n">
        <v>6</v>
      </c>
      <c r="E1767" s="0" t="n">
        <v>3</v>
      </c>
      <c r="F1767" s="0" t="n">
        <f aca="false">D1767*E1767</f>
        <v>18</v>
      </c>
      <c r="G1767" s="0" t="n">
        <f aca="false">ROUNDUP(F1767/75,0)</f>
        <v>1</v>
      </c>
    </row>
    <row r="1768" customFormat="false" ht="15" hidden="false" customHeight="false" outlineLevel="0" collapsed="false">
      <c r="A1768" s="0" t="s">
        <v>462</v>
      </c>
      <c r="B1768" s="0" t="s">
        <v>641</v>
      </c>
      <c r="C1768" s="0" t="s">
        <v>755</v>
      </c>
      <c r="D1768" s="0" t="n">
        <v>6</v>
      </c>
      <c r="E1768" s="0" t="n">
        <v>2</v>
      </c>
      <c r="F1768" s="0" t="n">
        <f aca="false">D1768*E1768</f>
        <v>12</v>
      </c>
      <c r="G1768" s="0" t="n">
        <f aca="false">ROUNDUP(F1768/75,0)</f>
        <v>1</v>
      </c>
    </row>
    <row r="1769" customFormat="false" ht="15" hidden="false" customHeight="false" outlineLevel="0" collapsed="false">
      <c r="A1769" s="0" t="s">
        <v>462</v>
      </c>
      <c r="B1769" s="0" t="s">
        <v>642</v>
      </c>
      <c r="C1769" s="0" t="s">
        <v>757</v>
      </c>
      <c r="D1769" s="0" t="n">
        <v>6</v>
      </c>
      <c r="E1769" s="0" t="n">
        <v>1</v>
      </c>
      <c r="F1769" s="0" t="n">
        <f aca="false">D1769*E1769</f>
        <v>6</v>
      </c>
      <c r="G1769" s="0" t="n">
        <f aca="false">ROUNDUP(F1769/75,0)</f>
        <v>1</v>
      </c>
    </row>
    <row r="1770" customFormat="false" ht="15" hidden="false" customHeight="false" outlineLevel="0" collapsed="false">
      <c r="A1770" s="0" t="s">
        <v>462</v>
      </c>
      <c r="B1770" s="0" t="s">
        <v>642</v>
      </c>
      <c r="C1770" s="0" t="s">
        <v>753</v>
      </c>
      <c r="D1770" s="0" t="n">
        <v>6</v>
      </c>
      <c r="E1770" s="0" t="n">
        <v>2</v>
      </c>
      <c r="F1770" s="0" t="n">
        <f aca="false">D1770*E1770</f>
        <v>12</v>
      </c>
      <c r="G1770" s="0" t="n">
        <f aca="false">ROUNDUP(F1770/75,0)</f>
        <v>1</v>
      </c>
    </row>
    <row r="1771" customFormat="false" ht="15" hidden="false" customHeight="false" outlineLevel="0" collapsed="false">
      <c r="A1771" s="0" t="s">
        <v>462</v>
      </c>
      <c r="B1771" s="0" t="s">
        <v>642</v>
      </c>
      <c r="C1771" s="0" t="s">
        <v>755</v>
      </c>
      <c r="D1771" s="0" t="n">
        <v>6</v>
      </c>
      <c r="E1771" s="0" t="n">
        <v>2</v>
      </c>
      <c r="F1771" s="0" t="n">
        <f aca="false">D1771*E1771</f>
        <v>12</v>
      </c>
      <c r="G1771" s="0" t="n">
        <f aca="false">ROUNDUP(F1771/75,0)</f>
        <v>1</v>
      </c>
    </row>
    <row r="1772" customFormat="false" ht="15" hidden="false" customHeight="false" outlineLevel="0" collapsed="false">
      <c r="A1772" s="0" t="s">
        <v>462</v>
      </c>
      <c r="B1772" s="0" t="s">
        <v>643</v>
      </c>
      <c r="C1772" s="0" t="s">
        <v>756</v>
      </c>
      <c r="D1772" s="0" t="n">
        <v>12</v>
      </c>
      <c r="E1772" s="0" t="n">
        <v>2</v>
      </c>
      <c r="F1772" s="0" t="n">
        <f aca="false">D1772*E1772</f>
        <v>24</v>
      </c>
      <c r="G1772" s="0" t="n">
        <f aca="false">ROUNDUP(F1772/75,0)</f>
        <v>1</v>
      </c>
    </row>
    <row r="1773" customFormat="false" ht="15" hidden="false" customHeight="false" outlineLevel="0" collapsed="false">
      <c r="A1773" s="0" t="s">
        <v>462</v>
      </c>
      <c r="B1773" s="0" t="s">
        <v>643</v>
      </c>
      <c r="C1773" s="0" t="s">
        <v>757</v>
      </c>
      <c r="D1773" s="0" t="n">
        <v>6</v>
      </c>
      <c r="E1773" s="0" t="n">
        <v>1</v>
      </c>
      <c r="F1773" s="0" t="n">
        <f aca="false">D1773*E1773</f>
        <v>6</v>
      </c>
      <c r="G1773" s="0" t="n">
        <f aca="false">ROUNDUP(F1773/75,0)</f>
        <v>1</v>
      </c>
    </row>
    <row r="1774" customFormat="false" ht="15" hidden="false" customHeight="false" outlineLevel="0" collapsed="false">
      <c r="A1774" s="0" t="s">
        <v>462</v>
      </c>
      <c r="B1774" s="0" t="s">
        <v>643</v>
      </c>
      <c r="C1774" s="0" t="s">
        <v>753</v>
      </c>
      <c r="D1774" s="0" t="n">
        <v>6</v>
      </c>
      <c r="E1774" s="0" t="n">
        <v>11</v>
      </c>
      <c r="F1774" s="0" t="n">
        <f aca="false">D1774*E1774</f>
        <v>66</v>
      </c>
      <c r="G1774" s="0" t="n">
        <f aca="false">ROUNDUP(F1774/75,0)</f>
        <v>1</v>
      </c>
    </row>
    <row r="1775" customFormat="false" ht="15" hidden="false" customHeight="false" outlineLevel="0" collapsed="false">
      <c r="A1775" s="0" t="s">
        <v>462</v>
      </c>
      <c r="B1775" s="0" t="s">
        <v>643</v>
      </c>
      <c r="C1775" s="0" t="s">
        <v>755</v>
      </c>
      <c r="D1775" s="0" t="n">
        <v>6</v>
      </c>
      <c r="E1775" s="0" t="n">
        <v>1</v>
      </c>
      <c r="F1775" s="0" t="n">
        <f aca="false">D1775*E1775</f>
        <v>6</v>
      </c>
      <c r="G1775" s="0" t="n">
        <f aca="false">ROUNDUP(F1775/75,0)</f>
        <v>1</v>
      </c>
    </row>
    <row r="1776" customFormat="false" ht="15" hidden="false" customHeight="false" outlineLevel="0" collapsed="false">
      <c r="A1776" s="0" t="s">
        <v>462</v>
      </c>
      <c r="B1776" s="0" t="s">
        <v>644</v>
      </c>
      <c r="C1776" s="0" t="s">
        <v>753</v>
      </c>
      <c r="D1776" s="0" t="n">
        <v>6</v>
      </c>
      <c r="E1776" s="0" t="n">
        <v>1</v>
      </c>
      <c r="F1776" s="0" t="n">
        <f aca="false">D1776*E1776</f>
        <v>6</v>
      </c>
      <c r="G1776" s="0" t="n">
        <f aca="false">ROUNDUP(F1776/75,0)</f>
        <v>1</v>
      </c>
    </row>
    <row r="1777" customFormat="false" ht="15" hidden="false" customHeight="false" outlineLevel="0" collapsed="false">
      <c r="A1777" s="0" t="s">
        <v>462</v>
      </c>
      <c r="B1777" s="0" t="s">
        <v>644</v>
      </c>
      <c r="C1777" s="0" t="s">
        <v>755</v>
      </c>
      <c r="D1777" s="0" t="n">
        <v>6</v>
      </c>
      <c r="E1777" s="0" t="n">
        <v>5</v>
      </c>
      <c r="F1777" s="0" t="n">
        <f aca="false">D1777*E1777</f>
        <v>30</v>
      </c>
      <c r="G1777" s="0" t="n">
        <f aca="false">ROUNDUP(F1777/75,0)</f>
        <v>1</v>
      </c>
    </row>
    <row r="1778" customFormat="false" ht="15" hidden="false" customHeight="false" outlineLevel="0" collapsed="false">
      <c r="A1778" s="0" t="s">
        <v>462</v>
      </c>
      <c r="B1778" s="0" t="s">
        <v>645</v>
      </c>
      <c r="C1778" s="0" t="s">
        <v>756</v>
      </c>
      <c r="D1778" s="0" t="n">
        <v>12</v>
      </c>
      <c r="E1778" s="0" t="n">
        <v>1</v>
      </c>
      <c r="F1778" s="0" t="n">
        <f aca="false">D1778*E1778</f>
        <v>12</v>
      </c>
      <c r="G1778" s="0" t="n">
        <f aca="false">ROUNDUP(F1778/75,0)</f>
        <v>1</v>
      </c>
    </row>
    <row r="1779" customFormat="false" ht="15" hidden="false" customHeight="false" outlineLevel="0" collapsed="false">
      <c r="A1779" s="0" t="s">
        <v>462</v>
      </c>
      <c r="B1779" s="0" t="s">
        <v>645</v>
      </c>
      <c r="C1779" s="0" t="s">
        <v>757</v>
      </c>
      <c r="D1779" s="0" t="n">
        <v>6</v>
      </c>
      <c r="E1779" s="0" t="n">
        <v>3</v>
      </c>
      <c r="F1779" s="0" t="n">
        <f aca="false">D1779*E1779</f>
        <v>18</v>
      </c>
      <c r="G1779" s="0" t="n">
        <f aca="false">ROUNDUP(F1779/75,0)</f>
        <v>1</v>
      </c>
    </row>
    <row r="1780" customFormat="false" ht="15" hidden="false" customHeight="false" outlineLevel="0" collapsed="false">
      <c r="A1780" s="0" t="s">
        <v>462</v>
      </c>
      <c r="B1780" s="0" t="s">
        <v>645</v>
      </c>
      <c r="C1780" s="0" t="s">
        <v>753</v>
      </c>
      <c r="D1780" s="0" t="n">
        <v>6</v>
      </c>
      <c r="E1780" s="0" t="n">
        <v>7</v>
      </c>
      <c r="F1780" s="0" t="n">
        <f aca="false">D1780*E1780</f>
        <v>42</v>
      </c>
      <c r="G1780" s="0" t="n">
        <f aca="false">ROUNDUP(F1780/75,0)</f>
        <v>1</v>
      </c>
    </row>
    <row r="1781" customFormat="false" ht="15" hidden="false" customHeight="false" outlineLevel="0" collapsed="false">
      <c r="A1781" s="0" t="s">
        <v>462</v>
      </c>
      <c r="B1781" s="0" t="s">
        <v>645</v>
      </c>
      <c r="C1781" s="0" t="s">
        <v>755</v>
      </c>
      <c r="D1781" s="0" t="n">
        <v>6</v>
      </c>
      <c r="E1781" s="0" t="n">
        <v>6</v>
      </c>
      <c r="F1781" s="0" t="n">
        <f aca="false">D1781*E1781</f>
        <v>36</v>
      </c>
      <c r="G1781" s="0" t="n">
        <f aca="false">ROUNDUP(F1781/75,0)</f>
        <v>1</v>
      </c>
    </row>
    <row r="1782" customFormat="false" ht="15" hidden="false" customHeight="false" outlineLevel="0" collapsed="false">
      <c r="A1782" s="0" t="s">
        <v>462</v>
      </c>
      <c r="B1782" s="0" t="s">
        <v>646</v>
      </c>
      <c r="C1782" s="0" t="s">
        <v>756</v>
      </c>
      <c r="D1782" s="0" t="n">
        <v>12</v>
      </c>
      <c r="E1782" s="0" t="n">
        <v>2</v>
      </c>
      <c r="F1782" s="0" t="n">
        <f aca="false">D1782*E1782</f>
        <v>24</v>
      </c>
      <c r="G1782" s="0" t="n">
        <f aca="false">ROUNDUP(F1782/75,0)</f>
        <v>1</v>
      </c>
    </row>
    <row r="1783" customFormat="false" ht="15" hidden="false" customHeight="false" outlineLevel="0" collapsed="false">
      <c r="A1783" s="0" t="s">
        <v>462</v>
      </c>
      <c r="B1783" s="0" t="s">
        <v>646</v>
      </c>
      <c r="C1783" s="0" t="s">
        <v>757</v>
      </c>
      <c r="D1783" s="0" t="n">
        <v>6</v>
      </c>
      <c r="E1783" s="0" t="n">
        <v>3</v>
      </c>
      <c r="F1783" s="0" t="n">
        <f aca="false">D1783*E1783</f>
        <v>18</v>
      </c>
      <c r="G1783" s="0" t="n">
        <f aca="false">ROUNDUP(F1783/75,0)</f>
        <v>1</v>
      </c>
    </row>
    <row r="1784" customFormat="false" ht="15" hidden="false" customHeight="false" outlineLevel="0" collapsed="false">
      <c r="A1784" s="0" t="s">
        <v>462</v>
      </c>
      <c r="B1784" s="0" t="s">
        <v>646</v>
      </c>
      <c r="C1784" s="0" t="s">
        <v>753</v>
      </c>
      <c r="D1784" s="0" t="n">
        <v>6</v>
      </c>
      <c r="E1784" s="0" t="n">
        <v>4</v>
      </c>
      <c r="F1784" s="0" t="n">
        <f aca="false">D1784*E1784</f>
        <v>24</v>
      </c>
      <c r="G1784" s="0" t="n">
        <f aca="false">ROUNDUP(F1784/75,0)</f>
        <v>1</v>
      </c>
    </row>
    <row r="1785" customFormat="false" ht="15" hidden="false" customHeight="false" outlineLevel="0" collapsed="false">
      <c r="A1785" s="0" t="s">
        <v>462</v>
      </c>
      <c r="B1785" s="0" t="s">
        <v>646</v>
      </c>
      <c r="C1785" s="0" t="s">
        <v>755</v>
      </c>
      <c r="D1785" s="0" t="n">
        <v>6</v>
      </c>
      <c r="E1785" s="0" t="n">
        <v>2</v>
      </c>
      <c r="F1785" s="0" t="n">
        <f aca="false">D1785*E1785</f>
        <v>12</v>
      </c>
      <c r="G1785" s="0" t="n">
        <f aca="false">ROUNDUP(F1785/75,0)</f>
        <v>1</v>
      </c>
    </row>
    <row r="1786" customFormat="false" ht="15" hidden="false" customHeight="false" outlineLevel="0" collapsed="false">
      <c r="A1786" s="0" t="s">
        <v>462</v>
      </c>
      <c r="B1786" s="0" t="s">
        <v>647</v>
      </c>
      <c r="C1786" s="0" t="s">
        <v>753</v>
      </c>
      <c r="D1786" s="0" t="n">
        <v>6</v>
      </c>
      <c r="E1786" s="0" t="n">
        <v>4</v>
      </c>
      <c r="F1786" s="0" t="n">
        <f aca="false">D1786*E1786</f>
        <v>24</v>
      </c>
      <c r="G1786" s="0" t="n">
        <f aca="false">ROUNDUP(F1786/75,0)</f>
        <v>1</v>
      </c>
    </row>
    <row r="1787" customFormat="false" ht="15" hidden="false" customHeight="false" outlineLevel="0" collapsed="false">
      <c r="A1787" s="0" t="s">
        <v>462</v>
      </c>
      <c r="B1787" s="0" t="s">
        <v>647</v>
      </c>
      <c r="C1787" s="0" t="s">
        <v>755</v>
      </c>
      <c r="D1787" s="0" t="n">
        <v>6</v>
      </c>
      <c r="E1787" s="0" t="n">
        <v>1</v>
      </c>
      <c r="F1787" s="0" t="n">
        <f aca="false">D1787*E1787</f>
        <v>6</v>
      </c>
      <c r="G1787" s="0" t="n">
        <f aca="false">ROUNDUP(F1787/75,0)</f>
        <v>1</v>
      </c>
    </row>
    <row r="1788" customFormat="false" ht="15" hidden="false" customHeight="false" outlineLevel="0" collapsed="false">
      <c r="A1788" s="0" t="s">
        <v>462</v>
      </c>
      <c r="B1788" s="0" t="s">
        <v>648</v>
      </c>
      <c r="C1788" s="0" t="s">
        <v>755</v>
      </c>
      <c r="D1788" s="0" t="n">
        <v>6</v>
      </c>
      <c r="E1788" s="0" t="n">
        <v>2</v>
      </c>
      <c r="F1788" s="0" t="n">
        <f aca="false">D1788*E1788</f>
        <v>12</v>
      </c>
      <c r="G1788" s="0" t="n">
        <f aca="false">ROUNDUP(F1788/75,0)</f>
        <v>1</v>
      </c>
    </row>
    <row r="1789" customFormat="false" ht="15" hidden="false" customHeight="false" outlineLevel="0" collapsed="false">
      <c r="A1789" s="0" t="s">
        <v>462</v>
      </c>
      <c r="B1789" s="0" t="s">
        <v>649</v>
      </c>
      <c r="C1789" s="0" t="s">
        <v>756</v>
      </c>
      <c r="D1789" s="0" t="n">
        <v>12</v>
      </c>
      <c r="E1789" s="0" t="n">
        <v>2</v>
      </c>
      <c r="F1789" s="0" t="n">
        <f aca="false">D1789*E1789</f>
        <v>24</v>
      </c>
      <c r="G1789" s="0" t="n">
        <f aca="false">ROUNDUP(F1789/75,0)</f>
        <v>1</v>
      </c>
    </row>
    <row r="1790" customFormat="false" ht="15" hidden="false" customHeight="false" outlineLevel="0" collapsed="false">
      <c r="A1790" s="0" t="s">
        <v>462</v>
      </c>
      <c r="B1790" s="0" t="s">
        <v>649</v>
      </c>
      <c r="C1790" s="0" t="s">
        <v>755</v>
      </c>
      <c r="D1790" s="0" t="n">
        <v>6</v>
      </c>
      <c r="E1790" s="0" t="n">
        <v>2</v>
      </c>
      <c r="F1790" s="0" t="n">
        <f aca="false">D1790*E1790</f>
        <v>12</v>
      </c>
      <c r="G1790" s="0" t="n">
        <f aca="false">ROUNDUP(F1790/75,0)</f>
        <v>1</v>
      </c>
    </row>
    <row r="1791" customFormat="false" ht="15" hidden="false" customHeight="false" outlineLevel="0" collapsed="false">
      <c r="A1791" s="0" t="s">
        <v>462</v>
      </c>
      <c r="B1791" s="0" t="s">
        <v>650</v>
      </c>
      <c r="C1791" s="0" t="s">
        <v>753</v>
      </c>
      <c r="D1791" s="0" t="n">
        <v>6</v>
      </c>
      <c r="E1791" s="0" t="n">
        <v>1</v>
      </c>
      <c r="F1791" s="0" t="n">
        <f aca="false">D1791*E1791</f>
        <v>6</v>
      </c>
      <c r="G1791" s="0" t="n">
        <f aca="false">ROUNDUP(F1791/75,0)</f>
        <v>1</v>
      </c>
    </row>
    <row r="1792" customFormat="false" ht="15" hidden="false" customHeight="false" outlineLevel="0" collapsed="false">
      <c r="A1792" s="0" t="s">
        <v>462</v>
      </c>
      <c r="B1792" s="0" t="s">
        <v>651</v>
      </c>
      <c r="C1792" s="0" t="s">
        <v>756</v>
      </c>
      <c r="D1792" s="0" t="n">
        <v>12</v>
      </c>
      <c r="E1792" s="0" t="n">
        <v>5</v>
      </c>
      <c r="F1792" s="0" t="n">
        <f aca="false">D1792*E1792</f>
        <v>60</v>
      </c>
      <c r="G1792" s="0" t="n">
        <f aca="false">ROUNDUP(F1792/75,0)</f>
        <v>1</v>
      </c>
    </row>
    <row r="1793" customFormat="false" ht="15" hidden="false" customHeight="false" outlineLevel="0" collapsed="false">
      <c r="A1793" s="0" t="s">
        <v>462</v>
      </c>
      <c r="B1793" s="0" t="s">
        <v>651</v>
      </c>
      <c r="C1793" s="0" t="s">
        <v>757</v>
      </c>
      <c r="D1793" s="0" t="n">
        <v>6</v>
      </c>
      <c r="E1793" s="0" t="n">
        <v>2</v>
      </c>
      <c r="F1793" s="0" t="n">
        <f aca="false">D1793*E1793</f>
        <v>12</v>
      </c>
      <c r="G1793" s="0" t="n">
        <f aca="false">ROUNDUP(F1793/75,0)</f>
        <v>1</v>
      </c>
    </row>
    <row r="1794" customFormat="false" ht="15" hidden="false" customHeight="false" outlineLevel="0" collapsed="false">
      <c r="A1794" s="0" t="s">
        <v>462</v>
      </c>
      <c r="B1794" s="0" t="s">
        <v>651</v>
      </c>
      <c r="C1794" s="0" t="s">
        <v>755</v>
      </c>
      <c r="D1794" s="0" t="n">
        <v>6</v>
      </c>
      <c r="E1794" s="0" t="n">
        <v>3</v>
      </c>
      <c r="F1794" s="0" t="n">
        <f aca="false">D1794*E1794</f>
        <v>18</v>
      </c>
      <c r="G1794" s="0" t="n">
        <f aca="false">ROUNDUP(F1794/75,0)</f>
        <v>1</v>
      </c>
    </row>
    <row r="1795" customFormat="false" ht="15" hidden="false" customHeight="false" outlineLevel="0" collapsed="false">
      <c r="A1795" s="0" t="s">
        <v>462</v>
      </c>
      <c r="B1795" s="0" t="s">
        <v>652</v>
      </c>
      <c r="C1795" s="0" t="s">
        <v>757</v>
      </c>
      <c r="D1795" s="0" t="n">
        <v>6</v>
      </c>
      <c r="E1795" s="0" t="n">
        <v>3</v>
      </c>
      <c r="F1795" s="0" t="n">
        <f aca="false">D1795*E1795</f>
        <v>18</v>
      </c>
      <c r="G1795" s="0" t="n">
        <f aca="false">ROUNDUP(F1795/75,0)</f>
        <v>1</v>
      </c>
    </row>
    <row r="1796" customFormat="false" ht="15" hidden="false" customHeight="false" outlineLevel="0" collapsed="false">
      <c r="A1796" s="0" t="s">
        <v>462</v>
      </c>
      <c r="B1796" s="0" t="s">
        <v>652</v>
      </c>
      <c r="C1796" s="0" t="s">
        <v>753</v>
      </c>
      <c r="D1796" s="0" t="n">
        <v>6</v>
      </c>
      <c r="E1796" s="0" t="n">
        <v>7</v>
      </c>
      <c r="F1796" s="0" t="n">
        <f aca="false">D1796*E1796</f>
        <v>42</v>
      </c>
      <c r="G1796" s="0" t="n">
        <f aca="false">ROUNDUP(F1796/75,0)</f>
        <v>1</v>
      </c>
    </row>
    <row r="1797" customFormat="false" ht="15" hidden="false" customHeight="false" outlineLevel="0" collapsed="false">
      <c r="A1797" s="0" t="s">
        <v>462</v>
      </c>
      <c r="B1797" s="0" t="s">
        <v>652</v>
      </c>
      <c r="C1797" s="0" t="s">
        <v>755</v>
      </c>
      <c r="D1797" s="0" t="n">
        <v>6</v>
      </c>
      <c r="E1797" s="0" t="n">
        <v>5</v>
      </c>
      <c r="F1797" s="0" t="n">
        <f aca="false">D1797*E1797</f>
        <v>30</v>
      </c>
      <c r="G1797" s="0" t="n">
        <f aca="false">ROUNDUP(F1797/75,0)</f>
        <v>1</v>
      </c>
    </row>
    <row r="1798" customFormat="false" ht="15" hidden="false" customHeight="false" outlineLevel="0" collapsed="false">
      <c r="A1798" s="0" t="s">
        <v>462</v>
      </c>
      <c r="B1798" s="0" t="s">
        <v>653</v>
      </c>
      <c r="C1798" s="0" t="s">
        <v>753</v>
      </c>
      <c r="D1798" s="0" t="n">
        <v>6</v>
      </c>
      <c r="E1798" s="0" t="n">
        <v>1</v>
      </c>
      <c r="F1798" s="0" t="n">
        <f aca="false">D1798*E1798</f>
        <v>6</v>
      </c>
      <c r="G1798" s="0" t="n">
        <f aca="false">ROUNDUP(F1798/75,0)</f>
        <v>1</v>
      </c>
    </row>
    <row r="1799" customFormat="false" ht="15" hidden="false" customHeight="false" outlineLevel="0" collapsed="false">
      <c r="A1799" s="0" t="s">
        <v>462</v>
      </c>
      <c r="B1799" s="0" t="s">
        <v>653</v>
      </c>
      <c r="C1799" s="0" t="s">
        <v>755</v>
      </c>
      <c r="D1799" s="0" t="n">
        <v>6</v>
      </c>
      <c r="E1799" s="0" t="n">
        <v>1</v>
      </c>
      <c r="F1799" s="0" t="n">
        <f aca="false">D1799*E1799</f>
        <v>6</v>
      </c>
      <c r="G1799" s="0" t="n">
        <f aca="false">ROUNDUP(F1799/75,0)</f>
        <v>1</v>
      </c>
    </row>
    <row r="1800" customFormat="false" ht="15" hidden="false" customHeight="false" outlineLevel="0" collapsed="false">
      <c r="A1800" s="0" t="s">
        <v>462</v>
      </c>
      <c r="B1800" s="0" t="s">
        <v>654</v>
      </c>
      <c r="C1800" s="0" t="s">
        <v>756</v>
      </c>
      <c r="D1800" s="0" t="n">
        <v>12</v>
      </c>
      <c r="E1800" s="0" t="n">
        <v>2</v>
      </c>
      <c r="F1800" s="0" t="n">
        <f aca="false">D1800*E1800</f>
        <v>24</v>
      </c>
      <c r="G1800" s="0" t="n">
        <f aca="false">ROUNDUP(F1800/75,0)</f>
        <v>1</v>
      </c>
    </row>
    <row r="1801" customFormat="false" ht="15" hidden="false" customHeight="false" outlineLevel="0" collapsed="false">
      <c r="A1801" s="0" t="s">
        <v>462</v>
      </c>
      <c r="B1801" s="0" t="s">
        <v>654</v>
      </c>
      <c r="C1801" s="0" t="s">
        <v>757</v>
      </c>
      <c r="D1801" s="0" t="n">
        <v>6</v>
      </c>
      <c r="E1801" s="0" t="n">
        <v>1</v>
      </c>
      <c r="F1801" s="0" t="n">
        <f aca="false">D1801*E1801</f>
        <v>6</v>
      </c>
      <c r="G1801" s="0" t="n">
        <f aca="false">ROUNDUP(F1801/75,0)</f>
        <v>1</v>
      </c>
    </row>
    <row r="1802" customFormat="false" ht="15" hidden="false" customHeight="false" outlineLevel="0" collapsed="false">
      <c r="A1802" s="0" t="s">
        <v>462</v>
      </c>
      <c r="B1802" s="0" t="s">
        <v>654</v>
      </c>
      <c r="C1802" s="0" t="s">
        <v>753</v>
      </c>
      <c r="D1802" s="0" t="n">
        <v>6</v>
      </c>
      <c r="E1802" s="0" t="n">
        <v>2</v>
      </c>
      <c r="F1802" s="0" t="n">
        <f aca="false">D1802*E1802</f>
        <v>12</v>
      </c>
      <c r="G1802" s="0" t="n">
        <f aca="false">ROUNDUP(F1802/75,0)</f>
        <v>1</v>
      </c>
    </row>
    <row r="1803" customFormat="false" ht="15" hidden="false" customHeight="false" outlineLevel="0" collapsed="false">
      <c r="A1803" s="0" t="s">
        <v>462</v>
      </c>
      <c r="B1803" s="0" t="s">
        <v>654</v>
      </c>
      <c r="C1803" s="0" t="s">
        <v>755</v>
      </c>
      <c r="D1803" s="0" t="n">
        <v>6</v>
      </c>
      <c r="E1803" s="0" t="n">
        <v>2</v>
      </c>
      <c r="F1803" s="0" t="n">
        <f aca="false">D1803*E1803</f>
        <v>12</v>
      </c>
      <c r="G1803" s="0" t="n">
        <f aca="false">ROUNDUP(F1803/75,0)</f>
        <v>1</v>
      </c>
    </row>
    <row r="1804" customFormat="false" ht="15" hidden="false" customHeight="false" outlineLevel="0" collapsed="false">
      <c r="A1804" s="0" t="s">
        <v>462</v>
      </c>
      <c r="B1804" s="0" t="s">
        <v>655</v>
      </c>
      <c r="C1804" s="0" t="s">
        <v>757</v>
      </c>
      <c r="D1804" s="0" t="n">
        <v>6</v>
      </c>
      <c r="E1804" s="0" t="n">
        <v>3</v>
      </c>
      <c r="F1804" s="0" t="n">
        <f aca="false">D1804*E1804</f>
        <v>18</v>
      </c>
      <c r="G1804" s="0" t="n">
        <f aca="false">ROUNDUP(F1804/75,0)</f>
        <v>1</v>
      </c>
    </row>
    <row r="1805" customFormat="false" ht="15" hidden="false" customHeight="false" outlineLevel="0" collapsed="false">
      <c r="A1805" s="0" t="s">
        <v>462</v>
      </c>
      <c r="B1805" s="0" t="s">
        <v>655</v>
      </c>
      <c r="C1805" s="0" t="s">
        <v>753</v>
      </c>
      <c r="D1805" s="0" t="n">
        <v>6</v>
      </c>
      <c r="E1805" s="0" t="n">
        <v>1</v>
      </c>
      <c r="F1805" s="0" t="n">
        <f aca="false">D1805*E1805</f>
        <v>6</v>
      </c>
      <c r="G1805" s="0" t="n">
        <f aca="false">ROUNDUP(F1805/75,0)</f>
        <v>1</v>
      </c>
    </row>
    <row r="1806" customFormat="false" ht="15" hidden="false" customHeight="false" outlineLevel="0" collapsed="false">
      <c r="A1806" s="0" t="s">
        <v>462</v>
      </c>
      <c r="B1806" s="0" t="s">
        <v>655</v>
      </c>
      <c r="C1806" s="0" t="s">
        <v>755</v>
      </c>
      <c r="D1806" s="0" t="n">
        <v>6</v>
      </c>
      <c r="E1806" s="0" t="n">
        <v>3</v>
      </c>
      <c r="F1806" s="0" t="n">
        <f aca="false">D1806*E1806</f>
        <v>18</v>
      </c>
      <c r="G1806" s="0" t="n">
        <f aca="false">ROUNDUP(F1806/75,0)</f>
        <v>1</v>
      </c>
    </row>
    <row r="1807" customFormat="false" ht="15" hidden="false" customHeight="false" outlineLevel="0" collapsed="false">
      <c r="A1807" s="0" t="s">
        <v>462</v>
      </c>
      <c r="B1807" s="0" t="s">
        <v>656</v>
      </c>
      <c r="C1807" s="0" t="s">
        <v>756</v>
      </c>
      <c r="D1807" s="0" t="n">
        <v>12</v>
      </c>
      <c r="E1807" s="0" t="n">
        <v>2</v>
      </c>
      <c r="F1807" s="0" t="n">
        <f aca="false">D1807*E1807</f>
        <v>24</v>
      </c>
      <c r="G1807" s="0" t="n">
        <f aca="false">ROUNDUP(F1807/75,0)</f>
        <v>1</v>
      </c>
    </row>
    <row r="1808" customFormat="false" ht="15" hidden="false" customHeight="false" outlineLevel="0" collapsed="false">
      <c r="A1808" s="0" t="s">
        <v>462</v>
      </c>
      <c r="B1808" s="0" t="s">
        <v>656</v>
      </c>
      <c r="C1808" s="0" t="s">
        <v>757</v>
      </c>
      <c r="D1808" s="0" t="n">
        <v>6</v>
      </c>
      <c r="E1808" s="0" t="n">
        <v>2</v>
      </c>
      <c r="F1808" s="0" t="n">
        <f aca="false">D1808*E1808</f>
        <v>12</v>
      </c>
      <c r="G1808" s="0" t="n">
        <f aca="false">ROUNDUP(F1808/75,0)</f>
        <v>1</v>
      </c>
    </row>
    <row r="1809" customFormat="false" ht="15" hidden="false" customHeight="false" outlineLevel="0" collapsed="false">
      <c r="A1809" s="0" t="s">
        <v>462</v>
      </c>
      <c r="B1809" s="0" t="s">
        <v>656</v>
      </c>
      <c r="C1809" s="0" t="s">
        <v>753</v>
      </c>
      <c r="D1809" s="0" t="n">
        <v>6</v>
      </c>
      <c r="E1809" s="0" t="n">
        <v>6</v>
      </c>
      <c r="F1809" s="0" t="n">
        <f aca="false">D1809*E1809</f>
        <v>36</v>
      </c>
      <c r="G1809" s="0" t="n">
        <f aca="false">ROUNDUP(F1809/75,0)</f>
        <v>1</v>
      </c>
    </row>
    <row r="1810" customFormat="false" ht="15" hidden="false" customHeight="false" outlineLevel="0" collapsed="false">
      <c r="A1810" s="0" t="s">
        <v>462</v>
      </c>
      <c r="B1810" s="0" t="s">
        <v>656</v>
      </c>
      <c r="C1810" s="0" t="s">
        <v>755</v>
      </c>
      <c r="D1810" s="0" t="n">
        <v>6</v>
      </c>
      <c r="E1810" s="0" t="n">
        <v>2</v>
      </c>
      <c r="F1810" s="0" t="n">
        <f aca="false">D1810*E1810</f>
        <v>12</v>
      </c>
      <c r="G1810" s="0" t="n">
        <f aca="false">ROUNDUP(F1810/75,0)</f>
        <v>1</v>
      </c>
    </row>
    <row r="1811" customFormat="false" ht="15" hidden="false" customHeight="false" outlineLevel="0" collapsed="false">
      <c r="A1811" s="0" t="s">
        <v>462</v>
      </c>
      <c r="B1811" s="0" t="s">
        <v>657</v>
      </c>
      <c r="C1811" s="0" t="s">
        <v>757</v>
      </c>
      <c r="D1811" s="0" t="n">
        <v>6</v>
      </c>
      <c r="E1811" s="0" t="n">
        <v>1</v>
      </c>
      <c r="F1811" s="0" t="n">
        <f aca="false">D1811*E1811</f>
        <v>6</v>
      </c>
      <c r="G1811" s="0" t="n">
        <f aca="false">ROUNDUP(F1811/75,0)</f>
        <v>1</v>
      </c>
    </row>
    <row r="1812" customFormat="false" ht="15" hidden="false" customHeight="false" outlineLevel="0" collapsed="false">
      <c r="A1812" s="0" t="s">
        <v>462</v>
      </c>
      <c r="B1812" s="0" t="s">
        <v>657</v>
      </c>
      <c r="C1812" s="0" t="s">
        <v>753</v>
      </c>
      <c r="D1812" s="0" t="n">
        <v>6</v>
      </c>
      <c r="E1812" s="0" t="n">
        <v>9</v>
      </c>
      <c r="F1812" s="0" t="n">
        <f aca="false">D1812*E1812</f>
        <v>54</v>
      </c>
      <c r="G1812" s="0" t="n">
        <f aca="false">ROUNDUP(F1812/75,0)</f>
        <v>1</v>
      </c>
    </row>
    <row r="1813" customFormat="false" ht="15" hidden="false" customHeight="false" outlineLevel="0" collapsed="false">
      <c r="A1813" s="0" t="s">
        <v>462</v>
      </c>
      <c r="B1813" s="0" t="s">
        <v>657</v>
      </c>
      <c r="C1813" s="0" t="s">
        <v>755</v>
      </c>
      <c r="D1813" s="0" t="n">
        <v>6</v>
      </c>
      <c r="E1813" s="0" t="n">
        <v>2</v>
      </c>
      <c r="F1813" s="0" t="n">
        <f aca="false">D1813*E1813</f>
        <v>12</v>
      </c>
      <c r="G1813" s="0" t="n">
        <f aca="false">ROUNDUP(F1813/75,0)</f>
        <v>1</v>
      </c>
    </row>
    <row r="1814" customFormat="false" ht="15" hidden="false" customHeight="false" outlineLevel="0" collapsed="false">
      <c r="A1814" s="0" t="s">
        <v>462</v>
      </c>
      <c r="B1814" s="0" t="s">
        <v>658</v>
      </c>
      <c r="C1814" s="0" t="s">
        <v>756</v>
      </c>
      <c r="D1814" s="0" t="n">
        <v>12</v>
      </c>
      <c r="E1814" s="0" t="n">
        <v>1</v>
      </c>
      <c r="F1814" s="0" t="n">
        <f aca="false">D1814*E1814</f>
        <v>12</v>
      </c>
      <c r="G1814" s="0" t="n">
        <f aca="false">ROUNDUP(F1814/75,0)</f>
        <v>1</v>
      </c>
    </row>
    <row r="1815" customFormat="false" ht="15" hidden="false" customHeight="false" outlineLevel="0" collapsed="false">
      <c r="A1815" s="0" t="s">
        <v>462</v>
      </c>
      <c r="B1815" s="0" t="s">
        <v>658</v>
      </c>
      <c r="C1815" s="0" t="s">
        <v>757</v>
      </c>
      <c r="D1815" s="0" t="n">
        <v>6</v>
      </c>
      <c r="E1815" s="0" t="n">
        <v>2</v>
      </c>
      <c r="F1815" s="0" t="n">
        <f aca="false">D1815*E1815</f>
        <v>12</v>
      </c>
      <c r="G1815" s="0" t="n">
        <f aca="false">ROUNDUP(F1815/75,0)</f>
        <v>1</v>
      </c>
    </row>
    <row r="1816" customFormat="false" ht="15" hidden="false" customHeight="false" outlineLevel="0" collapsed="false">
      <c r="A1816" s="0" t="s">
        <v>462</v>
      </c>
      <c r="B1816" s="0" t="s">
        <v>658</v>
      </c>
      <c r="C1816" s="0" t="s">
        <v>753</v>
      </c>
      <c r="D1816" s="0" t="n">
        <v>6</v>
      </c>
      <c r="E1816" s="0" t="n">
        <v>2</v>
      </c>
      <c r="F1816" s="0" t="n">
        <f aca="false">D1816*E1816</f>
        <v>12</v>
      </c>
      <c r="G1816" s="0" t="n">
        <f aca="false">ROUNDUP(F1816/75,0)</f>
        <v>1</v>
      </c>
    </row>
    <row r="1817" customFormat="false" ht="15" hidden="false" customHeight="false" outlineLevel="0" collapsed="false">
      <c r="A1817" s="0" t="s">
        <v>462</v>
      </c>
      <c r="B1817" s="0" t="s">
        <v>658</v>
      </c>
      <c r="C1817" s="0" t="s">
        <v>755</v>
      </c>
      <c r="D1817" s="0" t="n">
        <v>6</v>
      </c>
      <c r="E1817" s="0" t="n">
        <v>2</v>
      </c>
      <c r="F1817" s="0" t="n">
        <f aca="false">D1817*E1817</f>
        <v>12</v>
      </c>
      <c r="G1817" s="0" t="n">
        <f aca="false">ROUNDUP(F1817/75,0)</f>
        <v>1</v>
      </c>
    </row>
    <row r="1818" customFormat="false" ht="15" hidden="false" customHeight="false" outlineLevel="0" collapsed="false">
      <c r="A1818" s="0" t="s">
        <v>462</v>
      </c>
      <c r="B1818" s="0" t="s">
        <v>659</v>
      </c>
      <c r="C1818" s="0" t="s">
        <v>757</v>
      </c>
      <c r="D1818" s="0" t="n">
        <v>6</v>
      </c>
      <c r="E1818" s="0" t="n">
        <v>1</v>
      </c>
      <c r="F1818" s="0" t="n">
        <f aca="false">D1818*E1818</f>
        <v>6</v>
      </c>
      <c r="G1818" s="0" t="n">
        <f aca="false">ROUNDUP(F1818/75,0)</f>
        <v>1</v>
      </c>
    </row>
    <row r="1819" customFormat="false" ht="15" hidden="false" customHeight="false" outlineLevel="0" collapsed="false">
      <c r="A1819" s="0" t="s">
        <v>462</v>
      </c>
      <c r="B1819" s="0" t="s">
        <v>659</v>
      </c>
      <c r="C1819" s="0" t="s">
        <v>753</v>
      </c>
      <c r="D1819" s="0" t="n">
        <v>6</v>
      </c>
      <c r="E1819" s="0" t="n">
        <v>2</v>
      </c>
      <c r="F1819" s="0" t="n">
        <f aca="false">D1819*E1819</f>
        <v>12</v>
      </c>
      <c r="G1819" s="0" t="n">
        <f aca="false">ROUNDUP(F1819/75,0)</f>
        <v>1</v>
      </c>
    </row>
    <row r="1820" customFormat="false" ht="15" hidden="false" customHeight="false" outlineLevel="0" collapsed="false">
      <c r="A1820" s="0" t="s">
        <v>462</v>
      </c>
      <c r="B1820" s="0" t="s">
        <v>659</v>
      </c>
      <c r="C1820" s="0" t="s">
        <v>755</v>
      </c>
      <c r="D1820" s="0" t="n">
        <v>6</v>
      </c>
      <c r="E1820" s="0" t="n">
        <v>4</v>
      </c>
      <c r="F1820" s="0" t="n">
        <f aca="false">D1820*E1820</f>
        <v>24</v>
      </c>
      <c r="G1820" s="0" t="n">
        <f aca="false">ROUNDUP(F1820/75,0)</f>
        <v>1</v>
      </c>
    </row>
    <row r="1821" customFormat="false" ht="15" hidden="false" customHeight="false" outlineLevel="0" collapsed="false">
      <c r="A1821" s="0" t="s">
        <v>462</v>
      </c>
      <c r="B1821" s="0" t="s">
        <v>660</v>
      </c>
      <c r="C1821" s="0" t="s">
        <v>757</v>
      </c>
      <c r="D1821" s="0" t="n">
        <v>6</v>
      </c>
      <c r="E1821" s="0" t="n">
        <v>4</v>
      </c>
      <c r="F1821" s="0" t="n">
        <f aca="false">D1821*E1821</f>
        <v>24</v>
      </c>
      <c r="G1821" s="0" t="n">
        <f aca="false">ROUNDUP(F1821/75,0)</f>
        <v>1</v>
      </c>
    </row>
    <row r="1822" customFormat="false" ht="15" hidden="false" customHeight="false" outlineLevel="0" collapsed="false">
      <c r="A1822" s="0" t="s">
        <v>462</v>
      </c>
      <c r="B1822" s="0" t="s">
        <v>660</v>
      </c>
      <c r="C1822" s="0" t="s">
        <v>753</v>
      </c>
      <c r="D1822" s="0" t="n">
        <v>6</v>
      </c>
      <c r="E1822" s="0" t="n">
        <v>3</v>
      </c>
      <c r="F1822" s="0" t="n">
        <f aca="false">D1822*E1822</f>
        <v>18</v>
      </c>
      <c r="G1822" s="0" t="n">
        <f aca="false">ROUNDUP(F1822/75,0)</f>
        <v>1</v>
      </c>
    </row>
    <row r="1823" customFormat="false" ht="15" hidden="false" customHeight="false" outlineLevel="0" collapsed="false">
      <c r="A1823" s="0" t="s">
        <v>462</v>
      </c>
      <c r="B1823" s="0" t="s">
        <v>660</v>
      </c>
      <c r="C1823" s="0" t="s">
        <v>755</v>
      </c>
      <c r="D1823" s="0" t="n">
        <v>6</v>
      </c>
      <c r="E1823" s="0" t="n">
        <v>4</v>
      </c>
      <c r="F1823" s="0" t="n">
        <f aca="false">D1823*E1823</f>
        <v>24</v>
      </c>
      <c r="G1823" s="0" t="n">
        <f aca="false">ROUNDUP(F1823/75,0)</f>
        <v>1</v>
      </c>
    </row>
    <row r="1824" customFormat="false" ht="15" hidden="false" customHeight="false" outlineLevel="0" collapsed="false">
      <c r="A1824" s="0" t="s">
        <v>462</v>
      </c>
      <c r="B1824" s="0" t="s">
        <v>661</v>
      </c>
      <c r="C1824" s="0" t="s">
        <v>757</v>
      </c>
      <c r="D1824" s="0" t="n">
        <v>6</v>
      </c>
      <c r="E1824" s="0" t="n">
        <v>4</v>
      </c>
      <c r="F1824" s="0" t="n">
        <f aca="false">D1824*E1824</f>
        <v>24</v>
      </c>
      <c r="G1824" s="0" t="n">
        <f aca="false">ROUNDUP(F1824/75,0)</f>
        <v>1</v>
      </c>
    </row>
    <row r="1825" customFormat="false" ht="15" hidden="false" customHeight="false" outlineLevel="0" collapsed="false">
      <c r="A1825" s="0" t="s">
        <v>462</v>
      </c>
      <c r="B1825" s="0" t="s">
        <v>661</v>
      </c>
      <c r="C1825" s="0" t="s">
        <v>753</v>
      </c>
      <c r="D1825" s="0" t="n">
        <v>6</v>
      </c>
      <c r="E1825" s="0" t="n">
        <v>1</v>
      </c>
      <c r="F1825" s="0" t="n">
        <f aca="false">D1825*E1825</f>
        <v>6</v>
      </c>
      <c r="G1825" s="0" t="n">
        <f aca="false">ROUNDUP(F1825/75,0)</f>
        <v>1</v>
      </c>
    </row>
    <row r="1826" customFormat="false" ht="15" hidden="false" customHeight="false" outlineLevel="0" collapsed="false">
      <c r="A1826" s="0" t="s">
        <v>462</v>
      </c>
      <c r="B1826" s="0" t="s">
        <v>661</v>
      </c>
      <c r="C1826" s="0" t="s">
        <v>755</v>
      </c>
      <c r="D1826" s="0" t="n">
        <v>6</v>
      </c>
      <c r="E1826" s="0" t="n">
        <v>5</v>
      </c>
      <c r="F1826" s="0" t="n">
        <f aca="false">D1826*E1826</f>
        <v>30</v>
      </c>
      <c r="G1826" s="0" t="n">
        <f aca="false">ROUNDUP(F1826/75,0)</f>
        <v>1</v>
      </c>
    </row>
    <row r="1827" customFormat="false" ht="15" hidden="false" customHeight="false" outlineLevel="0" collapsed="false">
      <c r="A1827" s="0" t="s">
        <v>462</v>
      </c>
      <c r="B1827" s="0" t="s">
        <v>662</v>
      </c>
      <c r="C1827" s="0" t="s">
        <v>757</v>
      </c>
      <c r="D1827" s="0" t="n">
        <v>6</v>
      </c>
      <c r="E1827" s="0" t="n">
        <v>4</v>
      </c>
      <c r="F1827" s="0" t="n">
        <f aca="false">D1827*E1827</f>
        <v>24</v>
      </c>
      <c r="G1827" s="0" t="n">
        <f aca="false">ROUNDUP(F1827/75,0)</f>
        <v>1</v>
      </c>
    </row>
    <row r="1828" customFormat="false" ht="15" hidden="false" customHeight="false" outlineLevel="0" collapsed="false">
      <c r="A1828" s="0" t="s">
        <v>462</v>
      </c>
      <c r="B1828" s="0" t="s">
        <v>662</v>
      </c>
      <c r="C1828" s="0" t="s">
        <v>753</v>
      </c>
      <c r="D1828" s="0" t="n">
        <v>6</v>
      </c>
      <c r="E1828" s="0" t="n">
        <v>10</v>
      </c>
      <c r="F1828" s="0" t="n">
        <f aca="false">D1828*E1828</f>
        <v>60</v>
      </c>
      <c r="G1828" s="0" t="n">
        <f aca="false">ROUNDUP(F1828/75,0)</f>
        <v>1</v>
      </c>
    </row>
    <row r="1829" customFormat="false" ht="15" hidden="false" customHeight="false" outlineLevel="0" collapsed="false">
      <c r="A1829" s="0" t="s">
        <v>462</v>
      </c>
      <c r="B1829" s="0" t="s">
        <v>662</v>
      </c>
      <c r="C1829" s="0" t="s">
        <v>755</v>
      </c>
      <c r="D1829" s="0" t="n">
        <v>6</v>
      </c>
      <c r="E1829" s="0" t="n">
        <v>2</v>
      </c>
      <c r="F1829" s="0" t="n">
        <f aca="false">D1829*E1829</f>
        <v>12</v>
      </c>
      <c r="G1829" s="0" t="n">
        <f aca="false">ROUNDUP(F1829/75,0)</f>
        <v>1</v>
      </c>
    </row>
    <row r="1830" customFormat="false" ht="15" hidden="false" customHeight="false" outlineLevel="0" collapsed="false">
      <c r="A1830" s="0" t="s">
        <v>462</v>
      </c>
      <c r="B1830" s="0" t="s">
        <v>663</v>
      </c>
      <c r="C1830" s="0" t="s">
        <v>756</v>
      </c>
      <c r="D1830" s="0" t="n">
        <v>12</v>
      </c>
      <c r="E1830" s="0" t="n">
        <v>2</v>
      </c>
      <c r="F1830" s="0" t="n">
        <f aca="false">D1830*E1830</f>
        <v>24</v>
      </c>
      <c r="G1830" s="0" t="n">
        <f aca="false">ROUNDUP(F1830/75,0)</f>
        <v>1</v>
      </c>
    </row>
    <row r="1831" customFormat="false" ht="15" hidden="false" customHeight="false" outlineLevel="0" collapsed="false">
      <c r="A1831" s="0" t="s">
        <v>462</v>
      </c>
      <c r="B1831" s="0" t="s">
        <v>663</v>
      </c>
      <c r="C1831" s="0" t="s">
        <v>757</v>
      </c>
      <c r="D1831" s="0" t="n">
        <v>6</v>
      </c>
      <c r="E1831" s="0" t="n">
        <v>1</v>
      </c>
      <c r="F1831" s="0" t="n">
        <f aca="false">D1831*E1831</f>
        <v>6</v>
      </c>
      <c r="G1831" s="0" t="n">
        <f aca="false">ROUNDUP(F1831/75,0)</f>
        <v>1</v>
      </c>
    </row>
    <row r="1832" customFormat="false" ht="15" hidden="false" customHeight="false" outlineLevel="0" collapsed="false">
      <c r="A1832" s="0" t="s">
        <v>462</v>
      </c>
      <c r="B1832" s="0" t="s">
        <v>663</v>
      </c>
      <c r="C1832" s="0" t="s">
        <v>753</v>
      </c>
      <c r="D1832" s="0" t="n">
        <v>6</v>
      </c>
      <c r="E1832" s="0" t="n">
        <v>2</v>
      </c>
      <c r="F1832" s="0" t="n">
        <f aca="false">D1832*E1832</f>
        <v>12</v>
      </c>
      <c r="G1832" s="0" t="n">
        <f aca="false">ROUNDUP(F1832/75,0)</f>
        <v>1</v>
      </c>
    </row>
    <row r="1833" customFormat="false" ht="15" hidden="false" customHeight="false" outlineLevel="0" collapsed="false">
      <c r="A1833" s="0" t="s">
        <v>462</v>
      </c>
      <c r="B1833" s="0" t="s">
        <v>663</v>
      </c>
      <c r="C1833" s="0" t="s">
        <v>755</v>
      </c>
      <c r="D1833" s="0" t="n">
        <v>6</v>
      </c>
      <c r="E1833" s="0" t="n">
        <v>2</v>
      </c>
      <c r="F1833" s="0" t="n">
        <f aca="false">D1833*E1833</f>
        <v>12</v>
      </c>
      <c r="G1833" s="0" t="n">
        <f aca="false">ROUNDUP(F1833/75,0)</f>
        <v>1</v>
      </c>
    </row>
    <row r="1834" customFormat="false" ht="15" hidden="false" customHeight="false" outlineLevel="0" collapsed="false">
      <c r="A1834" s="0" t="s">
        <v>462</v>
      </c>
      <c r="B1834" s="0" t="s">
        <v>664</v>
      </c>
      <c r="C1834" s="0" t="s">
        <v>755</v>
      </c>
      <c r="D1834" s="0" t="n">
        <v>6</v>
      </c>
      <c r="E1834" s="0" t="n">
        <v>1</v>
      </c>
      <c r="F1834" s="0" t="n">
        <f aca="false">D1834*E1834</f>
        <v>6</v>
      </c>
      <c r="G1834" s="0" t="n">
        <f aca="false">ROUNDUP(F1834/75,0)</f>
        <v>1</v>
      </c>
    </row>
    <row r="1835" customFormat="false" ht="15" hidden="false" customHeight="false" outlineLevel="0" collapsed="false">
      <c r="A1835" s="0" t="s">
        <v>462</v>
      </c>
      <c r="B1835" s="0" t="s">
        <v>665</v>
      </c>
      <c r="C1835" s="0" t="s">
        <v>753</v>
      </c>
      <c r="D1835" s="0" t="n">
        <v>6</v>
      </c>
      <c r="E1835" s="0" t="n">
        <v>3</v>
      </c>
      <c r="F1835" s="0" t="n">
        <f aca="false">D1835*E1835</f>
        <v>18</v>
      </c>
      <c r="G1835" s="0" t="n">
        <f aca="false">ROUNDUP(F1835/75,0)</f>
        <v>1</v>
      </c>
    </row>
    <row r="1836" customFormat="false" ht="15" hidden="false" customHeight="false" outlineLevel="0" collapsed="false">
      <c r="A1836" s="0" t="s">
        <v>462</v>
      </c>
      <c r="B1836" s="0" t="s">
        <v>666</v>
      </c>
      <c r="C1836" s="0" t="s">
        <v>757</v>
      </c>
      <c r="D1836" s="0" t="n">
        <v>6</v>
      </c>
      <c r="E1836" s="0" t="n">
        <v>3</v>
      </c>
      <c r="F1836" s="0" t="n">
        <f aca="false">D1836*E1836</f>
        <v>18</v>
      </c>
      <c r="G1836" s="0" t="n">
        <f aca="false">ROUNDUP(F1836/75,0)</f>
        <v>1</v>
      </c>
    </row>
    <row r="1837" customFormat="false" ht="15" hidden="false" customHeight="false" outlineLevel="0" collapsed="false">
      <c r="A1837" s="0" t="s">
        <v>462</v>
      </c>
      <c r="B1837" s="0" t="s">
        <v>666</v>
      </c>
      <c r="C1837" s="0" t="s">
        <v>753</v>
      </c>
      <c r="D1837" s="0" t="n">
        <v>6</v>
      </c>
      <c r="E1837" s="0" t="n">
        <v>1</v>
      </c>
      <c r="F1837" s="0" t="n">
        <f aca="false">D1837*E1837</f>
        <v>6</v>
      </c>
      <c r="G1837" s="0" t="n">
        <f aca="false">ROUNDUP(F1837/75,0)</f>
        <v>1</v>
      </c>
    </row>
    <row r="1838" customFormat="false" ht="15" hidden="false" customHeight="false" outlineLevel="0" collapsed="false">
      <c r="A1838" s="0" t="s">
        <v>462</v>
      </c>
      <c r="B1838" s="0" t="s">
        <v>666</v>
      </c>
      <c r="C1838" s="0" t="s">
        <v>755</v>
      </c>
      <c r="D1838" s="0" t="n">
        <v>6</v>
      </c>
      <c r="E1838" s="0" t="n">
        <v>2</v>
      </c>
      <c r="F1838" s="0" t="n">
        <f aca="false">D1838*E1838</f>
        <v>12</v>
      </c>
      <c r="G1838" s="0" t="n">
        <f aca="false">ROUNDUP(F1838/75,0)</f>
        <v>1</v>
      </c>
    </row>
    <row r="1839" customFormat="false" ht="15" hidden="false" customHeight="false" outlineLevel="0" collapsed="false">
      <c r="A1839" s="0" t="s">
        <v>462</v>
      </c>
      <c r="B1839" s="0" t="s">
        <v>667</v>
      </c>
      <c r="C1839" s="0" t="s">
        <v>756</v>
      </c>
      <c r="D1839" s="0" t="n">
        <v>12</v>
      </c>
      <c r="E1839" s="0" t="n">
        <v>2</v>
      </c>
      <c r="F1839" s="0" t="n">
        <f aca="false">D1839*E1839</f>
        <v>24</v>
      </c>
      <c r="G1839" s="0" t="n">
        <f aca="false">ROUNDUP(F1839/75,0)</f>
        <v>1</v>
      </c>
    </row>
    <row r="1840" customFormat="false" ht="15" hidden="false" customHeight="false" outlineLevel="0" collapsed="false">
      <c r="A1840" s="0" t="s">
        <v>462</v>
      </c>
      <c r="B1840" s="0" t="s">
        <v>667</v>
      </c>
      <c r="C1840" s="0" t="s">
        <v>757</v>
      </c>
      <c r="D1840" s="0" t="n">
        <v>6</v>
      </c>
      <c r="E1840" s="0" t="n">
        <v>6</v>
      </c>
      <c r="F1840" s="0" t="n">
        <f aca="false">D1840*E1840</f>
        <v>36</v>
      </c>
      <c r="G1840" s="0" t="n">
        <f aca="false">ROUNDUP(F1840/75,0)</f>
        <v>1</v>
      </c>
    </row>
    <row r="1841" customFormat="false" ht="15" hidden="false" customHeight="false" outlineLevel="0" collapsed="false">
      <c r="A1841" s="0" t="s">
        <v>462</v>
      </c>
      <c r="B1841" s="0" t="s">
        <v>667</v>
      </c>
      <c r="C1841" s="0" t="s">
        <v>753</v>
      </c>
      <c r="D1841" s="0" t="n">
        <v>6</v>
      </c>
      <c r="E1841" s="0" t="n">
        <v>2</v>
      </c>
      <c r="F1841" s="0" t="n">
        <f aca="false">D1841*E1841</f>
        <v>12</v>
      </c>
      <c r="G1841" s="0" t="n">
        <f aca="false">ROUNDUP(F1841/75,0)</f>
        <v>1</v>
      </c>
    </row>
    <row r="1842" customFormat="false" ht="15" hidden="false" customHeight="false" outlineLevel="0" collapsed="false">
      <c r="A1842" s="0" t="s">
        <v>462</v>
      </c>
      <c r="B1842" s="0" t="s">
        <v>667</v>
      </c>
      <c r="C1842" s="0" t="s">
        <v>755</v>
      </c>
      <c r="D1842" s="0" t="n">
        <v>6</v>
      </c>
      <c r="E1842" s="0" t="n">
        <v>1</v>
      </c>
      <c r="F1842" s="0" t="n">
        <f aca="false">D1842*E1842</f>
        <v>6</v>
      </c>
      <c r="G1842" s="0" t="n">
        <f aca="false">ROUNDUP(F1842/75,0)</f>
        <v>1</v>
      </c>
    </row>
    <row r="1843" customFormat="false" ht="15" hidden="false" customHeight="false" outlineLevel="0" collapsed="false">
      <c r="A1843" s="0" t="s">
        <v>462</v>
      </c>
      <c r="B1843" s="0" t="s">
        <v>668</v>
      </c>
      <c r="C1843" s="0" t="s">
        <v>757</v>
      </c>
      <c r="D1843" s="0" t="n">
        <v>6</v>
      </c>
      <c r="E1843" s="0" t="n">
        <v>1</v>
      </c>
      <c r="F1843" s="0" t="n">
        <f aca="false">D1843*E1843</f>
        <v>6</v>
      </c>
      <c r="G1843" s="0" t="n">
        <f aca="false">ROUNDUP(F1843/75,0)</f>
        <v>1</v>
      </c>
    </row>
    <row r="1844" customFormat="false" ht="15" hidden="false" customHeight="false" outlineLevel="0" collapsed="false">
      <c r="A1844" s="0" t="s">
        <v>462</v>
      </c>
      <c r="B1844" s="0" t="s">
        <v>668</v>
      </c>
      <c r="C1844" s="0" t="s">
        <v>753</v>
      </c>
      <c r="D1844" s="0" t="n">
        <v>6</v>
      </c>
      <c r="E1844" s="0" t="n">
        <v>3</v>
      </c>
      <c r="F1844" s="0" t="n">
        <f aca="false">D1844*E1844</f>
        <v>18</v>
      </c>
      <c r="G1844" s="0" t="n">
        <f aca="false">ROUNDUP(F1844/75,0)</f>
        <v>1</v>
      </c>
    </row>
    <row r="1845" customFormat="false" ht="15" hidden="false" customHeight="false" outlineLevel="0" collapsed="false">
      <c r="A1845" s="0" t="s">
        <v>462</v>
      </c>
      <c r="B1845" s="0" t="s">
        <v>668</v>
      </c>
      <c r="C1845" s="0" t="s">
        <v>755</v>
      </c>
      <c r="D1845" s="0" t="n">
        <v>6</v>
      </c>
      <c r="E1845" s="0" t="n">
        <v>3</v>
      </c>
      <c r="F1845" s="0" t="n">
        <f aca="false">D1845*E1845</f>
        <v>18</v>
      </c>
      <c r="G1845" s="0" t="n">
        <f aca="false">ROUNDUP(F1845/75,0)</f>
        <v>1</v>
      </c>
    </row>
    <row r="1846" customFormat="false" ht="15" hidden="false" customHeight="false" outlineLevel="0" collapsed="false">
      <c r="A1846" s="0" t="s">
        <v>462</v>
      </c>
      <c r="B1846" s="0" t="s">
        <v>669</v>
      </c>
      <c r="C1846" s="0" t="s">
        <v>756</v>
      </c>
      <c r="D1846" s="0" t="n">
        <v>12</v>
      </c>
      <c r="E1846" s="0" t="n">
        <v>2</v>
      </c>
      <c r="F1846" s="0" t="n">
        <f aca="false">D1846*E1846</f>
        <v>24</v>
      </c>
      <c r="G1846" s="0" t="n">
        <f aca="false">ROUNDUP(F1846/75,0)</f>
        <v>1</v>
      </c>
    </row>
    <row r="1847" customFormat="false" ht="15" hidden="false" customHeight="false" outlineLevel="0" collapsed="false">
      <c r="A1847" s="0" t="s">
        <v>462</v>
      </c>
      <c r="B1847" s="0" t="s">
        <v>669</v>
      </c>
      <c r="C1847" s="0" t="s">
        <v>753</v>
      </c>
      <c r="D1847" s="0" t="n">
        <v>6</v>
      </c>
      <c r="E1847" s="0" t="n">
        <v>1</v>
      </c>
      <c r="F1847" s="0" t="n">
        <f aca="false">D1847*E1847</f>
        <v>6</v>
      </c>
      <c r="G1847" s="0" t="n">
        <f aca="false">ROUNDUP(F1847/75,0)</f>
        <v>1</v>
      </c>
    </row>
    <row r="1848" customFormat="false" ht="15" hidden="false" customHeight="false" outlineLevel="0" collapsed="false">
      <c r="A1848" s="0" t="s">
        <v>462</v>
      </c>
      <c r="B1848" s="0" t="s">
        <v>669</v>
      </c>
      <c r="C1848" s="0" t="s">
        <v>755</v>
      </c>
      <c r="D1848" s="0" t="n">
        <v>6</v>
      </c>
      <c r="E1848" s="0" t="n">
        <v>4</v>
      </c>
      <c r="F1848" s="0" t="n">
        <f aca="false">D1848*E1848</f>
        <v>24</v>
      </c>
      <c r="G1848" s="0" t="n">
        <f aca="false">ROUNDUP(F1848/75,0)</f>
        <v>1</v>
      </c>
    </row>
    <row r="1849" customFormat="false" ht="15" hidden="false" customHeight="false" outlineLevel="0" collapsed="false">
      <c r="A1849" s="0" t="s">
        <v>462</v>
      </c>
      <c r="B1849" s="0" t="s">
        <v>670</v>
      </c>
      <c r="C1849" s="0" t="s">
        <v>756</v>
      </c>
      <c r="D1849" s="0" t="n">
        <v>12</v>
      </c>
      <c r="E1849" s="0" t="n">
        <v>2</v>
      </c>
      <c r="F1849" s="0" t="n">
        <f aca="false">D1849*E1849</f>
        <v>24</v>
      </c>
      <c r="G1849" s="0" t="n">
        <f aca="false">ROUNDUP(F1849/75,0)</f>
        <v>1</v>
      </c>
    </row>
    <row r="1850" customFormat="false" ht="15" hidden="false" customHeight="false" outlineLevel="0" collapsed="false">
      <c r="A1850" s="0" t="s">
        <v>462</v>
      </c>
      <c r="B1850" s="0" t="s">
        <v>670</v>
      </c>
      <c r="C1850" s="0" t="s">
        <v>757</v>
      </c>
      <c r="D1850" s="0" t="n">
        <v>6</v>
      </c>
      <c r="E1850" s="0" t="n">
        <v>2</v>
      </c>
      <c r="F1850" s="0" t="n">
        <f aca="false">D1850*E1850</f>
        <v>12</v>
      </c>
      <c r="G1850" s="0" t="n">
        <f aca="false">ROUNDUP(F1850/75,0)</f>
        <v>1</v>
      </c>
    </row>
    <row r="1851" customFormat="false" ht="15" hidden="false" customHeight="false" outlineLevel="0" collapsed="false">
      <c r="A1851" s="0" t="s">
        <v>462</v>
      </c>
      <c r="B1851" s="0" t="s">
        <v>670</v>
      </c>
      <c r="C1851" s="0" t="s">
        <v>753</v>
      </c>
      <c r="D1851" s="0" t="n">
        <v>6</v>
      </c>
      <c r="E1851" s="0" t="n">
        <v>1</v>
      </c>
      <c r="F1851" s="0" t="n">
        <f aca="false">D1851*E1851</f>
        <v>6</v>
      </c>
      <c r="G1851" s="0" t="n">
        <f aca="false">ROUNDUP(F1851/75,0)</f>
        <v>1</v>
      </c>
    </row>
    <row r="1852" customFormat="false" ht="15" hidden="false" customHeight="false" outlineLevel="0" collapsed="false">
      <c r="A1852" s="0" t="s">
        <v>462</v>
      </c>
      <c r="B1852" s="0" t="s">
        <v>670</v>
      </c>
      <c r="C1852" s="0" t="s">
        <v>755</v>
      </c>
      <c r="D1852" s="0" t="n">
        <v>6</v>
      </c>
      <c r="E1852" s="0" t="n">
        <v>1</v>
      </c>
      <c r="F1852" s="0" t="n">
        <f aca="false">D1852*E1852</f>
        <v>6</v>
      </c>
      <c r="G1852" s="0" t="n">
        <f aca="false">ROUNDUP(F1852/75,0)</f>
        <v>1</v>
      </c>
    </row>
    <row r="1853" customFormat="false" ht="15" hidden="false" customHeight="false" outlineLevel="0" collapsed="false">
      <c r="A1853" s="0" t="s">
        <v>462</v>
      </c>
      <c r="B1853" s="0" t="s">
        <v>671</v>
      </c>
      <c r="C1853" s="0" t="s">
        <v>757</v>
      </c>
      <c r="D1853" s="0" t="n">
        <v>6</v>
      </c>
      <c r="E1853" s="0" t="n">
        <v>2</v>
      </c>
      <c r="F1853" s="0" t="n">
        <f aca="false">D1853*E1853</f>
        <v>12</v>
      </c>
      <c r="G1853" s="0" t="n">
        <f aca="false">ROUNDUP(F1853/75,0)</f>
        <v>1</v>
      </c>
    </row>
    <row r="1854" customFormat="false" ht="15" hidden="false" customHeight="false" outlineLevel="0" collapsed="false">
      <c r="A1854" s="0" t="s">
        <v>462</v>
      </c>
      <c r="B1854" s="0" t="s">
        <v>671</v>
      </c>
      <c r="C1854" s="0" t="s">
        <v>753</v>
      </c>
      <c r="D1854" s="0" t="n">
        <v>6</v>
      </c>
      <c r="E1854" s="0" t="n">
        <v>4</v>
      </c>
      <c r="F1854" s="0" t="n">
        <f aca="false">D1854*E1854</f>
        <v>24</v>
      </c>
      <c r="G1854" s="0" t="n">
        <f aca="false">ROUNDUP(F1854/75,0)</f>
        <v>1</v>
      </c>
    </row>
    <row r="1855" customFormat="false" ht="15" hidden="false" customHeight="false" outlineLevel="0" collapsed="false">
      <c r="A1855" s="0" t="s">
        <v>462</v>
      </c>
      <c r="B1855" s="0" t="s">
        <v>672</v>
      </c>
      <c r="C1855" s="0" t="s">
        <v>756</v>
      </c>
      <c r="D1855" s="0" t="n">
        <v>12</v>
      </c>
      <c r="E1855" s="0" t="n">
        <v>1</v>
      </c>
      <c r="F1855" s="0" t="n">
        <f aca="false">D1855*E1855</f>
        <v>12</v>
      </c>
      <c r="G1855" s="0" t="n">
        <f aca="false">ROUNDUP(F1855/75,0)</f>
        <v>1</v>
      </c>
    </row>
    <row r="1856" customFormat="false" ht="15" hidden="false" customHeight="false" outlineLevel="0" collapsed="false">
      <c r="A1856" s="0" t="s">
        <v>462</v>
      </c>
      <c r="B1856" s="0" t="s">
        <v>672</v>
      </c>
      <c r="C1856" s="0" t="s">
        <v>757</v>
      </c>
      <c r="D1856" s="0" t="n">
        <v>6</v>
      </c>
      <c r="E1856" s="0" t="n">
        <v>1</v>
      </c>
      <c r="F1856" s="0" t="n">
        <f aca="false">D1856*E1856</f>
        <v>6</v>
      </c>
      <c r="G1856" s="0" t="n">
        <f aca="false">ROUNDUP(F1856/75,0)</f>
        <v>1</v>
      </c>
    </row>
    <row r="1857" customFormat="false" ht="15" hidden="false" customHeight="false" outlineLevel="0" collapsed="false">
      <c r="A1857" s="0" t="s">
        <v>462</v>
      </c>
      <c r="B1857" s="0" t="s">
        <v>672</v>
      </c>
      <c r="C1857" s="0" t="s">
        <v>753</v>
      </c>
      <c r="D1857" s="0" t="n">
        <v>6</v>
      </c>
      <c r="E1857" s="0" t="n">
        <v>2</v>
      </c>
      <c r="F1857" s="0" t="n">
        <f aca="false">D1857*E1857</f>
        <v>12</v>
      </c>
      <c r="G1857" s="0" t="n">
        <f aca="false">ROUNDUP(F1857/75,0)</f>
        <v>1</v>
      </c>
    </row>
    <row r="1858" customFormat="false" ht="15" hidden="false" customHeight="false" outlineLevel="0" collapsed="false">
      <c r="A1858" s="0" t="s">
        <v>462</v>
      </c>
      <c r="B1858" s="0" t="s">
        <v>672</v>
      </c>
      <c r="C1858" s="0" t="s">
        <v>755</v>
      </c>
      <c r="D1858" s="0" t="n">
        <v>6</v>
      </c>
      <c r="E1858" s="0" t="n">
        <v>3</v>
      </c>
      <c r="F1858" s="0" t="n">
        <f aca="false">D1858*E1858</f>
        <v>18</v>
      </c>
      <c r="G1858" s="0" t="n">
        <f aca="false">ROUNDUP(F1858/75,0)</f>
        <v>1</v>
      </c>
    </row>
    <row r="1859" customFormat="false" ht="15" hidden="false" customHeight="false" outlineLevel="0" collapsed="false">
      <c r="A1859" s="0" t="s">
        <v>462</v>
      </c>
      <c r="B1859" s="0" t="s">
        <v>673</v>
      </c>
      <c r="C1859" s="0" t="s">
        <v>753</v>
      </c>
      <c r="D1859" s="0" t="n">
        <v>6</v>
      </c>
      <c r="E1859" s="0" t="n">
        <v>1</v>
      </c>
      <c r="F1859" s="0" t="n">
        <f aca="false">D1859*E1859</f>
        <v>6</v>
      </c>
      <c r="G1859" s="0" t="n">
        <f aca="false">ROUNDUP(F1859/75,0)</f>
        <v>1</v>
      </c>
    </row>
    <row r="1860" customFormat="false" ht="15" hidden="false" customHeight="false" outlineLevel="0" collapsed="false">
      <c r="A1860" s="0" t="s">
        <v>462</v>
      </c>
      <c r="B1860" s="0" t="s">
        <v>674</v>
      </c>
      <c r="C1860" s="0" t="s">
        <v>757</v>
      </c>
      <c r="D1860" s="0" t="n">
        <v>6</v>
      </c>
      <c r="E1860" s="0" t="n">
        <v>1</v>
      </c>
      <c r="F1860" s="0" t="n">
        <f aca="false">D1860*E1860</f>
        <v>6</v>
      </c>
      <c r="G1860" s="0" t="n">
        <f aca="false">ROUNDUP(F1860/75,0)</f>
        <v>1</v>
      </c>
    </row>
    <row r="1861" customFormat="false" ht="15" hidden="false" customHeight="false" outlineLevel="0" collapsed="false">
      <c r="A1861" s="0" t="s">
        <v>462</v>
      </c>
      <c r="B1861" s="0" t="s">
        <v>674</v>
      </c>
      <c r="C1861" s="0" t="s">
        <v>753</v>
      </c>
      <c r="D1861" s="0" t="n">
        <v>6</v>
      </c>
      <c r="E1861" s="0" t="n">
        <v>2</v>
      </c>
      <c r="F1861" s="0" t="n">
        <f aca="false">D1861*E1861</f>
        <v>12</v>
      </c>
      <c r="G1861" s="0" t="n">
        <f aca="false">ROUNDUP(F1861/75,0)</f>
        <v>1</v>
      </c>
    </row>
    <row r="1862" customFormat="false" ht="15" hidden="false" customHeight="false" outlineLevel="0" collapsed="false">
      <c r="A1862" s="0" t="s">
        <v>462</v>
      </c>
      <c r="B1862" s="0" t="s">
        <v>674</v>
      </c>
      <c r="C1862" s="0" t="s">
        <v>755</v>
      </c>
      <c r="D1862" s="0" t="n">
        <v>6</v>
      </c>
      <c r="E1862" s="0" t="n">
        <v>1</v>
      </c>
      <c r="F1862" s="0" t="n">
        <f aca="false">D1862*E1862</f>
        <v>6</v>
      </c>
      <c r="G1862" s="0" t="n">
        <f aca="false">ROUNDUP(F1862/75,0)</f>
        <v>1</v>
      </c>
    </row>
    <row r="1863" customFormat="false" ht="15" hidden="false" customHeight="false" outlineLevel="0" collapsed="false">
      <c r="A1863" s="0" t="s">
        <v>462</v>
      </c>
      <c r="B1863" s="0" t="s">
        <v>675</v>
      </c>
      <c r="C1863" s="0" t="s">
        <v>756</v>
      </c>
      <c r="D1863" s="0" t="n">
        <v>12</v>
      </c>
      <c r="E1863" s="0" t="n">
        <v>2</v>
      </c>
      <c r="F1863" s="0" t="n">
        <f aca="false">D1863*E1863</f>
        <v>24</v>
      </c>
      <c r="G1863" s="0" t="n">
        <f aca="false">ROUNDUP(F1863/75,0)</f>
        <v>1</v>
      </c>
    </row>
    <row r="1864" customFormat="false" ht="15" hidden="false" customHeight="false" outlineLevel="0" collapsed="false">
      <c r="A1864" s="0" t="s">
        <v>462</v>
      </c>
      <c r="B1864" s="0" t="s">
        <v>675</v>
      </c>
      <c r="C1864" s="0" t="s">
        <v>757</v>
      </c>
      <c r="D1864" s="0" t="n">
        <v>6</v>
      </c>
      <c r="E1864" s="0" t="n">
        <v>2</v>
      </c>
      <c r="F1864" s="0" t="n">
        <f aca="false">D1864*E1864</f>
        <v>12</v>
      </c>
      <c r="G1864" s="0" t="n">
        <f aca="false">ROUNDUP(F1864/75,0)</f>
        <v>1</v>
      </c>
    </row>
    <row r="1865" customFormat="false" ht="15" hidden="false" customHeight="false" outlineLevel="0" collapsed="false">
      <c r="A1865" s="0" t="s">
        <v>462</v>
      </c>
      <c r="B1865" s="0" t="s">
        <v>675</v>
      </c>
      <c r="C1865" s="0" t="s">
        <v>753</v>
      </c>
      <c r="D1865" s="0" t="n">
        <v>6</v>
      </c>
      <c r="E1865" s="0" t="n">
        <v>1</v>
      </c>
      <c r="F1865" s="0" t="n">
        <f aca="false">D1865*E1865</f>
        <v>6</v>
      </c>
      <c r="G1865" s="0" t="n">
        <f aca="false">ROUNDUP(F1865/75,0)</f>
        <v>1</v>
      </c>
    </row>
    <row r="1866" customFormat="false" ht="15" hidden="false" customHeight="false" outlineLevel="0" collapsed="false">
      <c r="A1866" s="0" t="s">
        <v>462</v>
      </c>
      <c r="B1866" s="0" t="s">
        <v>675</v>
      </c>
      <c r="C1866" s="0" t="s">
        <v>755</v>
      </c>
      <c r="D1866" s="0" t="n">
        <v>6</v>
      </c>
      <c r="E1866" s="0" t="n">
        <v>1</v>
      </c>
      <c r="F1866" s="0" t="n">
        <f aca="false">D1866*E1866</f>
        <v>6</v>
      </c>
      <c r="G1866" s="0" t="n">
        <f aca="false">ROUNDUP(F1866/75,0)</f>
        <v>1</v>
      </c>
    </row>
    <row r="1867" customFormat="false" ht="15" hidden="false" customHeight="false" outlineLevel="0" collapsed="false">
      <c r="A1867" s="0" t="s">
        <v>462</v>
      </c>
      <c r="B1867" s="0" t="s">
        <v>676</v>
      </c>
      <c r="C1867" s="0" t="s">
        <v>756</v>
      </c>
      <c r="D1867" s="0" t="n">
        <v>12</v>
      </c>
      <c r="E1867" s="0" t="n">
        <v>1</v>
      </c>
      <c r="F1867" s="0" t="n">
        <f aca="false">D1867*E1867</f>
        <v>12</v>
      </c>
      <c r="G1867" s="0" t="n">
        <f aca="false">ROUNDUP(F1867/75,0)</f>
        <v>1</v>
      </c>
    </row>
    <row r="1868" customFormat="false" ht="15" hidden="false" customHeight="false" outlineLevel="0" collapsed="false">
      <c r="A1868" s="0" t="s">
        <v>462</v>
      </c>
      <c r="B1868" s="0" t="s">
        <v>676</v>
      </c>
      <c r="C1868" s="0" t="s">
        <v>755</v>
      </c>
      <c r="D1868" s="0" t="n">
        <v>6</v>
      </c>
      <c r="E1868" s="0" t="n">
        <v>1</v>
      </c>
      <c r="F1868" s="0" t="n">
        <f aca="false">D1868*E1868</f>
        <v>6</v>
      </c>
      <c r="G1868" s="0" t="n">
        <f aca="false">ROUNDUP(F1868/75,0)</f>
        <v>1</v>
      </c>
    </row>
    <row r="1869" customFormat="false" ht="15" hidden="false" customHeight="false" outlineLevel="0" collapsed="false">
      <c r="A1869" s="0" t="s">
        <v>462</v>
      </c>
      <c r="B1869" s="0" t="s">
        <v>677</v>
      </c>
      <c r="C1869" s="0" t="s">
        <v>756</v>
      </c>
      <c r="D1869" s="0" t="n">
        <v>12</v>
      </c>
      <c r="E1869" s="0" t="n">
        <v>5</v>
      </c>
      <c r="F1869" s="0" t="n">
        <f aca="false">D1869*E1869</f>
        <v>60</v>
      </c>
      <c r="G1869" s="0" t="n">
        <f aca="false">ROUNDUP(F1869/75,0)</f>
        <v>1</v>
      </c>
    </row>
    <row r="1870" customFormat="false" ht="15" hidden="false" customHeight="false" outlineLevel="0" collapsed="false">
      <c r="A1870" s="0" t="s">
        <v>462</v>
      </c>
      <c r="B1870" s="0" t="s">
        <v>677</v>
      </c>
      <c r="C1870" s="0" t="s">
        <v>757</v>
      </c>
      <c r="D1870" s="0" t="n">
        <v>6</v>
      </c>
      <c r="E1870" s="0" t="n">
        <v>4</v>
      </c>
      <c r="F1870" s="0" t="n">
        <f aca="false">D1870*E1870</f>
        <v>24</v>
      </c>
      <c r="G1870" s="0" t="n">
        <f aca="false">ROUNDUP(F1870/75,0)</f>
        <v>1</v>
      </c>
    </row>
    <row r="1871" customFormat="false" ht="15" hidden="false" customHeight="false" outlineLevel="0" collapsed="false">
      <c r="A1871" s="0" t="s">
        <v>462</v>
      </c>
      <c r="B1871" s="0" t="s">
        <v>677</v>
      </c>
      <c r="C1871" s="0" t="s">
        <v>753</v>
      </c>
      <c r="D1871" s="0" t="n">
        <v>6</v>
      </c>
      <c r="E1871" s="0" t="n">
        <v>5</v>
      </c>
      <c r="F1871" s="0" t="n">
        <f aca="false">D1871*E1871</f>
        <v>30</v>
      </c>
      <c r="G1871" s="0" t="n">
        <f aca="false">ROUNDUP(F1871/75,0)</f>
        <v>1</v>
      </c>
    </row>
    <row r="1872" customFormat="false" ht="15" hidden="false" customHeight="false" outlineLevel="0" collapsed="false">
      <c r="A1872" s="0" t="s">
        <v>462</v>
      </c>
      <c r="B1872" s="0" t="s">
        <v>678</v>
      </c>
      <c r="C1872" s="0" t="s">
        <v>755</v>
      </c>
      <c r="D1872" s="0" t="n">
        <v>6</v>
      </c>
      <c r="E1872" s="0" t="n">
        <v>1</v>
      </c>
      <c r="F1872" s="0" t="n">
        <f aca="false">D1872*E1872</f>
        <v>6</v>
      </c>
      <c r="G1872" s="0" t="n">
        <f aca="false">ROUNDUP(F1872/75,0)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2026-10-25T19:17:15Z</dcterms:created>
  <dc:creator>openpyxl</dc:creator>
  <dc:description/>
  <dc:language>en-US</dc:language>
  <cp:lastModifiedBy/>
  <dcterms:modified xsi:type="dcterms:W3CDTF">2026-10-27T08:11:07Z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