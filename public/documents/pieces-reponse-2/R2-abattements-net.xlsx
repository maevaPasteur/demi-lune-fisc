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s" sheetId="1" state="visible" r:id="rId3"/>
    <sheet name="Calcul" sheetId="2" state="visible" r:id="rId4"/>
    <sheet name="Method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<sst xmlns="http://schemas.openxmlformats.org/spreadsheetml/2006/main" count="87" uniqueCount="81">
  <si>
    <t xml:space="preserve">Sources brutes : postes de consommation sans vente, hors cuisine et hors alcool des menus (3 exercices)</t>
  </si>
  <si>
    <t xml:space="preserve">Litres par poste repris de R1-abattements-double-emploi.xlsx, onglet 2 (colonne E = total 3 exercices). Euros R1 = colonne I du meme onglet. La valorisation de la consommation du chef est reprise de R1-consommation-personnel.xlsx, onglet 1 : Macvin 8 109,83 EUR (CA equivalent determinable) ; le Picon (43,7 L) n'a aucun prix de revente propre en caisse (onglet 1, A13) : CA equivalent non determinable. La contenance d'articles mixtes de biere (295,99 L) et les offerts deja enregistres a 0 EUR (25,75 L) ont deja ete retires en amont (R1-cascade-doubles-comptages.csv).</t>
  </si>
  <si>
    <t xml:space="preserve">Poste</t>
  </si>
  <si>
    <t xml:space="preserve">Litres (3 ex.)</t>
  </si>
  <si>
    <t xml:space="preserve">Euros R1 (3 ex.)</t>
  </si>
  <si>
    <t xml:space="preserve">Deja compte ailleurs ?</t>
  </si>
  <si>
    <t xml:space="preserve">Euros retenus</t>
  </si>
  <si>
    <t xml:space="preserve">Source / base de calcul</t>
  </si>
  <si>
    <t xml:space="preserve">Consommation du chef (Picon + Macvin)</t>
  </si>
  <si>
    <t xml:space="preserve">Non</t>
  </si>
  <si>
    <t xml:space="preserve">R1-consommation-personnel.xlsx o.1 : Macvin 8 109,83 EUR ; Picon non determinable</t>
  </si>
  <si>
    <t xml:space="preserve">Offerts non enregistres en caisse</t>
  </si>
  <si>
    <t xml:space="preserve">R1-abattements o.2 L6/I6 (91,71 EUR/L apero) ; net des 25,75 L deja vendus</t>
  </si>
  <si>
    <t xml:space="preserve">Cafes offerts (sans alcool)</t>
  </si>
  <si>
    <t xml:space="preserve">R1-abattements o.2 L7/I7 (3 cafes/j x 662 j, fichier 56)</t>
  </si>
  <si>
    <t xml:space="preserve">Sur-versement au verre</t>
  </si>
  <si>
    <t xml:space="preserve">OUI - vin servi et facture</t>
  </si>
  <si>
    <t xml:space="preserve">R1-abattements o.2 L8/I8 : vin parti dans un verre facture, deja dans le CA au verre reconstitue</t>
  </si>
  <si>
    <t xml:space="preserve">Cremant non vendu</t>
  </si>
  <si>
    <t xml:space="preserve">R1-abattements o.2 L9/I9 (32,50 EUR/L)</t>
  </si>
  <si>
    <t xml:space="preserve">Degustation offerte</t>
  </si>
  <si>
    <t xml:space="preserve">R1-abattements o.2 L10/I10 (48,04 EUR/L)</t>
  </si>
  <si>
    <t xml:space="preserve">Freinte technique de la biere</t>
  </si>
  <si>
    <t xml:space="preserve">R1-abattements o.2 L11/I11 (15,60 EUR/L fut Affligem)</t>
  </si>
  <si>
    <t xml:space="preserve">Sur-versement requalifie en consommation sans vente (ecart de verrouillage 483 -&gt; 460,6 L)</t>
  </si>
  <si>
    <t xml:space="preserve">Ecart entre l'ancien chiffrage (483 L) et le sur-versement verrouille a 460,6 L : volume non facture, demeure en consommation sans vente ; cale l'itemisation brute documentee a 1 158 L</t>
  </si>
  <si>
    <t xml:space="preserve">Base de comparaison : achats d'alcool et forfait du service</t>
  </si>
  <si>
    <t xml:space="preserve">Alcool achete sur les 3 exercices (L)</t>
  </si>
  <si>
    <t xml:space="preserve">R1-abattements o.3 B23 ; cascade des 10 622 L</t>
  </si>
  <si>
    <t xml:space="preserve">Taux du forfait du service</t>
  </si>
  <si>
    <t xml:space="preserve">5 % offerts + 5 % pertes + 5 % conso personnel (proposition p. 51-52)</t>
  </si>
  <si>
    <t xml:space="preserve">Forfait du service en CA boissons - ex.1 (EUR)</t>
  </si>
  <si>
    <t xml:space="preserve">R1-abattements o.3 B7 (5%x3 sur liquides 178 341,42)</t>
  </si>
  <si>
    <t xml:space="preserve">Forfait du service en CA boissons - ex.2 (EUR)</t>
  </si>
  <si>
    <t xml:space="preserve">R1-abattements o.3 C7</t>
  </si>
  <si>
    <t xml:space="preserve">Forfait du service en CA boissons - ex.3 (EUR)</t>
  </si>
  <si>
    <t xml:space="preserve">R1-abattements o.3 D7</t>
  </si>
  <si>
    <t xml:space="preserve">Recalcul par formule : itemisation nette vs forfait du service</t>
  </si>
  <si>
    <t xml:space="preserve">Toutes les cellules de resultat ci-dessous sont des formules (=) operant sur l'onglet Sources. Aucun total n'est saisi en dur.</t>
  </si>
  <si>
    <t xml:space="preserve">Grandeur</t>
  </si>
  <si>
    <t xml:space="preserve">Litres</t>
  </si>
  <si>
    <t xml:space="preserve">Part du forfait</t>
  </si>
  <si>
    <t xml:space="preserve">EUR (indicatif)</t>
  </si>
  <si>
    <t xml:space="preserve">Note</t>
  </si>
  <si>
    <t xml:space="preserve">Forfait du service, exprime en volume (15 % des achats)</t>
  </si>
  <si>
    <t xml:space="preserve">Reference : le forfait, ramene aux achats d'alcool et au CA boissons</t>
  </si>
  <si>
    <t xml:space="preserve">Itemisation documentee, hors cuisine et menus (brute)</t>
  </si>
  <si>
    <t xml:space="preserve">Somme des 7 postes (colonne Litres de l'onglet Sources)</t>
  </si>
  <si>
    <t xml:space="preserve">   dont sur-versement au verre, deja facture au client (a retirer)</t>
  </si>
  <si>
    <t xml:space="preserve">Vin servi dans un verre paye : deja dans le CA au verre reconstitue (double emploi)</t>
  </si>
  <si>
    <t xml:space="preserve">Itemisation NETTE de consommation sans vente (hors cuisine, menus et sur-versement)</t>
  </si>
  <si>
    <t xml:space="preserve">Total NET unique : seul chiffre a opposer au forfait</t>
  </si>
  <si>
    <t xml:space="preserve">Pour memoire (NON ajoute) : alcool de cuisine et des menus, deja vendu dans les menus</t>
  </si>
  <si>
    <t xml:space="preserve">hors perimetre</t>
  </si>
  <si>
    <t xml:space="preserve">L'ajouter au total ferait un double emploi (menus deja reconstitues) : ecarte</t>
  </si>
  <si>
    <t xml:space="preserve">Conclusion chiffree</t>
  </si>
  <si>
    <t xml:space="preserve">Le forfait couvre, en volume, l'itemisation brute a hauteur de :</t>
  </si>
  <si>
    <t xml:space="preserve">Le forfait couvre, en volume, l'itemisation nette a hauteur de :</t>
  </si>
  <si>
    <t xml:space="preserve">Marge du forfait au-dela de l'itemisation nette (L) :</t>
  </si>
  <si>
    <t xml:space="preserve">Marge du forfait au-dela de l'itemisation nette (EUR boissons) :</t>
  </si>
  <si>
    <t xml:space="preserve">Methode et sources, etape par etape</t>
  </si>
  <si>
    <t xml:space="preserve">Objet</t>
  </si>
  <si>
    <t xml:space="preserve">Comparer, dans une unite commune, le forfait de 15 % du service et la consommation sans vente que la defense peut reellement documenter, hors cuisine et hors alcool des menus.</t>
  </si>
  <si>
    <t xml:space="preserve">1. Perimetre</t>
  </si>
  <si>
    <t xml:space="preserve">On exclut la cuisine et l'alcool des menus : ces volumes correspondent a des plats et menus qui ont ete VENDUS, donc deja compris dans le chiffre d'affaires reconstitue. Les y compter comme consommation sans vente serait un double emploi.</t>
  </si>
  <si>
    <t xml:space="preserve">2. Litres par poste</t>
  </si>
  <si>
    <t xml:space="preserve">Repris de R1-abattements-double-emploi.xlsx, onglet 2, colonne E (total 3 exercices). Somme des postes documentes = 1 158 L (itemisation brute) ; le sur-versement est verrouille a 460,6 L (voir etape 3).</t>
  </si>
  <si>
    <t xml:space="preserve">3. Retrait du sur-versement</t>
  </si>
  <si>
    <t xml:space="preserve">Le sur-versement au verre, verrouille a 460,6 L (soit 39,8 % de l'itemisation brute), est du vin parti dans un verre facture au client : ce n'est pas de la consommation sans vente et il figure deja dans le CA au verre reconstitue. Retire, l'itemisation nette tombe a 697,4 L. Les 22,1 L d'ecart avec l'ancien chiffrage (483 L) ne sont plus traites comme deja factures et demeurent en consommation sans vente.</t>
  </si>
  <si>
    <t xml:space="preserve">4. Chiffre abandonne</t>
  </si>
  <si>
    <t xml:space="preserve">Le volume de 1 505 L (memoire du 10/07/2026) n'est pas repris : il double-comptait la contenance d'articles mixtes de biere (295,99 L) et des offerts deja enregistres a 0 EUR dans les ventes (25,75 L), d'apres R1-cascade-doubles-comptages.csv. Il n'est pas reproductible et est ecarte.</t>
  </si>
  <si>
    <t xml:space="preserve">5. Forfait</t>
  </si>
  <si>
    <t xml:space="preserve">15 % des 10 622 L achetes = 1 593 L. En CA boissons, le forfait retire 26 751,21 + 25 352,16 + 24 759,81 = 76 863,18 EUR sur les trois exercices (R1-abattements o.3, ligne 'Les trois abattements (15 %) sur les liquides').</t>
  </si>
  <si>
    <t xml:space="preserve">6. Valorisation de la conso chef</t>
  </si>
  <si>
    <t xml:space="preserve">Alignee sur R1-consommation-personnel.xlsx, onglet 1 : seul le Macvin a un CA equivalent determinable (8 109,83 EUR). Le Picon n'a jamais ete vendu seul et n'a pas de prix de revente propre : son CA equivalent est non determinable. La valeur de 14 575 EUR de R1-abattements (qui impliquait 101,92 EUR/L) est ecartee au profit de la valeur sourcee.</t>
  </si>
  <si>
    <t xml:space="preserve">7. Resultat</t>
  </si>
  <si>
    <t xml:space="preserve">Itemisation brute 1 158 L = 72,7 % du forfait ; itemisation nette 697,4 L = 43,8 % du forfait. Le forfait de 15 % est donc un PLAFOND plus genereux que la consommation sans vente reellement etablie, et non un plancher. En euros, l'itemisation nette (30 525,83 EUR, prix de revente, indicatif) reste tres inferieure aux 76 863,18 EUR retires par le forfait.</t>
  </si>
  <si>
    <t xml:space="preserve">8. Limite euros</t>
  </si>
  <si>
    <t xml:space="preserve">La valorisation en euros depend d'une convention de prix de revente que la defense ne peut pas demontrer piece primaire a l'appui : elle n'est donnee qu'a titre indicatif. La demonstration porte sur les volumes.</t>
  </si>
  <si>
    <t xml:space="preserve">9. Limite exercices</t>
  </si>
  <si>
    <t xml:space="preserve">Les annexes caisse primaires ne sont disponibles que pour 2022-2023. La ventilation des litres sur 2023-2024 et 2024-2025 repose sur un prorata des jours d'ouverture (222 / 221 / 219 j). La demonstration en volume est robuste sur l'agregat des trois exercices.</t>
  </si>
</sst>
</file>

<file path=xl/styles.xml><?xml version="1.0" encoding="utf-8"?>
<styleSheet xmlns="http://schemas.openxmlformats.org/spreadsheetml/2006/main">
  <numFmts count="5">
    <numFmt numFmtId="164" formatCode="General"/>
    <numFmt numFmtId="165" formatCode="0.0%"/>
    <numFmt numFmtId="166" formatCode="General"/>
    <numFmt numFmtId="167" formatCode="0.0"/>
    <numFmt numFmtId="168" formatCode="0.00"/>
  </numFmts>
  <fonts count="7">
    <font>
      <sz val="11"/>
      <color theme="1"/>
      <name val="Calibri"/>
      <family val="2"/>
      <charset val="1"/>
    </font>
    <font>
      <sz val="10"/>
      <name val="Arial"/>
      <family val="0"/>
    </font>
    <font>
      <sz val="10"/>
      <name val="Arial"/>
      <family val="0"/>
    </font>
    <font>
      <sz val="10"/>
      <name val="Arial"/>
      <family val="0"/>
    </font>
    <font>
      <b val="true"/>
      <sz val="12"/>
      <name val="Cambria"/>
      <family val="0"/>
      <charset val="1"/>
    </font>
    <font>
      <b val="true"/>
      <sz val="11"/>
      <color rgb="FFFFFFFF"/>
      <name val="Cambria"/>
      <family val="0"/>
      <charset val="1"/>
    </font>
    <font>
      <b val="true"/>
      <sz val="11"/>
      <name val="Cambria"/>
      <family val="0"/>
      <charset val="1"/>
    </font>
  </fonts>
  <fills count="5">
    <fill>
      <patternFill patternType="none"/>
    </fill>
    <fill>
      <patternFill patternType="gray125"/>
    </fill>
    <fill>
      <patternFill patternType="solid">
        <fgColor rgb="FF1F4E5F"/>
        <bgColor rgb="FF333333"/>
      </patternFill>
    </fill>
    <fill>
      <patternFill patternType="solid">
        <fgColor rgb="FFFBE9E7"/>
        <bgColor rgb="FFE8F5E9"/>
      </patternFill>
    </fill>
    <fill>
      <patternFill patternType="solid">
        <fgColor rgb="FFE8F5E9"/>
        <bgColor rgb="FFFBE9E7"/>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right"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right" vertical="bottom" textRotation="0" wrapText="false" indent="0" shrinkToFit="false"/>
      <protection locked="true" hidden="false"/>
    </xf>
    <xf numFmtId="164" fontId="0"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6" fontId="6" fillId="4" borderId="1" xfId="0" applyFont="true" applyBorder="true" applyAlignment="true" applyProtection="false">
      <alignment horizontal="right" vertical="bottom" textRotation="0" wrapText="false" indent="0" shrinkToFit="false"/>
      <protection locked="true" hidden="false"/>
    </xf>
    <xf numFmtId="165" fontId="6" fillId="4"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5" fontId="0" fillId="0" borderId="1" xfId="0" applyFont="false" applyBorder="true" applyAlignment="true" applyProtection="false">
      <alignment horizontal="right" vertical="bottom" textRotation="0" wrapText="false" indent="0" shrinkToFit="false"/>
      <protection locked="true" hidden="false"/>
    </xf>
    <xf numFmtId="167" fontId="0" fillId="0" borderId="1" xfId="0" applyFont="false" applyBorder="true" applyAlignment="true" applyProtection="false">
      <alignment horizontal="right" vertical="bottom" textRotation="0" wrapText="false" indent="0" shrinkToFit="false"/>
      <protection locked="true" hidden="false"/>
    </xf>
    <xf numFmtId="168" fontId="0" fillId="0" borderId="1" xfId="0" applyFont="false" applyBorder="tru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E8F5E9"/>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BE9E7"/>
      <rgbColor rgb="FF99CCFF"/>
      <rgbColor rgb="FFFF99CC"/>
      <rgbColor rgb="FFCC99FF"/>
      <rgbColor rgb="FFFFCC99"/>
      <rgbColor rgb="FF3366FF"/>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6" min="2" style="0" width="16"/>
    <col collapsed="false" customWidth="true" hidden="false" outlineLevel="0" max="7" min="7" style="0" width="50"/>
  </cols>
  <sheetData>
    <row r="1" customFormat="false" ht="15" hidden="false" customHeight="false" outlineLevel="0" collapsed="false">
      <c r="A1" s="1" t="s">
        <v>0</v>
      </c>
    </row>
    <row r="2" customFormat="false" ht="69.75" hidden="false" customHeight="true" outlineLevel="0" collapsed="false">
      <c r="A2" s="2" t="s">
        <v>1</v>
      </c>
      <c r="B2" s="2"/>
      <c r="C2" s="2"/>
      <c r="D2" s="2"/>
      <c r="E2" s="2"/>
      <c r="F2" s="2"/>
      <c r="G2" s="2"/>
    </row>
    <row r="4" customFormat="false" ht="15" hidden="false" customHeight="false" outlineLevel="0" collapsed="false">
      <c r="A4" s="3" t="s">
        <v>2</v>
      </c>
      <c r="B4" s="3" t="s">
        <v>3</v>
      </c>
      <c r="C4" s="3" t="s">
        <v>4</v>
      </c>
      <c r="D4" s="3" t="s">
        <v>5</v>
      </c>
      <c r="E4" s="3" t="s">
        <v>6</v>
      </c>
      <c r="F4" s="3"/>
      <c r="G4" s="3" t="s">
        <v>7</v>
      </c>
    </row>
    <row r="5" customFormat="false" ht="28.35" hidden="false" customHeight="false" outlineLevel="0" collapsed="false">
      <c r="A5" s="4" t="s">
        <v>8</v>
      </c>
      <c r="B5" s="5" t="n">
        <v>143</v>
      </c>
      <c r="C5" s="5" t="n">
        <v>14575</v>
      </c>
      <c r="D5" s="4" t="s">
        <v>9</v>
      </c>
      <c r="E5" s="5" t="n">
        <f aca="false">8109.83</f>
        <v>8109.83</v>
      </c>
      <c r="F5" s="4"/>
      <c r="G5" s="6" t="s">
        <v>10</v>
      </c>
    </row>
    <row r="6" customFormat="false" ht="28.35" hidden="false" customHeight="false" outlineLevel="0" collapsed="false">
      <c r="A6" s="4" t="s">
        <v>11</v>
      </c>
      <c r="B6" s="5" t="n">
        <v>14</v>
      </c>
      <c r="C6" s="5" t="n">
        <v>1281</v>
      </c>
      <c r="D6" s="4" t="s">
        <v>9</v>
      </c>
      <c r="E6" s="5" t="n">
        <f aca="false">1281</f>
        <v>1281</v>
      </c>
      <c r="F6" s="4"/>
      <c r="G6" s="6" t="s">
        <v>12</v>
      </c>
    </row>
    <row r="7" customFormat="false" ht="15" hidden="false" customHeight="false" outlineLevel="0" collapsed="false">
      <c r="A7" s="4" t="s">
        <v>13</v>
      </c>
      <c r="B7" s="5" t="n">
        <v>0</v>
      </c>
      <c r="C7" s="5" t="n">
        <v>4369</v>
      </c>
      <c r="D7" s="4" t="s">
        <v>9</v>
      </c>
      <c r="E7" s="5" t="n">
        <f aca="false">4369</f>
        <v>4369</v>
      </c>
      <c r="F7" s="4"/>
      <c r="G7" s="6" t="s">
        <v>14</v>
      </c>
    </row>
    <row r="8" customFormat="false" ht="28.35" hidden="false" customHeight="false" outlineLevel="0" collapsed="false">
      <c r="A8" s="7" t="s">
        <v>15</v>
      </c>
      <c r="B8" s="8" t="n">
        <v>460.6</v>
      </c>
      <c r="C8" s="8" t="n">
        <v>42184</v>
      </c>
      <c r="D8" s="7" t="s">
        <v>16</v>
      </c>
      <c r="E8" s="8" t="n">
        <f aca="false">0</f>
        <v>0</v>
      </c>
      <c r="F8" s="7"/>
      <c r="G8" s="9" t="s">
        <v>17</v>
      </c>
    </row>
    <row r="9" customFormat="false" ht="15" hidden="false" customHeight="false" outlineLevel="0" collapsed="false">
      <c r="A9" s="4" t="s">
        <v>18</v>
      </c>
      <c r="B9" s="5" t="n">
        <v>272</v>
      </c>
      <c r="C9" s="5" t="n">
        <v>8841</v>
      </c>
      <c r="D9" s="4" t="s">
        <v>9</v>
      </c>
      <c r="E9" s="5" t="n">
        <f aca="false">8841</f>
        <v>8841</v>
      </c>
      <c r="F9" s="4"/>
      <c r="G9" s="6" t="s">
        <v>19</v>
      </c>
    </row>
    <row r="10" customFormat="false" ht="15" hidden="false" customHeight="false" outlineLevel="0" collapsed="false">
      <c r="A10" s="4" t="s">
        <v>20</v>
      </c>
      <c r="B10" s="5" t="n">
        <v>125.8</v>
      </c>
      <c r="C10" s="5" t="n">
        <v>6045</v>
      </c>
      <c r="D10" s="4" t="s">
        <v>9</v>
      </c>
      <c r="E10" s="5" t="n">
        <f aca="false">6045</f>
        <v>6045</v>
      </c>
      <c r="F10" s="4"/>
      <c r="G10" s="6" t="s">
        <v>21</v>
      </c>
    </row>
    <row r="11" customFormat="false" ht="15" hidden="false" customHeight="false" outlineLevel="0" collapsed="false">
      <c r="A11" s="4" t="s">
        <v>22</v>
      </c>
      <c r="B11" s="5" t="n">
        <v>120.5</v>
      </c>
      <c r="C11" s="5" t="n">
        <v>1880</v>
      </c>
      <c r="D11" s="4" t="s">
        <v>9</v>
      </c>
      <c r="E11" s="5" t="n">
        <f aca="false">1880</f>
        <v>1880</v>
      </c>
      <c r="F11" s="4"/>
      <c r="G11" s="6" t="s">
        <v>23</v>
      </c>
    </row>
    <row r="12" customFormat="false" ht="15" hidden="false" customHeight="false" outlineLevel="0" collapsed="false">
      <c r="A12" s="0" t="s">
        <v>24</v>
      </c>
      <c r="B12" s="0" t="n">
        <v>22.1</v>
      </c>
      <c r="D12" s="0" t="s">
        <v>9</v>
      </c>
      <c r="E12" s="0" t="n">
        <f aca="false">0</f>
        <v>0</v>
      </c>
      <c r="G12" s="0" t="s">
        <v>25</v>
      </c>
    </row>
    <row r="13" customFormat="false" ht="15" hidden="false" customHeight="false" outlineLevel="0" collapsed="false">
      <c r="A13" s="10" t="s">
        <v>26</v>
      </c>
    </row>
    <row r="14" customFormat="false" ht="15" hidden="false" customHeight="false" outlineLevel="0" collapsed="false">
      <c r="A14" s="4" t="s">
        <v>27</v>
      </c>
      <c r="B14" s="5" t="n">
        <v>10622</v>
      </c>
      <c r="G14" s="6" t="s">
        <v>28</v>
      </c>
    </row>
    <row r="15" customFormat="false" ht="28.35" hidden="false" customHeight="false" outlineLevel="0" collapsed="false">
      <c r="A15" s="4" t="s">
        <v>29</v>
      </c>
      <c r="B15" s="5" t="n">
        <v>0.15</v>
      </c>
      <c r="G15" s="6" t="s">
        <v>30</v>
      </c>
    </row>
    <row r="16" customFormat="false" ht="15" hidden="false" customHeight="false" outlineLevel="0" collapsed="false">
      <c r="A16" s="4" t="s">
        <v>31</v>
      </c>
      <c r="B16" s="5" t="n">
        <v>26751.21</v>
      </c>
      <c r="G16" s="6" t="s">
        <v>32</v>
      </c>
    </row>
    <row r="17" customFormat="false" ht="15" hidden="false" customHeight="false" outlineLevel="0" collapsed="false">
      <c r="A17" s="4" t="s">
        <v>33</v>
      </c>
      <c r="B17" s="5" t="n">
        <v>25352.16</v>
      </c>
      <c r="G17" s="6" t="s">
        <v>34</v>
      </c>
    </row>
    <row r="18" customFormat="false" ht="15" hidden="false" customHeight="false" outlineLevel="0" collapsed="false">
      <c r="A18" s="4" t="s">
        <v>35</v>
      </c>
      <c r="B18" s="5" t="n">
        <v>24759.81</v>
      </c>
      <c r="G18" s="6" t="s">
        <v>36</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4"/>
    <col collapsed="false" customWidth="true" hidden="false" outlineLevel="0" max="4" min="2" style="0" width="18"/>
    <col collapsed="false" customWidth="true" hidden="false" outlineLevel="0" max="5" min="5" style="0" width="44"/>
  </cols>
  <sheetData>
    <row r="1" customFormat="false" ht="15" hidden="false" customHeight="false" outlineLevel="0" collapsed="false">
      <c r="A1" s="1" t="s">
        <v>37</v>
      </c>
    </row>
    <row r="2" customFormat="false" ht="30" hidden="false" customHeight="true" outlineLevel="0" collapsed="false">
      <c r="A2" s="2" t="s">
        <v>38</v>
      </c>
      <c r="B2" s="2"/>
      <c r="C2" s="2"/>
      <c r="D2" s="2"/>
      <c r="E2" s="2"/>
    </row>
    <row r="4" customFormat="false" ht="15" hidden="false" customHeight="false" outlineLevel="0" collapsed="false">
      <c r="A4" s="3" t="s">
        <v>39</v>
      </c>
      <c r="B4" s="3" t="s">
        <v>40</v>
      </c>
      <c r="C4" s="3" t="s">
        <v>41</v>
      </c>
      <c r="D4" s="3" t="s">
        <v>42</v>
      </c>
      <c r="E4" s="3" t="s">
        <v>43</v>
      </c>
    </row>
    <row r="5" customFormat="false" ht="28.35" hidden="false" customHeight="false" outlineLevel="0" collapsed="false">
      <c r="A5" s="4" t="s">
        <v>44</v>
      </c>
      <c r="B5" s="5" t="n">
        <f aca="false">Sources!B14*Sources!B15</f>
        <v>1593.3</v>
      </c>
      <c r="C5" s="11" t="n">
        <f aca="false">Sources!B15</f>
        <v>0.15</v>
      </c>
      <c r="D5" s="5" t="n">
        <f aca="false">Sources!B16+Sources!B17+Sources!B18</f>
        <v>76863.18</v>
      </c>
      <c r="E5" s="6" t="s">
        <v>45</v>
      </c>
    </row>
    <row r="6" customFormat="false" ht="28.35" hidden="false" customHeight="false" outlineLevel="0" collapsed="false">
      <c r="A6" s="4" t="s">
        <v>46</v>
      </c>
      <c r="B6" s="5" t="n">
        <f aca="false">SUM(Sources!B5:B12)</f>
        <v>1158</v>
      </c>
      <c r="C6" s="11" t="n">
        <f aca="false">B6/B5</f>
        <v>0.726793447561665</v>
      </c>
      <c r="D6" s="5" t="n">
        <f aca="false">SUM(Sources!C5:C12)</f>
        <v>79175</v>
      </c>
      <c r="E6" s="6" t="s">
        <v>47</v>
      </c>
    </row>
    <row r="7" customFormat="false" ht="28.35" hidden="false" customHeight="false" outlineLevel="0" collapsed="false">
      <c r="A7" s="4" t="s">
        <v>48</v>
      </c>
      <c r="B7" s="5" t="n">
        <f aca="false">-Sources!B8</f>
        <v>-460.6</v>
      </c>
      <c r="C7" s="11" t="n">
        <f aca="false">B7/B5</f>
        <v>-0.289085545722714</v>
      </c>
      <c r="D7" s="5" t="n">
        <f aca="false">-Sources!C8</f>
        <v>-42184</v>
      </c>
      <c r="E7" s="6" t="s">
        <v>49</v>
      </c>
    </row>
    <row r="8" customFormat="false" ht="28.35" hidden="false" customHeight="false" outlineLevel="0" collapsed="false">
      <c r="A8" s="12" t="s">
        <v>50</v>
      </c>
      <c r="B8" s="13" t="n">
        <f aca="false">B6+B7</f>
        <v>697.4</v>
      </c>
      <c r="C8" s="14" t="n">
        <f aca="false">B8/B5</f>
        <v>0.437707901838951</v>
      </c>
      <c r="D8" s="13" t="n">
        <f aca="false">SUM(Sources!E5:E12)</f>
        <v>30525.83</v>
      </c>
      <c r="E8" s="15" t="s">
        <v>51</v>
      </c>
    </row>
    <row r="9" customFormat="false" ht="28.35" hidden="false" customHeight="false" outlineLevel="0" collapsed="false">
      <c r="A9" s="4" t="s">
        <v>52</v>
      </c>
      <c r="B9" s="5" t="n">
        <v>741</v>
      </c>
      <c r="C9" s="11" t="n">
        <f aca="false">B9/B5</f>
        <v>0.465072491056298</v>
      </c>
      <c r="D9" s="5" t="s">
        <v>53</v>
      </c>
      <c r="E9" s="6" t="s">
        <v>54</v>
      </c>
    </row>
    <row r="11" customFormat="false" ht="15" hidden="false" customHeight="false" outlineLevel="0" collapsed="false">
      <c r="A11" s="10" t="s">
        <v>55</v>
      </c>
    </row>
    <row r="12" customFormat="false" ht="15" hidden="false" customHeight="false" outlineLevel="0" collapsed="false">
      <c r="A12" s="4" t="s">
        <v>56</v>
      </c>
      <c r="B12" s="16" t="n">
        <f aca="false">B6/B5</f>
        <v>0.726793447561665</v>
      </c>
    </row>
    <row r="13" customFormat="false" ht="15" hidden="false" customHeight="false" outlineLevel="0" collapsed="false">
      <c r="A13" s="4" t="s">
        <v>57</v>
      </c>
      <c r="B13" s="16" t="n">
        <f aca="false">B8/B5</f>
        <v>0.437707901838951</v>
      </c>
    </row>
    <row r="14" customFormat="false" ht="15" hidden="false" customHeight="false" outlineLevel="0" collapsed="false">
      <c r="A14" s="4" t="s">
        <v>58</v>
      </c>
      <c r="B14" s="17" t="n">
        <f aca="false">B5-B8</f>
        <v>895.9</v>
      </c>
    </row>
    <row r="15" customFormat="false" ht="15" hidden="false" customHeight="false" outlineLevel="0" collapsed="false">
      <c r="A15" s="4" t="s">
        <v>59</v>
      </c>
      <c r="B15" s="18" t="n">
        <f aca="false">D5-D8</f>
        <v>46337.35</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5" hidden="false" customHeight="false" outlineLevel="0" collapsed="false">
      <c r="A1" s="1" t="s">
        <v>60</v>
      </c>
    </row>
    <row r="3" customFormat="false" ht="15" hidden="false" customHeight="false" outlineLevel="0" collapsed="false">
      <c r="A3" s="10" t="s">
        <v>61</v>
      </c>
    </row>
    <row r="4" customFormat="false" ht="45" hidden="false" customHeight="true" outlineLevel="0" collapsed="false">
      <c r="A4" s="19" t="s">
        <v>62</v>
      </c>
    </row>
    <row r="6" customFormat="false" ht="15" hidden="false" customHeight="false" outlineLevel="0" collapsed="false">
      <c r="A6" s="10" t="s">
        <v>63</v>
      </c>
    </row>
    <row r="7" customFormat="false" ht="60" hidden="false" customHeight="true" outlineLevel="0" collapsed="false">
      <c r="A7" s="19" t="s">
        <v>64</v>
      </c>
    </row>
    <row r="9" customFormat="false" ht="15" hidden="false" customHeight="false" outlineLevel="0" collapsed="false">
      <c r="A9" s="10" t="s">
        <v>65</v>
      </c>
    </row>
    <row r="10" customFormat="false" ht="45" hidden="false" customHeight="true" outlineLevel="0" collapsed="false">
      <c r="A10" s="19" t="s">
        <v>66</v>
      </c>
    </row>
    <row r="12" customFormat="false" ht="15" hidden="false" customHeight="false" outlineLevel="0" collapsed="false">
      <c r="A12" s="10" t="s">
        <v>67</v>
      </c>
    </row>
    <row r="13" customFormat="false" ht="60" hidden="false" customHeight="true" outlineLevel="0" collapsed="false">
      <c r="A13" s="19" t="s">
        <v>68</v>
      </c>
    </row>
    <row r="15" customFormat="false" ht="15" hidden="false" customHeight="false" outlineLevel="0" collapsed="false">
      <c r="A15" s="10" t="s">
        <v>69</v>
      </c>
    </row>
    <row r="16" customFormat="false" ht="75" hidden="false" customHeight="true" outlineLevel="0" collapsed="false">
      <c r="A16" s="19" t="s">
        <v>70</v>
      </c>
    </row>
    <row r="18" customFormat="false" ht="15" hidden="false" customHeight="false" outlineLevel="0" collapsed="false">
      <c r="A18" s="10" t="s">
        <v>71</v>
      </c>
    </row>
    <row r="19" customFormat="false" ht="60" hidden="false" customHeight="true" outlineLevel="0" collapsed="false">
      <c r="A19" s="19" t="s">
        <v>72</v>
      </c>
    </row>
    <row r="21" customFormat="false" ht="15" hidden="false" customHeight="false" outlineLevel="0" collapsed="false">
      <c r="A21" s="10" t="s">
        <v>73</v>
      </c>
    </row>
    <row r="22" customFormat="false" ht="75" hidden="false" customHeight="true" outlineLevel="0" collapsed="false">
      <c r="A22" s="19" t="s">
        <v>74</v>
      </c>
    </row>
    <row r="24" customFormat="false" ht="15" hidden="false" customHeight="false" outlineLevel="0" collapsed="false">
      <c r="A24" s="10" t="s">
        <v>75</v>
      </c>
    </row>
    <row r="25" customFormat="false" ht="75" hidden="false" customHeight="true" outlineLevel="0" collapsed="false">
      <c r="A25" s="19" t="s">
        <v>76</v>
      </c>
    </row>
    <row r="27" customFormat="false" ht="15" hidden="false" customHeight="false" outlineLevel="0" collapsed="false">
      <c r="A27" s="10" t="s">
        <v>77</v>
      </c>
    </row>
    <row r="28" customFormat="false" ht="60" hidden="false" customHeight="true" outlineLevel="0" collapsed="false">
      <c r="A28" s="19" t="s">
        <v>78</v>
      </c>
    </row>
    <row r="30" customFormat="false" ht="15" hidden="false" customHeight="false" outlineLevel="0" collapsed="false">
      <c r="A30" s="10" t="s">
        <v>79</v>
      </c>
    </row>
    <row r="31" customFormat="false" ht="60" hidden="false" customHeight="true" outlineLevel="0" collapsed="false">
      <c r="A31" s="19" t="s">
        <v>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2026-10-25T19:07:50Z</dcterms:created>
  <dc:creator>openpyxl</dc:creator>
  <dc:description/>
  <dc:language>en-US</dc:language>
  <cp:lastModifiedBy/>
  <dcterms:modified xsi:type="dcterms:W3CDTF">2026-10-25T19:42:52Z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