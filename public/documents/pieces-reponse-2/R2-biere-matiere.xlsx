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urces" sheetId="1" state="visible" r:id="rId3"/>
    <sheet name="Calcul" sheetId="2" state="visible" r:id="rId4"/>
    <sheet name="Métho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<sst xmlns="http://schemas.openxmlformats.org/spreadsheetml/2006/main" count="184" uniqueCount="125">
  <si>
    <t xml:space="preserve">SOURCES : données brutes recopiées des pièces primaires (valeurs en dur) ; tout résultat est une formule dans l'onglet Calcul</t>
  </si>
  <si>
    <t xml:space="preserve">SARL LA DEMI LUNE, grief O « Perte de bières ». Quantités : annexes C1/C2/C3 (détail des tickets, agrégation par référence). Fûts et volumes : annexes 6, 7 et finale de la proposition du 18/05/2026.</t>
  </si>
  <si>
    <t xml:space="preserve">A. Quantités de caisse 2022-2023 (ANNEXE-C1)</t>
  </si>
  <si>
    <t xml:space="preserve">Réf.</t>
  </si>
  <si>
    <t xml:space="preserve">Article</t>
  </si>
  <si>
    <t xml:space="preserve">Qté 2022-2023</t>
  </si>
  <si>
    <t xml:space="preserve">2005</t>
  </si>
  <si>
    <t xml:space="preserve">pression</t>
  </si>
  <si>
    <t xml:space="preserve">1989</t>
  </si>
  <si>
    <t xml:space="preserve">Pinte</t>
  </si>
  <si>
    <t xml:space="preserve">0099</t>
  </si>
  <si>
    <t xml:space="preserve">Panaché</t>
  </si>
  <si>
    <t xml:space="preserve">0353</t>
  </si>
  <si>
    <t xml:space="preserve">Picon bière</t>
  </si>
  <si>
    <t xml:space="preserve">1991</t>
  </si>
  <si>
    <t xml:space="preserve">Pinte Picon</t>
  </si>
  <si>
    <t xml:space="preserve">0354</t>
  </si>
  <si>
    <t xml:space="preserve">Monaco</t>
  </si>
  <si>
    <t xml:space="preserve">TOTAL unités 2022-2023</t>
  </si>
  <si>
    <t xml:space="preserve">B. Quantités de caisse 2023-2024 (ANNEXE-C2, corroborée D2)</t>
  </si>
  <si>
    <t xml:space="preserve">Qté 2023-2024</t>
  </si>
  <si>
    <t xml:space="preserve">TOTAL unités 2023-2024</t>
  </si>
  <si>
    <t xml:space="preserve">C. Quantités de caisse 2024-2025 (ANNEXE-C3, corroborée D3 et annexe finale, Picon arrondi à 124 par le service)</t>
  </si>
  <si>
    <t xml:space="preserve">Qté 2024-2025</t>
  </si>
  <si>
    <t xml:space="preserve">TOTAL unités 2024-2025</t>
  </si>
  <si>
    <t xml:space="preserve">D. Doses (cl) : service = proposition p. 50 ; défense = part bière effective ; contenance = verre</t>
  </si>
  <si>
    <t xml:space="preserve">Contenance verre</t>
  </si>
  <si>
    <t xml:space="preserve">Part bière SERVICE</t>
  </si>
  <si>
    <t xml:space="preserve">Part bière DÉFENSE</t>
  </si>
  <si>
    <t xml:space="preserve">E. Fûts Affligem Blade 8 L : annexe 6 du service (p. 29, 35, 41) et factures FCBS</t>
  </si>
  <si>
    <t xml:space="preserve">Exercice</t>
  </si>
  <si>
    <t xml:space="preserve">Achats FCBS (annexe 6)</t>
  </si>
  <si>
    <t xml:space="preserve">Stock ouverture</t>
  </si>
  <si>
    <t xml:space="preserve">Stock clôture</t>
  </si>
  <si>
    <t xml:space="preserve">Disponibles (annexe 6)</t>
  </si>
  <si>
    <t xml:space="preserve">Fûts lus sur nos factures</t>
  </si>
  <si>
    <t xml:space="preserve">dont gratuits (remise 100 %)</t>
  </si>
  <si>
    <t xml:space="preserve">Avoir (fûts)</t>
  </si>
  <si>
    <t xml:space="preserve">2022-2023</t>
  </si>
  <si>
    <t xml:space="preserve">2023-2024</t>
  </si>
  <si>
    <t xml:space="preserve">2024-2025</t>
  </si>
  <si>
    <t xml:space="preserve">TOTAL</t>
  </si>
  <si>
    <t xml:space="preserve">F. Bloc bière des annexes 7 (p. 57, p. 71) et de l'annexe finale (p. 2-3), tel que le service l'écrit</t>
  </si>
  <si>
    <t xml:space="preserve">Volume disponible (cl)</t>
  </si>
  <si>
    <t xml:space="preserve">Abattement 15 % (cl)</t>
  </si>
  <si>
    <t xml:space="preserve">Quantités nettes (cl)</t>
  </si>
  <si>
    <t xml:space="preserve">Vendu caisse selon service (cl)</t>
  </si>
  <si>
    <t xml:space="preserve">Volumes disparus affichés</t>
  </si>
  <si>
    <t xml:space="preserve">CA bière reconstitué TTC (€)</t>
  </si>
  <si>
    <t xml:space="preserve">Coefficient liquides→solides</t>
  </si>
  <si>
    <t xml:space="preserve">Forfait 5 % de fin de méthode (€, si certifié)</t>
  </si>
  <si>
    <t xml:space="preserve">G. Paramètres</t>
  </si>
  <si>
    <t xml:space="preserve">Volume résiduel admis par fût vide (L)</t>
  </si>
  <si>
    <t xml:space="preserve">manuel Blade ch. 6.3 p. 28 : « 1,5 % (120 ml) »</t>
  </si>
  <si>
    <t xml:space="preserve">Contenance du fût (L)</t>
  </si>
  <si>
    <t xml:space="preserve">manuel Blade ch. 9.1 p. 31</t>
  </si>
  <si>
    <t xml:space="preserve">Taux de freinte retenu (borne basse, ESTIMÉ)</t>
  </si>
  <si>
    <t xml:space="preserve">sources techniques 5 %-20 %</t>
  </si>
  <si>
    <t xml:space="preserve">Taux du 1er abattement du service</t>
  </si>
  <si>
    <t xml:space="preserve">proposition p. 51</t>
  </si>
  <si>
    <t xml:space="preserve">Taux du 2e abattement (3 × 5 %)</t>
  </si>
  <si>
    <t xml:space="preserve">Contenance d'un fût de 30 L (comparaison)</t>
  </si>
  <si>
    <t xml:space="preserve">CALCUL : tous les résultats sont des formules renvoyant à l'onglet Sources</t>
  </si>
  <si>
    <t xml:space="preserve">1. Trois lectures de l'assiette par exercice (L), freinte, résidu</t>
  </si>
  <si>
    <t xml:space="preserve">Contenance</t>
  </si>
  <si>
    <t xml:space="preserve">Doses service</t>
  </si>
  <si>
    <t xml:space="preserve">Nos doses (assiette)</t>
  </si>
  <si>
    <t xml:space="preserve">Vendu selon annexes 7 (L)</t>
  </si>
  <si>
    <t xml:space="preserve">Freinte 10 % (nos doses)</t>
  </si>
  <si>
    <t xml:space="preserve">Résidu fin de fût (fûts disponibles × 0,12 L)</t>
  </si>
  <si>
    <t xml:space="preserve">2. La freinte contre le 1er abattement du service (15 % du volume DISPONIBLE), par exercice</t>
  </si>
  <si>
    <t xml:space="preserve">Volume disponible (L)</t>
  </si>
  <si>
    <t xml:space="preserve">1er abattement (L)</t>
  </si>
  <si>
    <t xml:space="preserve">Notre freinte (L)</t>
  </si>
  <si>
    <t xml:space="preserve">Rapport abattement / freinte</t>
  </si>
  <si>
    <t xml:space="preserve">Freinte &lt; abattement ?</t>
  </si>
  <si>
    <t xml:space="preserve">3. Assiette et freinte illustrative</t>
  </si>
  <si>
    <t xml:space="preserve">Assiette totale 3 exercices (L)</t>
  </si>
  <si>
    <t xml:space="preserve">Freinte illustrative 10 % (L)</t>
  </si>
  <si>
    <t xml:space="preserve">dont résidu de fin de fût documenté (L)</t>
  </si>
  <si>
    <t xml:space="preserve">Résidu en % de la freinte</t>
  </si>
  <si>
    <t xml:space="preserve">Freinte en % du volume disponible</t>
  </si>
  <si>
    <t xml:space="preserve">Solde estimé, non documenté (L)</t>
  </si>
  <si>
    <t xml:space="preserve">4. Composition des deux abattements (3 exercices, volume disponible)</t>
  </si>
  <si>
    <t xml:space="preserve">1er abattement 15 % (L)</t>
  </si>
  <si>
    <t xml:space="preserve">Reste après 1er abattement (L)</t>
  </si>
  <si>
    <t xml:space="preserve">2e abattement 15 % du reste, équivalent-litres (L)</t>
  </si>
  <si>
    <t xml:space="preserve">dont un forfait de 5 % (L)</t>
  </si>
  <si>
    <t xml:space="preserve">Total retiré (L)</t>
  </si>
  <si>
    <t xml:space="preserve">Taux réellement retiré</t>
  </si>
  <si>
    <t xml:space="preserve">Contrôle 1 − 0,85 × 0,85</t>
  </si>
  <si>
    <t xml:space="preserve">5. Contrôle des annexes du service (volumes nets et « volumes disparus »)</t>
  </si>
  <si>
    <t xml:space="preserve">Dispo − 15 % (cl)</t>
  </si>
  <si>
    <t xml:space="preserve">Écart avec « quantités nettes »</t>
  </si>
  <si>
    <t xml:space="preserve">(net − vendu) / net</t>
  </si>
  <si>
    <t xml:space="preserve">Écart avec le % affiché</t>
  </si>
  <si>
    <t xml:space="preserve">6. Événements-fût</t>
  </si>
  <si>
    <t xml:space="preserve">Fûts mis en perce (disponibles)</t>
  </si>
  <si>
    <t xml:space="preserve">Litres servis par fût</t>
  </si>
  <si>
    <t xml:space="preserve">Mises en perce pour 100 L servis</t>
  </si>
  <si>
    <t xml:space="preserve">Fûts de 30 L équivalents</t>
  </si>
  <si>
    <t xml:space="preserve">Mises en perce pour 100 L servis, en fûts de 30 L</t>
  </si>
  <si>
    <t xml:space="preserve">7. Grille par événement-fût (aucune valeur retenue sauf 12 cl)</t>
  </si>
  <si>
    <t xml:space="preserve">Perte par fût (cl)</t>
  </si>
  <si>
    <t xml:space="preserve">Sur les fûts disponibles (L)</t>
  </si>
  <si>
    <t xml:space="preserve">% de la bière servie</t>
  </si>
  <si>
    <t xml:space="preserve">% du volume disponible</t>
  </si>
  <si>
    <t xml:space="preserve">Si fûts de 30 L (L)</t>
  </si>
  <si>
    <t xml:space="preserve">8. Euros par point de freinte (modèle du service) et dégrèvement</t>
  </si>
  <si>
    <t xml:space="preserve">1 % du disponible (cl)</t>
  </si>
  <si>
    <t xml:space="preserve">CA bière par cl net (€)</t>
  </si>
  <si>
    <t xml:space="preserve">CA liquides par point (€)</t>
  </si>
  <si>
    <t xml:space="preserve">CA total par point, après 2e abattement et coefficient (€)</t>
  </si>
  <si>
    <t xml:space="preserve">Cinq points sur 3 exercices (€)</t>
  </si>
  <si>
    <t xml:space="preserve">Excédent de freinte au-delà du 1er abattement (L)</t>
  </si>
  <si>
    <t xml:space="preserve">DÉGRÈVEMENT DEMANDÉ au titre de la freinte (€)</t>
  </si>
  <si>
    <t xml:space="preserve">MÉTHODE : d'où vient chaque chiffre</t>
  </si>
  <si>
    <t xml:space="preserve">1. Quantités (Sources A-C) : annexes C1, C2, C3 (détail des tickets), agrégées par référence de caisse 2005/1989/0099/0353/1991/0354. Totaux 1 563,5 ; 1 311,5 ; 1 323,5 unités.</t>
  </si>
  <si>
    <t xml:space="preserve">2. Doses (Sources D) : service p. 50 ; défense = part bière effective (panaché et Monaco 12,5 cl, Picon 21/42 cl), qui joue contre la société (assiette plus basse). Assiette retenue (Calcul bloc 1, colonne D) : 1 213,3 L. Monaco réintégré sur les 3 exercices.</t>
  </si>
  <si>
    <t xml:space="preserve">3. Fûts (Sources E) : annexe 6 du service, p. 29/35/41 : achats FCBS 103/82/80, stocks 12→4→4→5, disponibles 111/82/79 = 272 fûts mis en perce. Nos factures lisent 103/83/80 (dont 8 fûts à remise de 100 % et un avoir de 2 fûts le 14/03/2025). Le résidu constructeur (0,12 L) est compté sur les fûts disponibles : 32,6 L.</t>
  </si>
  <si>
    <t xml:space="preserve">4. Volumes du service (Sources F) : annexes 7 p. 57 et p. 71, annexe finale p. 2 : 88 800 / 65 600 / 63 200 cl disponibles, 15 % = 13 320 / 9 840 / 9 480 cl. Calcul bloc 5 : ces nets et les « volumes disparus » (41,58 / 29,90 / 27,12 %) se recalculent à 0,00 près.</t>
  </si>
  <si>
    <t xml:space="preserve">5. Freinte (Calcul bloc 1-3) : 10 % de la bière sortie du fût, borne basse ESTIMÉE ; 121,3 L dont 32,6 L documentés. Bloc 2 : sur chaque exercice la freinte est inférieure au 1er abattement du service (133,2 / 98,4 / 94,8 L) : dégrèvement 0 € (bloc 8).</t>
  </si>
  <si>
    <t xml:space="preserve">6. Composition (bloc 4) : 1 − 0,85 × 0,85 = 27,75 %, non 30 % ; en litres sur 2 176 L : 326,4 + 277,4 = 603,8 L. Le 2e abattement est converti en équivalent-litres pour lecture ; il porte en réalité sur le CA liquides de toutes les boissons (3 × 8 253,27 € en 2024-2025, seul exercice certifié).</t>
  </si>
  <si>
    <t xml:space="preserve">7. Euros (bloc 8) : CA bière reconstitué ÷ quantités nettes = € par cl ; 1 point = 1 % du disponible ; × 0,85 puis × (1 + coefficient 2,94 / 3,02 / 3,10). Pour mémoire seulement.</t>
  </si>
  <si>
    <t xml:space="preserve">Recalcul : LibreOffice headless ; aucune valeur de résultat saisie à la main.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</si>
</sst>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2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0" t="s">
        <v>3</v>
      </c>
      <c r="B4" s="0" t="s">
        <v>4</v>
      </c>
      <c r="C4" s="0" t="s">
        <v>5</v>
      </c>
    </row>
    <row r="5" customFormat="false" ht="15" hidden="false" customHeight="false" outlineLevel="0" collapsed="false">
      <c r="A5" s="0" t="s">
        <v>6</v>
      </c>
      <c r="B5" s="0" t="s">
        <v>7</v>
      </c>
      <c r="C5" s="0" t="n">
        <v>901.5</v>
      </c>
    </row>
    <row r="6" customFormat="false" ht="15" hidden="false" customHeight="false" outlineLevel="0" collapsed="false">
      <c r="A6" s="0" t="s">
        <v>8</v>
      </c>
      <c r="B6" s="0" t="s">
        <v>9</v>
      </c>
      <c r="C6" s="0" t="n">
        <v>282.5</v>
      </c>
    </row>
    <row r="7" customFormat="false" ht="15" hidden="false" customHeight="false" outlineLevel="0" collapsed="false">
      <c r="A7" s="0" t="s">
        <v>10</v>
      </c>
      <c r="B7" s="0" t="s">
        <v>11</v>
      </c>
      <c r="C7" s="0" t="n">
        <v>147</v>
      </c>
    </row>
    <row r="8" customFormat="false" ht="15" hidden="false" customHeight="false" outlineLevel="0" collapsed="false">
      <c r="A8" s="0" t="s">
        <v>12</v>
      </c>
      <c r="B8" s="0" t="s">
        <v>13</v>
      </c>
      <c r="C8" s="0" t="n">
        <v>129</v>
      </c>
    </row>
    <row r="9" customFormat="false" ht="15" hidden="false" customHeight="false" outlineLevel="0" collapsed="false">
      <c r="A9" s="0" t="s">
        <v>14</v>
      </c>
      <c r="B9" s="0" t="s">
        <v>15</v>
      </c>
      <c r="C9" s="0" t="n">
        <v>37</v>
      </c>
    </row>
    <row r="10" customFormat="false" ht="15" hidden="false" customHeight="false" outlineLevel="0" collapsed="false">
      <c r="A10" s="0" t="s">
        <v>16</v>
      </c>
      <c r="B10" s="0" t="s">
        <v>17</v>
      </c>
      <c r="C10" s="0" t="n">
        <v>66.5</v>
      </c>
    </row>
    <row r="11" customFormat="false" ht="15" hidden="false" customHeight="false" outlineLevel="0" collapsed="false">
      <c r="B11" s="0" t="s">
        <v>18</v>
      </c>
      <c r="C11" s="0" t="n">
        <f aca="false">SUM(C5:C10)</f>
        <v>1563.5</v>
      </c>
    </row>
    <row r="13" customFormat="false" ht="15" hidden="false" customHeight="false" outlineLevel="0" collapsed="false">
      <c r="A13" s="1" t="s">
        <v>19</v>
      </c>
    </row>
    <row r="14" customFormat="false" ht="15" hidden="false" customHeight="false" outlineLevel="0" collapsed="false">
      <c r="A14" s="0" t="s">
        <v>3</v>
      </c>
      <c r="B14" s="0" t="s">
        <v>4</v>
      </c>
      <c r="C14" s="0" t="s">
        <v>20</v>
      </c>
    </row>
    <row r="15" customFormat="false" ht="15" hidden="false" customHeight="false" outlineLevel="0" collapsed="false">
      <c r="A15" s="0" t="s">
        <v>6</v>
      </c>
      <c r="B15" s="0" t="s">
        <v>7</v>
      </c>
      <c r="C15" s="0" t="n">
        <v>670</v>
      </c>
    </row>
    <row r="16" customFormat="false" ht="15" hidden="false" customHeight="false" outlineLevel="0" collapsed="false">
      <c r="A16" s="0" t="s">
        <v>8</v>
      </c>
      <c r="B16" s="0" t="s">
        <v>9</v>
      </c>
      <c r="C16" s="0" t="n">
        <v>286.5</v>
      </c>
    </row>
    <row r="17" customFormat="false" ht="15" hidden="false" customHeight="false" outlineLevel="0" collapsed="false">
      <c r="A17" s="0" t="s">
        <v>10</v>
      </c>
      <c r="B17" s="0" t="s">
        <v>11</v>
      </c>
      <c r="C17" s="0" t="n">
        <v>102.5</v>
      </c>
    </row>
    <row r="18" customFormat="false" ht="15" hidden="false" customHeight="false" outlineLevel="0" collapsed="false">
      <c r="A18" s="0" t="s">
        <v>12</v>
      </c>
      <c r="B18" s="0" t="s">
        <v>13</v>
      </c>
      <c r="C18" s="0" t="n">
        <v>130</v>
      </c>
    </row>
    <row r="19" customFormat="false" ht="15" hidden="false" customHeight="false" outlineLevel="0" collapsed="false">
      <c r="A19" s="0" t="s">
        <v>14</v>
      </c>
      <c r="B19" s="0" t="s">
        <v>15</v>
      </c>
      <c r="C19" s="0" t="n">
        <v>66.5</v>
      </c>
    </row>
    <row r="20" customFormat="false" ht="15" hidden="false" customHeight="false" outlineLevel="0" collapsed="false">
      <c r="A20" s="0" t="s">
        <v>16</v>
      </c>
      <c r="B20" s="0" t="s">
        <v>17</v>
      </c>
      <c r="C20" s="0" t="n">
        <v>56</v>
      </c>
    </row>
    <row r="21" customFormat="false" ht="15" hidden="false" customHeight="false" outlineLevel="0" collapsed="false">
      <c r="B21" s="0" t="s">
        <v>21</v>
      </c>
      <c r="C21" s="0" t="n">
        <f aca="false">SUM(C15:C20)</f>
        <v>1311.5</v>
      </c>
    </row>
    <row r="23" customFormat="false" ht="15" hidden="false" customHeight="false" outlineLevel="0" collapsed="false">
      <c r="A23" s="1" t="s">
        <v>22</v>
      </c>
    </row>
    <row r="24" customFormat="false" ht="15" hidden="false" customHeight="false" outlineLevel="0" collapsed="false">
      <c r="A24" s="0" t="s">
        <v>3</v>
      </c>
      <c r="B24" s="0" t="s">
        <v>4</v>
      </c>
      <c r="C24" s="0" t="s">
        <v>23</v>
      </c>
    </row>
    <row r="25" customFormat="false" ht="15" hidden="false" customHeight="false" outlineLevel="0" collapsed="false">
      <c r="A25" s="0" t="s">
        <v>6</v>
      </c>
      <c r="B25" s="0" t="s">
        <v>7</v>
      </c>
      <c r="C25" s="0" t="n">
        <v>662</v>
      </c>
    </row>
    <row r="26" customFormat="false" ht="15" hidden="false" customHeight="false" outlineLevel="0" collapsed="false">
      <c r="A26" s="0" t="s">
        <v>8</v>
      </c>
      <c r="B26" s="0" t="s">
        <v>9</v>
      </c>
      <c r="C26" s="0" t="n">
        <v>308</v>
      </c>
    </row>
    <row r="27" customFormat="false" ht="15" hidden="false" customHeight="false" outlineLevel="0" collapsed="false">
      <c r="A27" s="0" t="s">
        <v>10</v>
      </c>
      <c r="B27" s="0" t="s">
        <v>11</v>
      </c>
      <c r="C27" s="0" t="n">
        <v>97</v>
      </c>
    </row>
    <row r="28" customFormat="false" ht="15" hidden="false" customHeight="false" outlineLevel="0" collapsed="false">
      <c r="A28" s="0" t="s">
        <v>12</v>
      </c>
      <c r="B28" s="0" t="s">
        <v>13</v>
      </c>
      <c r="C28" s="0" t="n">
        <v>123.5</v>
      </c>
    </row>
    <row r="29" customFormat="false" ht="15" hidden="false" customHeight="false" outlineLevel="0" collapsed="false">
      <c r="A29" s="0" t="s">
        <v>14</v>
      </c>
      <c r="B29" s="0" t="s">
        <v>15</v>
      </c>
      <c r="C29" s="0" t="n">
        <v>59</v>
      </c>
    </row>
    <row r="30" customFormat="false" ht="15" hidden="false" customHeight="false" outlineLevel="0" collapsed="false">
      <c r="A30" s="0" t="s">
        <v>16</v>
      </c>
      <c r="B30" s="0" t="s">
        <v>17</v>
      </c>
      <c r="C30" s="0" t="n">
        <v>74</v>
      </c>
    </row>
    <row r="31" customFormat="false" ht="15" hidden="false" customHeight="false" outlineLevel="0" collapsed="false">
      <c r="B31" s="0" t="s">
        <v>24</v>
      </c>
      <c r="C31" s="0" t="n">
        <f aca="false">SUM(C25:C30)</f>
        <v>1323.5</v>
      </c>
    </row>
    <row r="33" customFormat="false" ht="15" hidden="false" customHeight="false" outlineLevel="0" collapsed="false">
      <c r="A33" s="1" t="s">
        <v>25</v>
      </c>
    </row>
    <row r="34" customFormat="false" ht="15" hidden="false" customHeight="false" outlineLevel="0" collapsed="false">
      <c r="A34" s="0" t="s">
        <v>4</v>
      </c>
      <c r="B34" s="0" t="s">
        <v>26</v>
      </c>
      <c r="C34" s="0" t="s">
        <v>27</v>
      </c>
      <c r="D34" s="0" t="s">
        <v>28</v>
      </c>
    </row>
    <row r="35" customFormat="false" ht="15" hidden="false" customHeight="false" outlineLevel="0" collapsed="false">
      <c r="A35" s="0" t="s">
        <v>7</v>
      </c>
      <c r="B35" s="0" t="n">
        <v>25</v>
      </c>
      <c r="C35" s="0" t="n">
        <v>25</v>
      </c>
      <c r="D35" s="0" t="n">
        <v>25</v>
      </c>
    </row>
    <row r="36" customFormat="false" ht="15" hidden="false" customHeight="false" outlineLevel="0" collapsed="false">
      <c r="A36" s="0" t="s">
        <v>9</v>
      </c>
      <c r="B36" s="0" t="n">
        <v>50</v>
      </c>
      <c r="C36" s="0" t="n">
        <v>50</v>
      </c>
      <c r="D36" s="0" t="n">
        <v>50</v>
      </c>
    </row>
    <row r="37" customFormat="false" ht="15" hidden="false" customHeight="false" outlineLevel="0" collapsed="false">
      <c r="A37" s="0" t="s">
        <v>11</v>
      </c>
      <c r="B37" s="0" t="n">
        <v>25</v>
      </c>
      <c r="C37" s="0" t="n">
        <v>11</v>
      </c>
      <c r="D37" s="0" t="n">
        <v>12.5</v>
      </c>
    </row>
    <row r="38" customFormat="false" ht="15" hidden="false" customHeight="false" outlineLevel="0" collapsed="false">
      <c r="A38" s="0" t="s">
        <v>13</v>
      </c>
      <c r="B38" s="0" t="n">
        <v>25</v>
      </c>
      <c r="C38" s="0" t="n">
        <v>22</v>
      </c>
      <c r="D38" s="0" t="n">
        <v>21</v>
      </c>
    </row>
    <row r="39" customFormat="false" ht="15" hidden="false" customHeight="false" outlineLevel="0" collapsed="false">
      <c r="A39" s="0" t="s">
        <v>15</v>
      </c>
      <c r="B39" s="0" t="n">
        <v>50</v>
      </c>
      <c r="C39" s="0" t="n">
        <v>44</v>
      </c>
      <c r="D39" s="0" t="n">
        <v>42</v>
      </c>
    </row>
    <row r="40" customFormat="false" ht="15" hidden="false" customHeight="false" outlineLevel="0" collapsed="false">
      <c r="A40" s="0" t="s">
        <v>17</v>
      </c>
      <c r="B40" s="0" t="n">
        <v>25</v>
      </c>
      <c r="C40" s="0" t="n">
        <v>15</v>
      </c>
      <c r="D40" s="0" t="n">
        <v>12.5</v>
      </c>
    </row>
    <row r="42" customFormat="false" ht="15" hidden="false" customHeight="false" outlineLevel="0" collapsed="false">
      <c r="A42" s="1" t="s">
        <v>29</v>
      </c>
    </row>
    <row r="43" customFormat="false" ht="15" hidden="false" customHeight="false" outlineLevel="0" collapsed="false">
      <c r="A43" s="0" t="s">
        <v>30</v>
      </c>
      <c r="B43" s="0" t="s">
        <v>31</v>
      </c>
      <c r="C43" s="0" t="s">
        <v>32</v>
      </c>
      <c r="D43" s="0" t="s">
        <v>33</v>
      </c>
      <c r="E43" s="0" t="s">
        <v>34</v>
      </c>
      <c r="F43" s="0" t="s">
        <v>35</v>
      </c>
      <c r="G43" s="0" t="s">
        <v>36</v>
      </c>
      <c r="H43" s="0" t="s">
        <v>37</v>
      </c>
    </row>
    <row r="44" customFormat="false" ht="15" hidden="false" customHeight="false" outlineLevel="0" collapsed="false">
      <c r="A44" s="0" t="s">
        <v>38</v>
      </c>
      <c r="B44" s="0" t="n">
        <v>103</v>
      </c>
      <c r="C44" s="0" t="n">
        <v>12</v>
      </c>
      <c r="D44" s="0" t="n">
        <v>4</v>
      </c>
      <c r="E44" s="0" t="n">
        <v>111</v>
      </c>
      <c r="F44" s="0" t="n">
        <v>103</v>
      </c>
      <c r="G44" s="0" t="n">
        <v>4</v>
      </c>
      <c r="H44" s="0" t="n">
        <v>0</v>
      </c>
    </row>
    <row r="45" customFormat="false" ht="15" hidden="false" customHeight="false" outlineLevel="0" collapsed="false">
      <c r="A45" s="0" t="s">
        <v>39</v>
      </c>
      <c r="B45" s="0" t="n">
        <v>82</v>
      </c>
      <c r="C45" s="0" t="n">
        <v>4</v>
      </c>
      <c r="D45" s="0" t="n">
        <v>4</v>
      </c>
      <c r="E45" s="0" t="n">
        <v>82</v>
      </c>
      <c r="F45" s="0" t="n">
        <v>83</v>
      </c>
      <c r="G45" s="0" t="n">
        <v>4</v>
      </c>
      <c r="H45" s="0" t="n">
        <v>0</v>
      </c>
    </row>
    <row r="46" customFormat="false" ht="15" hidden="false" customHeight="false" outlineLevel="0" collapsed="false">
      <c r="A46" s="0" t="s">
        <v>40</v>
      </c>
      <c r="B46" s="0" t="n">
        <v>80</v>
      </c>
      <c r="C46" s="0" t="n">
        <v>4</v>
      </c>
      <c r="D46" s="0" t="n">
        <v>5</v>
      </c>
      <c r="E46" s="0" t="n">
        <v>79</v>
      </c>
      <c r="F46" s="0" t="n">
        <v>80</v>
      </c>
      <c r="G46" s="0" t="n">
        <v>0</v>
      </c>
      <c r="H46" s="0" t="n">
        <v>2</v>
      </c>
    </row>
    <row r="47" customFormat="false" ht="15" hidden="false" customHeight="false" outlineLevel="0" collapsed="false">
      <c r="A47" s="0" t="s">
        <v>41</v>
      </c>
      <c r="B47" s="0" t="n">
        <f aca="false">SUM(B44:B46)</f>
        <v>265</v>
      </c>
      <c r="E47" s="0" t="n">
        <f aca="false">SUM(E44:E46)</f>
        <v>272</v>
      </c>
      <c r="F47" s="0" t="n">
        <f aca="false">SUM(F44:F46)</f>
        <v>266</v>
      </c>
      <c r="G47" s="0" t="n">
        <f aca="false">SUM(G44:G46)</f>
        <v>8</v>
      </c>
      <c r="H47" s="0" t="n">
        <f aca="false">SUM(H44:H46)</f>
        <v>2</v>
      </c>
    </row>
    <row r="49" customFormat="false" ht="15" hidden="false" customHeight="false" outlineLevel="0" collapsed="false">
      <c r="A49" s="1" t="s">
        <v>42</v>
      </c>
    </row>
    <row r="50" customFormat="false" ht="15" hidden="false" customHeight="false" outlineLevel="0" collapsed="false">
      <c r="A50" s="0" t="s">
        <v>30</v>
      </c>
      <c r="B50" s="0" t="s">
        <v>43</v>
      </c>
      <c r="C50" s="0" t="s">
        <v>44</v>
      </c>
      <c r="D50" s="0" t="s">
        <v>45</v>
      </c>
      <c r="E50" s="0" t="s">
        <v>46</v>
      </c>
      <c r="F50" s="0" t="s">
        <v>47</v>
      </c>
      <c r="G50" s="0" t="s">
        <v>48</v>
      </c>
      <c r="H50" s="0" t="s">
        <v>49</v>
      </c>
      <c r="I50" s="0" t="s">
        <v>50</v>
      </c>
    </row>
    <row r="51" customFormat="false" ht="15" hidden="false" customHeight="false" outlineLevel="0" collapsed="false">
      <c r="A51" s="0" t="s">
        <v>38</v>
      </c>
      <c r="B51" s="0" t="n">
        <v>88800</v>
      </c>
      <c r="C51" s="0" t="n">
        <v>13320</v>
      </c>
      <c r="D51" s="0" t="n">
        <v>75480</v>
      </c>
      <c r="E51" s="0" t="n">
        <v>44097</v>
      </c>
      <c r="F51" s="0" t="n">
        <v>0.4158</v>
      </c>
      <c r="G51" s="0" t="n">
        <v>9677.94</v>
      </c>
      <c r="H51" s="0" t="n">
        <v>2.94</v>
      </c>
    </row>
    <row r="52" customFormat="false" ht="15" hidden="false" customHeight="false" outlineLevel="0" collapsed="false">
      <c r="A52" s="0" t="s">
        <v>39</v>
      </c>
      <c r="B52" s="0" t="n">
        <v>65600</v>
      </c>
      <c r="C52" s="0" t="n">
        <v>9840</v>
      </c>
      <c r="D52" s="0" t="n">
        <v>55760</v>
      </c>
      <c r="E52" s="0" t="n">
        <v>39087</v>
      </c>
      <c r="F52" s="0" t="n">
        <v>0.299</v>
      </c>
      <c r="G52" s="0" t="n">
        <v>7201.18</v>
      </c>
      <c r="H52" s="0" t="n">
        <v>3.02</v>
      </c>
    </row>
    <row r="53" customFormat="false" ht="15" hidden="false" customHeight="false" outlineLevel="0" collapsed="false">
      <c r="A53" s="0" t="s">
        <v>40</v>
      </c>
      <c r="B53" s="0" t="n">
        <v>63200</v>
      </c>
      <c r="C53" s="0" t="n">
        <v>9480</v>
      </c>
      <c r="D53" s="0" t="n">
        <v>53720</v>
      </c>
      <c r="E53" s="0" t="n">
        <v>39151</v>
      </c>
      <c r="F53" s="0" t="n">
        <v>0.2712</v>
      </c>
      <c r="G53" s="0" t="n">
        <v>7180.52</v>
      </c>
      <c r="H53" s="0" t="n">
        <v>3.1</v>
      </c>
      <c r="I53" s="0" t="n">
        <v>8253.27</v>
      </c>
    </row>
    <row r="55" customFormat="false" ht="15" hidden="false" customHeight="false" outlineLevel="0" collapsed="false">
      <c r="A55" s="1" t="s">
        <v>51</v>
      </c>
    </row>
    <row r="56" customFormat="false" ht="15" hidden="false" customHeight="false" outlineLevel="0" collapsed="false">
      <c r="A56" s="0" t="s">
        <v>52</v>
      </c>
      <c r="B56" s="0" t="n">
        <v>0.12</v>
      </c>
      <c r="C56" s="0" t="s">
        <v>53</v>
      </c>
    </row>
    <row r="57" customFormat="false" ht="15" hidden="false" customHeight="false" outlineLevel="0" collapsed="false">
      <c r="A57" s="0" t="s">
        <v>54</v>
      </c>
      <c r="B57" s="0" t="n">
        <v>8</v>
      </c>
      <c r="C57" s="0" t="s">
        <v>55</v>
      </c>
    </row>
    <row r="58" customFormat="false" ht="15" hidden="false" customHeight="false" outlineLevel="0" collapsed="false">
      <c r="A58" s="0" t="s">
        <v>56</v>
      </c>
      <c r="B58" s="0" t="n">
        <v>0.1</v>
      </c>
      <c r="C58" s="0" t="s">
        <v>57</v>
      </c>
    </row>
    <row r="59" customFormat="false" ht="15" hidden="false" customHeight="false" outlineLevel="0" collapsed="false">
      <c r="A59" s="0" t="s">
        <v>58</v>
      </c>
      <c r="B59" s="0" t="n">
        <v>0.15</v>
      </c>
      <c r="C59" s="0" t="s">
        <v>59</v>
      </c>
    </row>
    <row r="60" customFormat="false" ht="15" hidden="false" customHeight="false" outlineLevel="0" collapsed="false">
      <c r="A60" s="0" t="s">
        <v>60</v>
      </c>
      <c r="B60" s="0" t="n">
        <v>0.15</v>
      </c>
      <c r="C60" s="0" t="s">
        <v>59</v>
      </c>
    </row>
    <row r="61" customFormat="false" ht="15" hidden="false" customHeight="false" outlineLevel="0" collapsed="false">
      <c r="A61" s="0" t="s">
        <v>61</v>
      </c>
      <c r="B61" s="0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22"/>
  </cols>
  <sheetData>
    <row r="1" customFormat="false" ht="15" hidden="false" customHeight="false" outlineLevel="0" collapsed="false">
      <c r="A1" s="1" t="s">
        <v>62</v>
      </c>
    </row>
    <row r="2" customFormat="false" ht="15" hidden="false" customHeight="false" outlineLevel="0" collapsed="false">
      <c r="A2" s="1" t="s">
        <v>63</v>
      </c>
    </row>
    <row r="3" customFormat="false" ht="15" hidden="false" customHeight="false" outlineLevel="0" collapsed="false">
      <c r="A3" s="0" t="s">
        <v>30</v>
      </c>
      <c r="B3" s="0" t="s">
        <v>64</v>
      </c>
      <c r="C3" s="0" t="s">
        <v>65</v>
      </c>
      <c r="D3" s="0" t="s">
        <v>66</v>
      </c>
      <c r="E3" s="0" t="s">
        <v>67</v>
      </c>
      <c r="F3" s="0" t="s">
        <v>68</v>
      </c>
      <c r="G3" s="0" t="s">
        <v>69</v>
      </c>
    </row>
    <row r="4" customFormat="false" ht="15" hidden="false" customHeight="false" outlineLevel="0" collapsed="false">
      <c r="A4" s="0" t="s">
        <v>38</v>
      </c>
      <c r="B4" s="0" t="n">
        <f aca="false">Sources!C5*Sources!B35/100+Sources!C6*Sources!B36/100+Sources!C7*Sources!B37/100+Sources!C8*Sources!B38/100+Sources!C9*Sources!B39/100+Sources!C10*Sources!B40/100</f>
        <v>470.75</v>
      </c>
      <c r="C4" s="0" t="n">
        <f aca="false">Sources!C5*Sources!C35/100+Sources!C6*Sources!C36/100+Sources!C7*Sources!C37/100+Sources!C8*Sources!C38/100+Sources!C9*Sources!C39/100+Sources!C10*Sources!C40/100</f>
        <v>437.43</v>
      </c>
      <c r="D4" s="0" t="n">
        <f aca="false">Sources!C5*Sources!D35/100+Sources!C6*Sources!D36/100+Sources!C7*Sources!D37/100+Sources!C8*Sources!D38/100+Sources!C9*Sources!D39/100+Sources!C10*Sources!D40/100</f>
        <v>435.9425</v>
      </c>
      <c r="E4" s="0" t="n">
        <f aca="false">Sources!E51/100</f>
        <v>440.97</v>
      </c>
      <c r="F4" s="0" t="n">
        <f aca="false">D4*Sources!$B$58</f>
        <v>43.59425</v>
      </c>
      <c r="G4" s="0" t="n">
        <f aca="false">Sources!E44*Sources!$B$56</f>
        <v>13.32</v>
      </c>
    </row>
    <row r="5" customFormat="false" ht="15" hidden="false" customHeight="false" outlineLevel="0" collapsed="false">
      <c r="A5" s="0" t="s">
        <v>39</v>
      </c>
      <c r="B5" s="0" t="n">
        <f aca="false">Sources!C15*Sources!B35/100+Sources!C16*Sources!B36/100+Sources!C17*Sources!B37/100+Sources!C18*Sources!B38/100+Sources!C19*Sources!B39/100+Sources!C20*Sources!B40/100</f>
        <v>416.125</v>
      </c>
      <c r="C5" s="0" t="n">
        <f aca="false">Sources!C15*Sources!C35/100+Sources!C16*Sources!C36/100+Sources!C17*Sources!C37/100+Sources!C18*Sources!C38/100+Sources!C19*Sources!C39/100+Sources!C20*Sources!C40/100</f>
        <v>388.285</v>
      </c>
      <c r="D5" s="0" t="n">
        <f aca="false">Sources!C15*Sources!D35/100+Sources!C16*Sources!D36/100+Sources!C17*Sources!D37/100+Sources!C18*Sources!D38/100+Sources!C19*Sources!D39/100+Sources!C20*Sources!D40/100</f>
        <v>385.7925</v>
      </c>
      <c r="E5" s="0" t="n">
        <f aca="false">Sources!E52/100</f>
        <v>390.87</v>
      </c>
      <c r="F5" s="0" t="n">
        <f aca="false">D5*Sources!$B$58</f>
        <v>38.57925</v>
      </c>
      <c r="G5" s="0" t="n">
        <f aca="false">Sources!E45*Sources!$B$56</f>
        <v>9.84</v>
      </c>
    </row>
    <row r="6" customFormat="false" ht="15" hidden="false" customHeight="false" outlineLevel="0" collapsed="false">
      <c r="A6" s="0" t="s">
        <v>40</v>
      </c>
      <c r="B6" s="0" t="n">
        <f aca="false">Sources!C25*Sources!B35/100+Sources!C26*Sources!B36/100+Sources!C27*Sources!B37/100+Sources!C28*Sources!B38/100+Sources!C29*Sources!B39/100+Sources!C30*Sources!B40/100</f>
        <v>422.625</v>
      </c>
      <c r="C6" s="0" t="n">
        <f aca="false">Sources!C25*Sources!C35/100+Sources!C26*Sources!C36/100+Sources!C27*Sources!C37/100+Sources!C28*Sources!C38/100+Sources!C29*Sources!C39/100+Sources!C30*Sources!C40/100</f>
        <v>394.4</v>
      </c>
      <c r="D6" s="0" t="n">
        <f aca="false">Sources!C25*Sources!D35/100+Sources!C26*Sources!D36/100+Sources!C27*Sources!D37/100+Sources!C28*Sources!D38/100+Sources!C29*Sources!D39/100+Sources!C30*Sources!D40/100</f>
        <v>391.59</v>
      </c>
      <c r="E6" s="0" t="n">
        <f aca="false">Sources!E53/100</f>
        <v>391.51</v>
      </c>
      <c r="F6" s="0" t="n">
        <f aca="false">D6*Sources!$B$58</f>
        <v>39.159</v>
      </c>
      <c r="G6" s="0" t="n">
        <f aca="false">Sources!E46*Sources!$B$56</f>
        <v>9.48</v>
      </c>
    </row>
    <row r="7" customFormat="false" ht="15" hidden="false" customHeight="false" outlineLevel="0" collapsed="false">
      <c r="A7" s="0" t="s">
        <v>41</v>
      </c>
      <c r="B7" s="0" t="n">
        <f aca="false">SUM(B4:B6)</f>
        <v>1309.5</v>
      </c>
      <c r="C7" s="0" t="n">
        <f aca="false">SUM(C4:C6)</f>
        <v>1220.115</v>
      </c>
      <c r="D7" s="0" t="n">
        <f aca="false">SUM(D4:D6)</f>
        <v>1213.325</v>
      </c>
      <c r="E7" s="0" t="n">
        <f aca="false">SUM(E4:E6)</f>
        <v>1223.35</v>
      </c>
      <c r="F7" s="0" t="n">
        <f aca="false">SUM(F4:F6)</f>
        <v>121.3325</v>
      </c>
      <c r="G7" s="0" t="n">
        <f aca="false">SUM(G4:G6)</f>
        <v>32.64</v>
      </c>
    </row>
    <row r="9" customFormat="false" ht="15" hidden="false" customHeight="false" outlineLevel="0" collapsed="false">
      <c r="A9" s="1" t="s">
        <v>70</v>
      </c>
    </row>
    <row r="10" customFormat="false" ht="15" hidden="false" customHeight="false" outlineLevel="0" collapsed="false">
      <c r="A10" s="0" t="s">
        <v>30</v>
      </c>
      <c r="B10" s="0" t="s">
        <v>71</v>
      </c>
      <c r="C10" s="0" t="s">
        <v>72</v>
      </c>
      <c r="D10" s="0" t="s">
        <v>73</v>
      </c>
      <c r="E10" s="0" t="s">
        <v>74</v>
      </c>
      <c r="F10" s="0" t="s">
        <v>75</v>
      </c>
    </row>
    <row r="11" customFormat="false" ht="15" hidden="false" customHeight="false" outlineLevel="0" collapsed="false">
      <c r="A11" s="0" t="s">
        <v>38</v>
      </c>
      <c r="B11" s="0" t="n">
        <f aca="false">Sources!B51/100</f>
        <v>888</v>
      </c>
      <c r="C11" s="0" t="n">
        <f aca="false">Sources!C51/100</f>
        <v>133.2</v>
      </c>
      <c r="D11" s="0" t="n">
        <f aca="false">F4</f>
        <v>43.59425</v>
      </c>
      <c r="E11" s="0" t="n">
        <f aca="false">C11/D11</f>
        <v>3.05544882639339</v>
      </c>
      <c r="F11" s="0" t="str">
        <f aca="false">IF(D11&lt;C11,"OUI","NON")</f>
        <v>OUI</v>
      </c>
    </row>
    <row r="12" customFormat="false" ht="15" hidden="false" customHeight="false" outlineLevel="0" collapsed="false">
      <c r="A12" s="0" t="s">
        <v>39</v>
      </c>
      <c r="B12" s="0" t="n">
        <f aca="false">Sources!B52/100</f>
        <v>656</v>
      </c>
      <c r="C12" s="0" t="n">
        <f aca="false">Sources!C52/100</f>
        <v>98.4</v>
      </c>
      <c r="D12" s="0" t="n">
        <f aca="false">F5</f>
        <v>38.57925</v>
      </c>
      <c r="E12" s="0" t="n">
        <f aca="false">C12/D12</f>
        <v>2.55059390734657</v>
      </c>
      <c r="F12" s="0" t="str">
        <f aca="false">IF(D12&lt;C12,"OUI","NON")</f>
        <v>OUI</v>
      </c>
    </row>
    <row r="13" customFormat="false" ht="15" hidden="false" customHeight="false" outlineLevel="0" collapsed="false">
      <c r="A13" s="0" t="s">
        <v>40</v>
      </c>
      <c r="B13" s="0" t="n">
        <f aca="false">Sources!B53/100</f>
        <v>632</v>
      </c>
      <c r="C13" s="0" t="n">
        <f aca="false">Sources!C53/100</f>
        <v>94.8</v>
      </c>
      <c r="D13" s="0" t="n">
        <f aca="false">F6</f>
        <v>39.159</v>
      </c>
      <c r="E13" s="0" t="n">
        <f aca="false">C13/D13</f>
        <v>2.4208994100973</v>
      </c>
      <c r="F13" s="0" t="str">
        <f aca="false">IF(D13&lt;C13,"OUI","NON")</f>
        <v>OUI</v>
      </c>
    </row>
    <row r="14" customFormat="false" ht="15" hidden="false" customHeight="false" outlineLevel="0" collapsed="false">
      <c r="A14" s="0" t="s">
        <v>41</v>
      </c>
      <c r="B14" s="0" t="n">
        <f aca="false">SUM(B11:B13)</f>
        <v>2176</v>
      </c>
      <c r="C14" s="0" t="n">
        <f aca="false">SUM(C11:C13)</f>
        <v>326.4</v>
      </c>
      <c r="D14" s="0" t="n">
        <f aca="false">SUM(D11:D13)</f>
        <v>121.3325</v>
      </c>
      <c r="E14" s="0" t="n">
        <f aca="false">C14/D14</f>
        <v>2.69012836626625</v>
      </c>
      <c r="F14" s="0" t="str">
        <f aca="false">IF(D14&lt;C14,"OUI","NON")</f>
        <v>OUI</v>
      </c>
    </row>
    <row r="16" customFormat="false" ht="15" hidden="false" customHeight="false" outlineLevel="0" collapsed="false">
      <c r="A16" s="1" t="s">
        <v>76</v>
      </c>
    </row>
    <row r="17" customFormat="false" ht="15" hidden="false" customHeight="false" outlineLevel="0" collapsed="false">
      <c r="A17" s="0" t="s">
        <v>77</v>
      </c>
      <c r="B17" s="0" t="n">
        <f aca="false">D7</f>
        <v>1213.325</v>
      </c>
    </row>
    <row r="18" customFormat="false" ht="15" hidden="false" customHeight="false" outlineLevel="0" collapsed="false">
      <c r="A18" s="0" t="s">
        <v>78</v>
      </c>
      <c r="B18" s="0" t="n">
        <f aca="false">F7</f>
        <v>121.3325</v>
      </c>
    </row>
    <row r="19" customFormat="false" ht="15" hidden="false" customHeight="false" outlineLevel="0" collapsed="false">
      <c r="A19" s="0" t="s">
        <v>79</v>
      </c>
      <c r="B19" s="0" t="n">
        <f aca="false">G7</f>
        <v>32.64</v>
      </c>
    </row>
    <row r="20" customFormat="false" ht="15" hidden="false" customHeight="false" outlineLevel="0" collapsed="false">
      <c r="A20" s="0" t="s">
        <v>80</v>
      </c>
      <c r="B20" s="0" t="n">
        <f aca="false">G7/F7</f>
        <v>0.269012836626625</v>
      </c>
    </row>
    <row r="21" customFormat="false" ht="15" hidden="false" customHeight="false" outlineLevel="0" collapsed="false">
      <c r="A21" s="0" t="s">
        <v>81</v>
      </c>
      <c r="B21" s="0" t="n">
        <f aca="false">F7/B14</f>
        <v>0.0557594209558824</v>
      </c>
    </row>
    <row r="22" customFormat="false" ht="15" hidden="false" customHeight="false" outlineLevel="0" collapsed="false">
      <c r="A22" s="0" t="s">
        <v>82</v>
      </c>
      <c r="B22" s="0" t="n">
        <f aca="false">F7-G7</f>
        <v>88.6925</v>
      </c>
    </row>
    <row r="24" customFormat="false" ht="15" hidden="false" customHeight="false" outlineLevel="0" collapsed="false">
      <c r="A24" s="1" t="s">
        <v>83</v>
      </c>
    </row>
    <row r="25" customFormat="false" ht="15" hidden="false" customHeight="false" outlineLevel="0" collapsed="false">
      <c r="A25" s="0" t="s">
        <v>71</v>
      </c>
      <c r="B25" s="0" t="n">
        <f aca="false">B14</f>
        <v>2176</v>
      </c>
    </row>
    <row r="26" customFormat="false" ht="15" hidden="false" customHeight="false" outlineLevel="0" collapsed="false">
      <c r="A26" s="0" t="s">
        <v>84</v>
      </c>
      <c r="B26" s="0" t="n">
        <f aca="false">B25*Sources!B59</f>
        <v>326.4</v>
      </c>
    </row>
    <row r="27" customFormat="false" ht="15" hidden="false" customHeight="false" outlineLevel="0" collapsed="false">
      <c r="A27" s="0" t="s">
        <v>85</v>
      </c>
      <c r="B27" s="0" t="n">
        <f aca="false">B25-B26</f>
        <v>1849.6</v>
      </c>
    </row>
    <row r="28" customFormat="false" ht="15" hidden="false" customHeight="false" outlineLevel="0" collapsed="false">
      <c r="A28" s="0" t="s">
        <v>86</v>
      </c>
      <c r="B28" s="0" t="n">
        <f aca="false">B27*Sources!B60</f>
        <v>277.44</v>
      </c>
    </row>
    <row r="29" customFormat="false" ht="15" hidden="false" customHeight="false" outlineLevel="0" collapsed="false">
      <c r="A29" s="0" t="s">
        <v>87</v>
      </c>
      <c r="B29" s="0" t="n">
        <f aca="false">B28/3</f>
        <v>92.48</v>
      </c>
    </row>
    <row r="30" customFormat="false" ht="15" hidden="false" customHeight="false" outlineLevel="0" collapsed="false">
      <c r="A30" s="0" t="s">
        <v>88</v>
      </c>
      <c r="B30" s="0" t="n">
        <f aca="false">B26+B28</f>
        <v>603.84</v>
      </c>
    </row>
    <row r="31" customFormat="false" ht="15" hidden="false" customHeight="false" outlineLevel="0" collapsed="false">
      <c r="A31" s="0" t="s">
        <v>89</v>
      </c>
      <c r="B31" s="0" t="n">
        <f aca="false">B30/B25</f>
        <v>0.2775</v>
      </c>
    </row>
    <row r="32" customFormat="false" ht="15" hidden="false" customHeight="false" outlineLevel="0" collapsed="false">
      <c r="A32" s="0" t="s">
        <v>90</v>
      </c>
      <c r="B32" s="0" t="n">
        <f aca="false">1-(1-Sources!B59)*(1-Sources!B60)</f>
        <v>0.2775</v>
      </c>
    </row>
    <row r="34" customFormat="false" ht="15" hidden="false" customHeight="false" outlineLevel="0" collapsed="false">
      <c r="A34" s="1" t="s">
        <v>91</v>
      </c>
    </row>
    <row r="35" customFormat="false" ht="15" hidden="false" customHeight="false" outlineLevel="0" collapsed="false">
      <c r="A35" s="0" t="s">
        <v>30</v>
      </c>
      <c r="B35" s="0" t="s">
        <v>92</v>
      </c>
      <c r="C35" s="0" t="s">
        <v>93</v>
      </c>
      <c r="D35" s="0" t="s">
        <v>94</v>
      </c>
      <c r="E35" s="0" t="s">
        <v>95</v>
      </c>
    </row>
    <row r="36" customFormat="false" ht="15" hidden="false" customHeight="false" outlineLevel="0" collapsed="false">
      <c r="A36" s="0" t="s">
        <v>38</v>
      </c>
      <c r="B36" s="0" t="n">
        <f aca="false">Sources!B51-Sources!C51</f>
        <v>75480</v>
      </c>
      <c r="C36" s="0" t="n">
        <f aca="false">B36-Sources!D51</f>
        <v>0</v>
      </c>
      <c r="D36" s="0" t="n">
        <f aca="false">(Sources!D51-Sources!E51)/Sources!D51</f>
        <v>0.415779014308426</v>
      </c>
      <c r="E36" s="0" t="n">
        <f aca="false">D36-Sources!F51</f>
        <v>-2.09856915739381E-005</v>
      </c>
    </row>
    <row r="37" customFormat="false" ht="15" hidden="false" customHeight="false" outlineLevel="0" collapsed="false">
      <c r="A37" s="0" t="s">
        <v>39</v>
      </c>
      <c r="B37" s="0" t="n">
        <f aca="false">Sources!B52-Sources!C52</f>
        <v>55760</v>
      </c>
      <c r="C37" s="0" t="n">
        <f aca="false">B37-Sources!D52</f>
        <v>0</v>
      </c>
      <c r="D37" s="0" t="n">
        <f aca="false">(Sources!D52-Sources!E52)/Sources!D52</f>
        <v>0.299013629842181</v>
      </c>
      <c r="E37" s="0" t="n">
        <f aca="false">D37-Sources!F52</f>
        <v>1.36298421807846E-005</v>
      </c>
    </row>
    <row r="38" customFormat="false" ht="15" hidden="false" customHeight="false" outlineLevel="0" collapsed="false">
      <c r="A38" s="0" t="s">
        <v>40</v>
      </c>
      <c r="B38" s="0" t="n">
        <f aca="false">Sources!B53-Sources!C53</f>
        <v>53720</v>
      </c>
      <c r="C38" s="0" t="n">
        <f aca="false">B38-Sources!D53</f>
        <v>0</v>
      </c>
      <c r="D38" s="0" t="n">
        <f aca="false">(Sources!D53-Sources!E53)/Sources!D53</f>
        <v>0.27120253164557</v>
      </c>
      <c r="E38" s="0" t="n">
        <f aca="false">D38-Sources!F53</f>
        <v>2.5316455696256E-006</v>
      </c>
    </row>
    <row r="40" customFormat="false" ht="15" hidden="false" customHeight="false" outlineLevel="0" collapsed="false">
      <c r="A40" s="0" t="s">
        <v>96</v>
      </c>
    </row>
    <row r="41" customFormat="false" ht="15" hidden="false" customHeight="false" outlineLevel="0" collapsed="false">
      <c r="A41" s="1" t="s">
        <v>97</v>
      </c>
      <c r="B41" s="2" t="n">
        <f aca="false">Sources!E47</f>
        <v>272</v>
      </c>
    </row>
    <row r="42" customFormat="false" ht="15" hidden="false" customHeight="false" outlineLevel="0" collapsed="false">
      <c r="A42" s="0" t="s">
        <v>98</v>
      </c>
      <c r="B42" s="0" t="n">
        <f aca="false">D7/B41</f>
        <v>4.46075367647059</v>
      </c>
    </row>
    <row r="43" customFormat="false" ht="15" hidden="false" customHeight="false" outlineLevel="0" collapsed="false">
      <c r="A43" s="0" t="s">
        <v>99</v>
      </c>
      <c r="B43" s="0" t="n">
        <f aca="false">B41/D7*100</f>
        <v>22.4177363855521</v>
      </c>
    </row>
    <row r="44" customFormat="false" ht="15" hidden="false" customHeight="false" outlineLevel="0" collapsed="false">
      <c r="A44" s="0" t="s">
        <v>100</v>
      </c>
      <c r="B44" s="0" t="n">
        <f aca="false">B14/Sources!B61</f>
        <v>72.5333333333333</v>
      </c>
    </row>
    <row r="45" customFormat="false" ht="15" hidden="false" customHeight="false" outlineLevel="0" collapsed="false">
      <c r="A45" s="0" t="s">
        <v>101</v>
      </c>
      <c r="B45" s="0" t="n">
        <f aca="false">B44/D7*100</f>
        <v>5.97806303614723</v>
      </c>
    </row>
    <row r="47" customFormat="false" ht="15" hidden="false" customHeight="false" outlineLevel="0" collapsed="false">
      <c r="A47" s="1" t="s">
        <v>102</v>
      </c>
    </row>
    <row r="48" customFormat="false" ht="15" hidden="false" customHeight="false" outlineLevel="0" collapsed="false">
      <c r="A48" s="0" t="s">
        <v>103</v>
      </c>
      <c r="B48" s="0" t="s">
        <v>104</v>
      </c>
      <c r="C48" s="0" t="s">
        <v>105</v>
      </c>
      <c r="D48" s="0" t="s">
        <v>106</v>
      </c>
      <c r="E48" s="0" t="s">
        <v>107</v>
      </c>
    </row>
    <row r="49" customFormat="false" ht="15" hidden="false" customHeight="false" outlineLevel="0" collapsed="false">
      <c r="A49" s="0" t="n">
        <v>5</v>
      </c>
      <c r="B49" s="0" t="n">
        <f aca="false">A49*B$41/100</f>
        <v>13.6</v>
      </c>
      <c r="C49" s="0" t="n">
        <f aca="false">B49/$D$7</f>
        <v>0.011208868192776</v>
      </c>
      <c r="D49" s="0" t="n">
        <f aca="false">B49/$B$14</f>
        <v>0.00625</v>
      </c>
      <c r="E49" s="0" t="n">
        <f aca="false">A49*$B$44/100</f>
        <v>3.62666666666667</v>
      </c>
    </row>
    <row r="50" customFormat="false" ht="15" hidden="false" customHeight="false" outlineLevel="0" collapsed="false">
      <c r="A50" s="0" t="n">
        <v>10</v>
      </c>
      <c r="B50" s="0" t="n">
        <f aca="false">A50*B$41/100</f>
        <v>27.2</v>
      </c>
      <c r="C50" s="0" t="n">
        <f aca="false">B50/$D$7</f>
        <v>0.0224177363855521</v>
      </c>
      <c r="D50" s="0" t="n">
        <f aca="false">B50/$B$14</f>
        <v>0.0125</v>
      </c>
      <c r="E50" s="0" t="n">
        <f aca="false">A50*$B$44/100</f>
        <v>7.25333333333333</v>
      </c>
    </row>
    <row r="51" customFormat="false" ht="15" hidden="false" customHeight="false" outlineLevel="0" collapsed="false">
      <c r="A51" s="0" t="n">
        <v>12</v>
      </c>
      <c r="B51" s="0" t="n">
        <f aca="false">A51*B$41/100</f>
        <v>32.64</v>
      </c>
      <c r="C51" s="0" t="n">
        <f aca="false">B51/$D$7</f>
        <v>0.0269012836626625</v>
      </c>
      <c r="D51" s="0" t="n">
        <f aca="false">B51/$B$14</f>
        <v>0.015</v>
      </c>
      <c r="E51" s="0" t="n">
        <f aca="false">A51*$B$44/100</f>
        <v>8.704</v>
      </c>
    </row>
    <row r="52" customFormat="false" ht="15" hidden="false" customHeight="false" outlineLevel="0" collapsed="false">
      <c r="A52" s="0" t="n">
        <v>15</v>
      </c>
      <c r="B52" s="0" t="n">
        <f aca="false">A52*B$41/100</f>
        <v>40.8</v>
      </c>
      <c r="C52" s="0" t="n">
        <f aca="false">B52/$D$7</f>
        <v>0.0336266045783282</v>
      </c>
      <c r="D52" s="0" t="n">
        <f aca="false">B52/$B$14</f>
        <v>0.01875</v>
      </c>
      <c r="E52" s="0" t="n">
        <f aca="false">A52*$B$44/100</f>
        <v>10.88</v>
      </c>
    </row>
    <row r="53" customFormat="false" ht="15" hidden="false" customHeight="false" outlineLevel="0" collapsed="false">
      <c r="A53" s="0" t="n">
        <v>25</v>
      </c>
      <c r="B53" s="0" t="n">
        <f aca="false">A53*B$41/100</f>
        <v>68</v>
      </c>
      <c r="C53" s="0" t="n">
        <f aca="false">B53/$D$7</f>
        <v>0.0560443409638802</v>
      </c>
      <c r="D53" s="0" t="n">
        <f aca="false">B53/$B$14</f>
        <v>0.03125</v>
      </c>
      <c r="E53" s="0" t="n">
        <f aca="false">A53*$B$44/100</f>
        <v>18.1333333333333</v>
      </c>
    </row>
    <row r="55" customFormat="false" ht="15" hidden="false" customHeight="false" outlineLevel="0" collapsed="false">
      <c r="A55" s="1" t="s">
        <v>108</v>
      </c>
    </row>
    <row r="56" customFormat="false" ht="15" hidden="false" customHeight="false" outlineLevel="0" collapsed="false">
      <c r="A56" s="0" t="s">
        <v>30</v>
      </c>
      <c r="B56" s="0" t="s">
        <v>109</v>
      </c>
      <c r="C56" s="0" t="s">
        <v>110</v>
      </c>
      <c r="D56" s="0" t="s">
        <v>111</v>
      </c>
      <c r="E56" s="0" t="s">
        <v>112</v>
      </c>
    </row>
    <row r="57" customFormat="false" ht="15" hidden="false" customHeight="false" outlineLevel="0" collapsed="false">
      <c r="A57" s="0" t="s">
        <v>38</v>
      </c>
      <c r="B57" s="0" t="n">
        <f aca="false">Sources!B51/100</f>
        <v>888</v>
      </c>
      <c r="C57" s="0" t="n">
        <f aca="false">Sources!G51/Sources!D51</f>
        <v>0.128218600953895</v>
      </c>
      <c r="D57" s="0" t="n">
        <f aca="false">B57*C57</f>
        <v>113.858117647059</v>
      </c>
      <c r="E57" s="0" t="n">
        <f aca="false">D57*(1-Sources!$B$60)*(1+Sources!H51)</f>
        <v>381.310836</v>
      </c>
    </row>
    <row r="58" customFormat="false" ht="15" hidden="false" customHeight="false" outlineLevel="0" collapsed="false">
      <c r="A58" s="0" t="s">
        <v>39</v>
      </c>
      <c r="B58" s="0" t="n">
        <f aca="false">Sources!B52/100</f>
        <v>656</v>
      </c>
      <c r="C58" s="0" t="n">
        <f aca="false">Sources!G52/Sources!D52</f>
        <v>0.129145982783357</v>
      </c>
      <c r="D58" s="0" t="n">
        <f aca="false">B58*C58</f>
        <v>84.7197647058824</v>
      </c>
      <c r="E58" s="0" t="n">
        <f aca="false">D58*(1-Sources!$B$60)*(1+Sources!H52)</f>
        <v>289.487436</v>
      </c>
    </row>
    <row r="59" customFormat="false" ht="15" hidden="false" customHeight="false" outlineLevel="0" collapsed="false">
      <c r="A59" s="0" t="s">
        <v>40</v>
      </c>
      <c r="B59" s="0" t="n">
        <f aca="false">Sources!B53/100</f>
        <v>632</v>
      </c>
      <c r="C59" s="0" t="n">
        <f aca="false">Sources!G53/Sources!D53</f>
        <v>0.133665673864483</v>
      </c>
      <c r="D59" s="0" t="n">
        <f aca="false">B59*C59</f>
        <v>84.476705882353</v>
      </c>
      <c r="E59" s="0" t="n">
        <f aca="false">D59*(1-Sources!$B$60)*(1+Sources!H53)</f>
        <v>294.40132</v>
      </c>
    </row>
    <row r="60" customFormat="false" ht="15" hidden="false" customHeight="false" outlineLevel="0" collapsed="false">
      <c r="A60" s="0" t="s">
        <v>113</v>
      </c>
      <c r="B60" s="0" t="n">
        <f aca="false">5*SUM(E57:E59)</f>
        <v>4825.99796</v>
      </c>
    </row>
    <row r="61" customFormat="false" ht="15" hidden="false" customHeight="false" outlineLevel="0" collapsed="false">
      <c r="A61" s="0" t="s">
        <v>114</v>
      </c>
      <c r="B61" s="0" t="n">
        <f aca="false">MAX(0,D14-C14)</f>
        <v>0</v>
      </c>
    </row>
    <row r="62" customFormat="false" ht="15" hidden="false" customHeight="false" outlineLevel="0" collapsed="false">
      <c r="A62" s="0" t="s">
        <v>115</v>
      </c>
      <c r="B62" s="0" t="n">
        <f aca="false">IF(B61=0,0,B61)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22"/>
  </cols>
  <sheetData>
    <row r="1" customFormat="false" ht="1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0" t="s">
        <v>117</v>
      </c>
    </row>
    <row r="3" customFormat="false" ht="15" hidden="false" customHeight="false" outlineLevel="0" collapsed="false">
      <c r="A3" s="0" t="s">
        <v>118</v>
      </c>
    </row>
    <row r="4" customFormat="false" ht="15" hidden="false" customHeight="false" outlineLevel="0" collapsed="false">
      <c r="A4" s="0" t="s">
        <v>119</v>
      </c>
    </row>
    <row r="5" customFormat="false" ht="15" hidden="false" customHeight="false" outlineLevel="0" collapsed="false">
      <c r="A5" s="0" t="s">
        <v>120</v>
      </c>
    </row>
    <row r="6" customFormat="false" ht="15" hidden="false" customHeight="false" outlineLevel="0" collapsed="false">
      <c r="A6" s="0" t="s">
        <v>121</v>
      </c>
    </row>
    <row r="7" customFormat="false" ht="15" hidden="false" customHeight="false" outlineLevel="0" collapsed="false">
      <c r="A7" s="0" t="s">
        <v>122</v>
      </c>
    </row>
    <row r="8" customFormat="false" ht="15" hidden="false" customHeight="false" outlineLevel="0" collapsed="false">
      <c r="A8" s="0" t="s">
        <v>123</v>
      </c>
    </row>
    <row r="9" customFormat="false" ht="15" hidden="false" customHeight="false" outlineLevel="0" collapsed="false">
      <c r="A9" s="0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2026-10-27T09:19:43Z</dcterms:created>
  <dc:creator>openpyxl</dc:creator>
  <dc:description/>
  <dc:language>en-US</dc:language>
  <cp:lastModifiedBy/>
  <dcterms:modified xsi:type="dcterms:W3CDTF">2026-10-27T09:19:43Z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