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s" sheetId="1" state="visible" r:id="rId1"/>
    <sheet xmlns:r="http://schemas.openxmlformats.org/officeDocument/2006/relationships" name="Calcul" sheetId="2" state="visible" r:id="rId2"/>
    <sheet xmlns:r="http://schemas.openxmlformats.org/officeDocument/2006/relationships" name="Méthode" sheetId="3" state="visible" r:id="rId3"/>
  </sheets>
  <definedNames/>
  <calcPr calcId="124519" fullCalcOnLoad="1"/>
</workbook>
</file>

<file path=xl/styles.xml><?xml version="1.0" encoding="utf-8"?>
<styleSheet xmlns="http://schemas.openxmlformats.org/spreadsheetml/2006/main">
  <numFmts count="6">
    <numFmt numFmtId="164" formatCode="0,0 %"/>
    <numFmt numFmtId="165" formatCode="0,00"/>
    <numFmt numFmtId="166" formatCode="0,00 %"/>
    <numFmt numFmtId="167" formatCode="0,00000"/>
    <numFmt numFmtId="168" formatCode="0,0"/>
    <numFmt numFmtId="169" formatCode="0,00 €"/>
  </numFmts>
  <fonts count="6">
    <font>
      <name val="Calibri"/>
      <family val="2"/>
      <color theme="1"/>
      <sz val="11"/>
      <scheme val="minor"/>
    </font>
    <font>
      <b val="1"/>
      <sz val="13"/>
    </font>
    <font>
      <b val="1"/>
    </font>
    <font>
      <b val="1"/>
      <color rgb="00FFFFFF"/>
    </font>
    <font>
      <b val="1"/>
      <color rgb="009C0006"/>
    </font>
    <font>
      <b val="1"/>
      <sz val="12"/>
    </font>
  </fonts>
  <fills count="5">
    <fill>
      <patternFill/>
    </fill>
    <fill>
      <patternFill patternType="gray125"/>
    </fill>
    <fill>
      <patternFill patternType="solid">
        <fgColor rgb="001F3A5F"/>
      </patternFill>
    </fill>
    <fill>
      <patternFill patternType="solid">
        <fgColor rgb="00FCE4D6"/>
      </patternFill>
    </fill>
    <fill>
      <patternFill patternType="solid">
        <fgColor rgb="00E2EFDA"/>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8">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0" borderId="0" pivotButton="0" quotePrefix="0" xfId="0"/>
    <xf numFmtId="0" fontId="3" fillId="2" borderId="1" applyAlignment="1" pivotButton="0" quotePrefix="0" xfId="0">
      <alignment vertical="center" wrapText="1"/>
    </xf>
    <xf numFmtId="0" fontId="0" fillId="0" borderId="1" pivotButton="0" quotePrefix="0" xfId="0"/>
    <xf numFmtId="0" fontId="0" fillId="0" borderId="1" applyAlignment="1" pivotButton="0" quotePrefix="0" xfId="0">
      <alignment horizontal="right"/>
    </xf>
    <xf numFmtId="0" fontId="2" fillId="0" borderId="1" pivotButton="0" quotePrefix="0" xfId="0"/>
    <xf numFmtId="0" fontId="2" fillId="0" borderId="1" applyAlignment="1" pivotButton="0" quotePrefix="0" xfId="0">
      <alignment horizontal="right"/>
    </xf>
    <xf numFmtId="0" fontId="2" fillId="3" borderId="0" pivotButton="0" quotePrefix="0" xfId="0"/>
    <xf numFmtId="0" fontId="0" fillId="3" borderId="1" pivotButton="0" quotePrefix="0" xfId="0"/>
    <xf numFmtId="0" fontId="0" fillId="3" borderId="1" applyAlignment="1" pivotButton="0" quotePrefix="0" xfId="0">
      <alignment horizontal="right"/>
    </xf>
    <xf numFmtId="0" fontId="0" fillId="0" borderId="1" applyAlignment="1" pivotButton="0" quotePrefix="0" xfId="0">
      <alignment vertical="top" wrapText="1"/>
    </xf>
    <xf numFmtId="0" fontId="2" fillId="3" borderId="1" pivotButton="0" quotePrefix="0" xfId="0"/>
    <xf numFmtId="0" fontId="2" fillId="3" borderId="1" applyAlignment="1" pivotButton="0" quotePrefix="0" xfId="0">
      <alignment horizontal="right"/>
    </xf>
    <xf numFmtId="0" fontId="0" fillId="4" borderId="1" pivotButton="0" quotePrefix="0" xfId="0"/>
    <xf numFmtId="0" fontId="0" fillId="4" borderId="1" applyAlignment="1" pivotButton="0" quotePrefix="0" xfId="0">
      <alignment horizontal="right"/>
    </xf>
    <xf numFmtId="164" fontId="0" fillId="0" borderId="1" applyAlignment="1" pivotButton="0" quotePrefix="0" xfId="0">
      <alignment horizontal="right"/>
    </xf>
    <xf numFmtId="0" fontId="2" fillId="4" borderId="1" pivotButton="0" quotePrefix="0" xfId="0"/>
    <xf numFmtId="0" fontId="2" fillId="4" borderId="1" applyAlignment="1" pivotButton="0" quotePrefix="0" xfId="0">
      <alignment horizontal="right"/>
    </xf>
    <xf numFmtId="165" fontId="2" fillId="0" borderId="1" applyAlignment="1" pivotButton="0" quotePrefix="0" xfId="0">
      <alignment horizontal="right"/>
    </xf>
    <xf numFmtId="166" fontId="2" fillId="0" borderId="1" applyAlignment="1" pivotButton="0" quotePrefix="0" xfId="0">
      <alignment horizontal="right"/>
    </xf>
    <xf numFmtId="167" fontId="0" fillId="0" borderId="1" applyAlignment="1" pivotButton="0" quotePrefix="0" xfId="0">
      <alignment horizontal="right"/>
    </xf>
    <xf numFmtId="165" fontId="0" fillId="0" borderId="1" applyAlignment="1" pivotButton="0" quotePrefix="0" xfId="0">
      <alignment horizontal="right"/>
    </xf>
    <xf numFmtId="168" fontId="0" fillId="0" borderId="1" applyAlignment="1" pivotButton="0" quotePrefix="0" xfId="0">
      <alignment horizontal="right"/>
    </xf>
    <xf numFmtId="0" fontId="4" fillId="3" borderId="1" pivotButton="0" quotePrefix="0" xfId="0"/>
    <xf numFmtId="169" fontId="4" fillId="3" borderId="1" applyAlignment="1" pivotButton="0" quotePrefix="0" xfId="0">
      <alignment horizontal="right"/>
    </xf>
    <xf numFmtId="0" fontId="5"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8"/>
  <sheetViews>
    <sheetView workbookViewId="0">
      <selection activeCell="A1" sqref="A1"/>
    </sheetView>
  </sheetViews>
  <sheetFormatPr baseColWidth="8" defaultRowHeight="15"/>
  <cols>
    <col width="40" customWidth="1" min="1" max="1"/>
    <col width="16" customWidth="1" min="2" max="2"/>
    <col width="16" customWidth="1" min="3" max="3"/>
    <col width="16" customWidth="1" min="4" max="4"/>
    <col width="16" customWidth="1" min="5" max="5"/>
    <col width="16" customWidth="1" min="6" max="6"/>
    <col width="16" customWidth="1" min="7" max="7"/>
  </cols>
  <sheetData>
    <row r="1">
      <c r="A1" s="1" t="inlineStr">
        <is>
          <t>SOURCES — données brutes recopiées des pièces primaires</t>
        </is>
      </c>
    </row>
    <row r="2">
      <c r="A2" s="2" t="inlineStr">
        <is>
          <t>SARL LA DEMI LUNE — grief O « Perte de bières ». Valeurs en dur = recopiées des sources ; tout résultat est calculé par formule dans l'onglet « Calcul ».</t>
        </is>
      </c>
    </row>
    <row r="4">
      <c r="A4" s="3" t="inlineStr">
        <is>
          <t>A. Quantités de caisse 2022-2023 — SOURCE PRIMAIRE : ANNEXE-C1 (détail des tickets), agrégation par référence article</t>
        </is>
      </c>
    </row>
    <row r="5">
      <c r="A5" s="4" t="inlineStr">
        <is>
          <t>Réf.</t>
        </is>
      </c>
      <c r="B5" s="4" t="inlineStr">
        <is>
          <t>Article de caisse (libellé C1)</t>
        </is>
      </c>
      <c r="C5" s="4" t="inlineStr">
        <is>
          <t>Qté 2022-2023</t>
        </is>
      </c>
      <c r="D5" s="4" t="inlineStr"/>
      <c r="E5" s="4" t="inlineStr"/>
      <c r="F5" s="4" t="inlineStr"/>
      <c r="G5" s="4" t="inlineStr"/>
    </row>
    <row r="6">
      <c r="A6" s="5" t="inlineStr">
        <is>
          <t>2005</t>
        </is>
      </c>
      <c r="B6" s="5" t="inlineStr">
        <is>
          <t>pression</t>
        </is>
      </c>
      <c r="C6" s="6" t="n">
        <v>901.5</v>
      </c>
    </row>
    <row r="7">
      <c r="A7" s="5" t="inlineStr">
        <is>
          <t>1989</t>
        </is>
      </c>
      <c r="B7" s="5" t="inlineStr">
        <is>
          <t>Pinte</t>
        </is>
      </c>
      <c r="C7" s="6" t="n">
        <v>282.5</v>
      </c>
    </row>
    <row r="8">
      <c r="A8" s="5" t="inlineStr">
        <is>
          <t>0099</t>
        </is>
      </c>
      <c r="B8" s="5" t="inlineStr">
        <is>
          <t>Panaché</t>
        </is>
      </c>
      <c r="C8" s="6" t="n">
        <v>147</v>
      </c>
    </row>
    <row r="9">
      <c r="A9" s="5" t="inlineStr">
        <is>
          <t>0353</t>
        </is>
      </c>
      <c r="B9" s="5" t="inlineStr">
        <is>
          <t>Picon bière</t>
        </is>
      </c>
      <c r="C9" s="6" t="n">
        <v>129</v>
      </c>
    </row>
    <row r="10">
      <c r="A10" s="5" t="inlineStr">
        <is>
          <t>1991</t>
        </is>
      </c>
      <c r="B10" s="5" t="inlineStr">
        <is>
          <t>Pinte Picon</t>
        </is>
      </c>
      <c r="C10" s="6" t="n">
        <v>37</v>
      </c>
    </row>
    <row r="11">
      <c r="A11" s="5" t="inlineStr">
        <is>
          <t>0354</t>
        </is>
      </c>
      <c r="B11" s="5" t="inlineStr">
        <is>
          <t>Monaco</t>
        </is>
      </c>
      <c r="C11" s="6" t="n">
        <v>66.5</v>
      </c>
    </row>
    <row r="12">
      <c r="B12" s="7" t="inlineStr">
        <is>
          <t>TOTAL unités 2022-2023</t>
        </is>
      </c>
      <c r="C12" s="8">
        <f>SUM(C6:C11)</f>
        <v/>
      </c>
    </row>
    <row r="14">
      <c r="A14" s="3" t="inlineStr">
        <is>
          <t>B. Quantités de caisse 2024-2025 — SOURCE : annexe finale du service, bloc « i)-INGREDIENT : BIERE » (OCR Proposition 4, p. 2)</t>
        </is>
      </c>
    </row>
    <row r="15">
      <c r="A15" s="4" t="inlineStr">
        <is>
          <t>Réf.</t>
        </is>
      </c>
      <c r="B15" s="4" t="inlineStr">
        <is>
          <t>Article (annexe finale)</t>
        </is>
      </c>
      <c r="C15" s="4" t="inlineStr">
        <is>
          <t>Qté 2024-2025</t>
        </is>
      </c>
      <c r="D15" s="4" t="inlineStr">
        <is>
          <t>Vol. porté (cl)</t>
        </is>
      </c>
      <c r="E15" s="4" t="inlineStr">
        <is>
          <t>Proportion</t>
        </is>
      </c>
      <c r="F15" s="4" t="inlineStr"/>
      <c r="G15" s="4" t="inlineStr"/>
    </row>
    <row r="16">
      <c r="A16" s="5" t="inlineStr">
        <is>
          <t>0353</t>
        </is>
      </c>
      <c r="B16" s="5" t="inlineStr">
        <is>
          <t>Picon bière (3cl picon + 22cl)</t>
        </is>
      </c>
      <c r="C16" s="6" t="n">
        <v>124</v>
      </c>
      <c r="D16" s="6" t="n">
        <v>2728</v>
      </c>
      <c r="E16" s="5" t="inlineStr">
        <is>
          <t>6,97 %</t>
        </is>
      </c>
    </row>
    <row r="17">
      <c r="A17" s="5" t="inlineStr">
        <is>
          <t>0099</t>
        </is>
      </c>
      <c r="B17" s="5" t="inlineStr">
        <is>
          <t>Panaché (11cl bière) + 13cl limonade</t>
        </is>
      </c>
      <c r="C17" s="6" t="n">
        <v>97</v>
      </c>
      <c r="D17" s="6" t="n">
        <v>767</v>
      </c>
      <c r="E17" s="5" t="inlineStr">
        <is>
          <t>1,96 %</t>
        </is>
      </c>
    </row>
    <row r="18">
      <c r="A18" s="5" t="inlineStr">
        <is>
          <t>0354</t>
        </is>
      </c>
      <c r="B18" s="5" t="inlineStr">
        <is>
          <t>Monaco (15cl bière) + limonade + grenadine</t>
        </is>
      </c>
      <c r="C18" s="6" t="n">
        <v>74</v>
      </c>
      <c r="D18" s="6" t="n">
        <v>1110</v>
      </c>
      <c r="E18" s="5" t="inlineStr">
        <is>
          <t>2,84 %</t>
        </is>
      </c>
    </row>
    <row r="19">
      <c r="A19" s="5" t="inlineStr">
        <is>
          <t>1991</t>
        </is>
      </c>
      <c r="B19" s="5" t="inlineStr">
        <is>
          <t>Pinte Picon (6cl picon + 44cl)</t>
        </is>
      </c>
      <c r="C19" s="6" t="n">
        <v>59</v>
      </c>
      <c r="D19" s="6" t="n">
        <v>2596</v>
      </c>
      <c r="E19" s="5" t="inlineStr">
        <is>
          <t>6,63 %</t>
        </is>
      </c>
    </row>
    <row r="20">
      <c r="A20" s="5" t="inlineStr">
        <is>
          <t>2005</t>
        </is>
      </c>
      <c r="B20" s="5" t="inlineStr">
        <is>
          <t>Pression (25cl)</t>
        </is>
      </c>
      <c r="C20" s="6" t="n">
        <v>662</v>
      </c>
      <c r="D20" s="6" t="n">
        <v>16550</v>
      </c>
      <c r="E20" s="5" t="inlineStr">
        <is>
          <t>42,27 %</t>
        </is>
      </c>
    </row>
    <row r="21">
      <c r="A21" s="5" t="inlineStr">
        <is>
          <t>1989</t>
        </is>
      </c>
      <c r="B21" s="5" t="inlineStr">
        <is>
          <t>Pinte (50cl)</t>
        </is>
      </c>
      <c r="C21" s="6" t="n">
        <v>308</v>
      </c>
      <c r="D21" s="6" t="n">
        <v>15400</v>
      </c>
      <c r="E21" s="5" t="inlineStr">
        <is>
          <t>39,33 %</t>
        </is>
      </c>
    </row>
    <row r="22">
      <c r="B22" s="7" t="inlineStr">
        <is>
          <t>TOTAL volume porté (cl)</t>
        </is>
      </c>
      <c r="D22" s="8">
        <f>SUM(D16:D21)</f>
        <v/>
      </c>
    </row>
    <row r="23">
      <c r="B23" s="2" t="inlineStr">
        <is>
          <t>Note : panaché porté à 767 cl là où 97 × 11 = 1 067 cl (écart 300 cl retenu contre la société).</t>
        </is>
      </c>
    </row>
    <row r="25">
      <c r="A25" s="9" t="inlineStr">
        <is>
          <t>C. Quantités de caisse 2023-2024 — C2 ABSENT du dossier : valeurs reprises de la pièce R1, NON VÉRIFIABLES</t>
        </is>
      </c>
    </row>
    <row r="26">
      <c r="A26" s="4" t="inlineStr">
        <is>
          <t>Réf.</t>
        </is>
      </c>
      <c r="B26" s="4" t="inlineStr">
        <is>
          <t>Article</t>
        </is>
      </c>
      <c r="C26" s="4" t="inlineStr">
        <is>
          <t>Qté 2023-2024 (à étayer)</t>
        </is>
      </c>
      <c r="D26" s="4" t="inlineStr"/>
      <c r="E26" s="4" t="inlineStr"/>
      <c r="F26" s="4" t="inlineStr"/>
      <c r="G26" s="4" t="inlineStr"/>
    </row>
    <row r="27">
      <c r="A27" s="10" t="inlineStr">
        <is>
          <t>2005</t>
        </is>
      </c>
      <c r="B27" s="10" t="inlineStr">
        <is>
          <t>pression</t>
        </is>
      </c>
      <c r="C27" s="11" t="n">
        <v>670</v>
      </c>
    </row>
    <row r="28">
      <c r="A28" s="10" t="inlineStr">
        <is>
          <t>1989</t>
        </is>
      </c>
      <c r="B28" s="10" t="inlineStr">
        <is>
          <t>Pinte</t>
        </is>
      </c>
      <c r="C28" s="11" t="n">
        <v>286.5</v>
      </c>
    </row>
    <row r="29">
      <c r="A29" s="10" t="inlineStr">
        <is>
          <t>0099</t>
        </is>
      </c>
      <c r="B29" s="10" t="inlineStr">
        <is>
          <t>Panaché</t>
        </is>
      </c>
      <c r="C29" s="11" t="n">
        <v>102.5</v>
      </c>
    </row>
    <row r="30">
      <c r="A30" s="10" t="inlineStr">
        <is>
          <t>0353</t>
        </is>
      </c>
      <c r="B30" s="10" t="inlineStr">
        <is>
          <t>Picon bière</t>
        </is>
      </c>
      <c r="C30" s="11" t="n">
        <v>130</v>
      </c>
    </row>
    <row r="31">
      <c r="A31" s="10" t="inlineStr">
        <is>
          <t>1991</t>
        </is>
      </c>
      <c r="B31" s="10" t="inlineStr">
        <is>
          <t>Pinte Picon</t>
        </is>
      </c>
      <c r="C31" s="11" t="n">
        <v>66.5</v>
      </c>
    </row>
    <row r="32">
      <c r="A32" s="10" t="inlineStr">
        <is>
          <t>0354</t>
        </is>
      </c>
      <c r="B32" s="10" t="inlineStr">
        <is>
          <t>Monaco</t>
        </is>
      </c>
      <c r="C32" s="11" t="n">
        <v>56</v>
      </c>
    </row>
    <row r="34">
      <c r="A34" s="3" t="inlineStr">
        <is>
          <t>D. Doses retenues (cl) — service : proposition p. 50 ; défense : part bière effective</t>
        </is>
      </c>
    </row>
    <row r="35">
      <c r="A35" s="4" t="inlineStr">
        <is>
          <t>Article</t>
        </is>
      </c>
      <c r="B35" s="4" t="inlineStr">
        <is>
          <t>Contenance verre (cl)</t>
        </is>
      </c>
      <c r="C35" s="4" t="inlineStr">
        <is>
          <t>Part bière SERVICE (cl)</t>
        </is>
      </c>
      <c r="D35" s="4" t="inlineStr">
        <is>
          <t>Part bière DÉFENSE (cl)</t>
        </is>
      </c>
      <c r="E35" s="4" t="inlineStr"/>
      <c r="F35" s="4" t="inlineStr"/>
      <c r="G35" s="4" t="inlineStr"/>
    </row>
    <row r="36">
      <c r="A36" s="5" t="inlineStr">
        <is>
          <t>Pression (25cl)</t>
        </is>
      </c>
      <c r="B36" s="5" t="n">
        <v>25</v>
      </c>
      <c r="C36" s="5" t="n">
        <v>25</v>
      </c>
      <c r="D36" s="5" t="n">
        <v>25</v>
      </c>
    </row>
    <row r="37">
      <c r="A37" s="5" t="inlineStr">
        <is>
          <t>Pinte (50cl)</t>
        </is>
      </c>
      <c r="B37" s="5" t="n">
        <v>50</v>
      </c>
      <c r="C37" s="5" t="n">
        <v>50</v>
      </c>
      <c r="D37" s="5" t="n">
        <v>50</v>
      </c>
    </row>
    <row r="38">
      <c r="A38" s="5" t="inlineStr">
        <is>
          <t>Panaché</t>
        </is>
      </c>
      <c r="B38" s="5" t="n">
        <v>25</v>
      </c>
      <c r="C38" s="5" t="n">
        <v>11</v>
      </c>
      <c r="D38" s="5" t="n">
        <v>12.5</v>
      </c>
    </row>
    <row r="39">
      <c r="A39" s="5" t="inlineStr">
        <is>
          <t>Picon bière</t>
        </is>
      </c>
      <c r="B39" s="5" t="n">
        <v>25</v>
      </c>
      <c r="C39" s="5" t="n">
        <v>22</v>
      </c>
      <c r="D39" s="5" t="n">
        <v>21</v>
      </c>
    </row>
    <row r="40">
      <c r="A40" s="5" t="inlineStr">
        <is>
          <t>Pinte Picon</t>
        </is>
      </c>
      <c r="B40" s="5" t="n">
        <v>50</v>
      </c>
      <c r="C40" s="5" t="n">
        <v>44</v>
      </c>
      <c r="D40" s="5" t="n">
        <v>42</v>
      </c>
    </row>
    <row r="41">
      <c r="A41" s="5" t="inlineStr">
        <is>
          <t>Monaco</t>
        </is>
      </c>
      <c r="B41" s="5" t="n">
        <v>25</v>
      </c>
      <c r="C41" s="5" t="n">
        <v>15</v>
      </c>
      <c r="D41" s="5" t="n">
        <v>12.5</v>
      </c>
    </row>
    <row r="43">
      <c r="A43" s="3" t="inlineStr">
        <is>
          <t>E. Fûts Affligem Blade 8 L achetés — factures Franche-Comté Boissons Services</t>
        </is>
      </c>
    </row>
    <row r="44">
      <c r="A44" s="4" t="inlineStr">
        <is>
          <t>Exercice</t>
        </is>
      </c>
      <c r="B44" s="4" t="inlineStr">
        <is>
          <t>Fûts achetés</t>
        </is>
      </c>
      <c r="C44" s="4" t="inlineStr">
        <is>
          <t>Litres achetés</t>
        </is>
      </c>
      <c r="D44" s="4" t="inlineStr"/>
      <c r="E44" s="4" t="inlineStr"/>
      <c r="F44" s="4" t="inlineStr"/>
      <c r="G44" s="4" t="inlineStr"/>
    </row>
    <row r="45">
      <c r="A45" s="5" t="inlineStr">
        <is>
          <t>2022-2023</t>
        </is>
      </c>
      <c r="B45" s="6" t="n">
        <v>99</v>
      </c>
      <c r="C45" s="6">
        <f>B45*8</f>
        <v/>
      </c>
    </row>
    <row r="46">
      <c r="A46" s="5" t="inlineStr">
        <is>
          <t>2023-2024</t>
        </is>
      </c>
      <c r="B46" s="6" t="n">
        <v>79</v>
      </c>
      <c r="C46" s="6">
        <f>B46*8</f>
        <v/>
      </c>
    </row>
    <row r="47">
      <c r="A47" s="5" t="inlineStr">
        <is>
          <t>2024-2025</t>
        </is>
      </c>
      <c r="B47" s="6" t="n">
        <v>84</v>
      </c>
      <c r="C47" s="6">
        <f>B47*8</f>
        <v/>
      </c>
    </row>
    <row r="48">
      <c r="A48" s="7" t="inlineStr">
        <is>
          <t>TOTAL</t>
        </is>
      </c>
      <c r="B48" s="8">
        <f>SUM(B45:B47)</f>
        <v/>
      </c>
      <c r="C48" s="8">
        <f>SUM(C45:C47)</f>
        <v/>
      </c>
    </row>
    <row r="50">
      <c r="A50" s="3" t="inlineStr">
        <is>
          <t>F. Paramètres constructeur et annexe finale (exercice documenté 2024-2025)</t>
        </is>
      </c>
    </row>
    <row r="51">
      <c r="A51" s="4" t="inlineStr">
        <is>
          <t>Paramètre</t>
        </is>
      </c>
      <c r="B51" s="4" t="inlineStr">
        <is>
          <t>Valeur</t>
        </is>
      </c>
      <c r="C51" s="4" t="inlineStr">
        <is>
          <t>Unité / source</t>
        </is>
      </c>
      <c r="D51" s="4" t="inlineStr"/>
      <c r="E51" s="4" t="inlineStr"/>
      <c r="F51" s="4" t="inlineStr"/>
      <c r="G51" s="4" t="inlineStr"/>
    </row>
    <row r="52">
      <c r="A52" s="5" t="inlineStr">
        <is>
          <t>Volume résiduel admis / fût vide</t>
        </is>
      </c>
      <c r="B52" s="6" t="n">
        <v>0.12</v>
      </c>
      <c r="C52" s="12" t="inlineStr">
        <is>
          <t>L (manuel Blade ch. 6.3 : 1,5 % = 120 ml)</t>
        </is>
      </c>
    </row>
    <row r="53">
      <c r="A53" s="5" t="inlineStr">
        <is>
          <t>Volume disponible 2024-2025 (bière, cl)</t>
        </is>
      </c>
      <c r="B53" s="6" t="n">
        <v>63200</v>
      </c>
      <c r="C53" s="12" t="inlineStr">
        <is>
          <t>cl = 79 fûts (annexe finale service)</t>
        </is>
      </c>
    </row>
    <row r="54">
      <c r="A54" s="5" t="inlineStr">
        <is>
          <t>Volume net après 1er abattement 15 % (cl)</t>
        </is>
      </c>
      <c r="B54" s="6" t="n">
        <v>53720</v>
      </c>
      <c r="C54" s="12" t="inlineStr">
        <is>
          <t>cl (annexe finale : 63 200 − 9 480)</t>
        </is>
      </c>
    </row>
    <row r="55">
      <c r="A55" s="5" t="inlineStr">
        <is>
          <t>CA liquides bière 2024-2025 (€ TTC)</t>
        </is>
      </c>
      <c r="B55" s="6" t="n">
        <v>7180.52</v>
      </c>
      <c r="C55" s="12" t="inlineStr">
        <is>
          <t>€ (annexe finale, TOTAL bière)</t>
        </is>
      </c>
    </row>
    <row r="56">
      <c r="A56" s="5" t="inlineStr">
        <is>
          <t>Taux de freinte retenu (borne basse sources pro.)</t>
        </is>
      </c>
      <c r="B56" s="6" t="n">
        <v>0.1</v>
      </c>
      <c r="C56" s="12" t="inlineStr">
        <is>
          <t>5 %–20 % ; ESTIMÉ, non mesuré</t>
        </is>
      </c>
    </row>
    <row r="57">
      <c r="A57" s="5" t="inlineStr">
        <is>
          <t>Taux du 1er abattement du service</t>
        </is>
      </c>
      <c r="B57" s="6" t="n">
        <v>0.15</v>
      </c>
      <c r="C57" s="12" t="inlineStr">
        <is>
          <t>proposition p. 51</t>
        </is>
      </c>
    </row>
    <row r="58">
      <c r="A58" s="5" t="inlineStr">
        <is>
          <t>Coefficient liquides → solides 2024-2025</t>
        </is>
      </c>
      <c r="B58" s="6" t="n">
        <v>3.1</v>
      </c>
      <c r="C58" s="12" t="inlineStr">
        <is>
          <t>annexe finale p. 3</t>
        </is>
      </c>
    </row>
  </sheetData>
  <mergeCells count="8">
    <mergeCell ref="A14:G14"/>
    <mergeCell ref="B23:G23"/>
    <mergeCell ref="A34:G34"/>
    <mergeCell ref="A4:G4"/>
    <mergeCell ref="A50:G50"/>
    <mergeCell ref="A2:G2"/>
    <mergeCell ref="A25:G25"/>
    <mergeCell ref="A43:G4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63"/>
  <sheetViews>
    <sheetView workbookViewId="0">
      <selection activeCell="A1" sqref="A1"/>
    </sheetView>
  </sheetViews>
  <sheetFormatPr baseColWidth="8" defaultRowHeight="15"/>
  <cols>
    <col width="46" customWidth="1" min="1" max="1"/>
    <col width="16" customWidth="1" min="2" max="2"/>
    <col width="16" customWidth="1" min="3" max="3"/>
    <col width="16" customWidth="1" min="4" max="4"/>
    <col width="16" customWidth="1" min="5" max="5"/>
    <col width="16" customWidth="1" min="6" max="6"/>
    <col width="16" customWidth="1" min="7" max="7"/>
  </cols>
  <sheetData>
    <row r="1">
      <c r="A1" s="1" t="inlineStr">
        <is>
          <t>CALCUL — tous les résultats sont des formules renvoyant à l'onglet « Sources »</t>
        </is>
      </c>
    </row>
    <row r="3">
      <c r="A3" s="3" t="inlineStr">
        <is>
          <t>1. Assiette « bière réellement sortie du fût », 2022-2023 (PRIMAIRE C1)</t>
        </is>
      </c>
    </row>
    <row r="4">
      <c r="A4" s="4" t="inlineStr">
        <is>
          <t>Article</t>
        </is>
      </c>
      <c r="B4" s="4" t="inlineStr">
        <is>
          <t>Qté C1</t>
        </is>
      </c>
      <c r="C4" s="4" t="inlineStr">
        <is>
          <t>Contenance (L)</t>
        </is>
      </c>
      <c r="D4" s="4" t="inlineStr">
        <is>
          <t>Doses service (L)</t>
        </is>
      </c>
      <c r="E4" s="4" t="inlineStr">
        <is>
          <t>Nos doses (L)</t>
        </is>
      </c>
      <c r="F4" s="4" t="inlineStr"/>
      <c r="G4" s="4" t="inlineStr"/>
    </row>
    <row r="5">
      <c r="A5" s="5">
        <f>Sources!B6</f>
        <v/>
      </c>
      <c r="B5" s="6">
        <f>Sources!C6</f>
        <v/>
      </c>
      <c r="C5" s="6">
        <f>Sources!C6*Sources!B36/100</f>
        <v/>
      </c>
      <c r="D5" s="6">
        <f>Sources!C6*Sources!C36/100</f>
        <v/>
      </c>
      <c r="E5" s="6">
        <f>Sources!C6*Sources!D36/100</f>
        <v/>
      </c>
    </row>
    <row r="6">
      <c r="A6" s="5">
        <f>Sources!B7</f>
        <v/>
      </c>
      <c r="B6" s="6">
        <f>Sources!C7</f>
        <v/>
      </c>
      <c r="C6" s="6">
        <f>Sources!C7*Sources!B37/100</f>
        <v/>
      </c>
      <c r="D6" s="6">
        <f>Sources!C7*Sources!C37/100</f>
        <v/>
      </c>
      <c r="E6" s="6">
        <f>Sources!C7*Sources!D37/100</f>
        <v/>
      </c>
    </row>
    <row r="7">
      <c r="A7" s="5">
        <f>Sources!B8</f>
        <v/>
      </c>
      <c r="B7" s="6">
        <f>Sources!C8</f>
        <v/>
      </c>
      <c r="C7" s="6">
        <f>Sources!C8*Sources!B38/100</f>
        <v/>
      </c>
      <c r="D7" s="6">
        <f>Sources!C8*Sources!C38/100</f>
        <v/>
      </c>
      <c r="E7" s="6">
        <f>Sources!C8*Sources!D38/100</f>
        <v/>
      </c>
    </row>
    <row r="8">
      <c r="A8" s="5">
        <f>Sources!B9</f>
        <v/>
      </c>
      <c r="B8" s="6">
        <f>Sources!C9</f>
        <v/>
      </c>
      <c r="C8" s="6">
        <f>Sources!C9*Sources!B39/100</f>
        <v/>
      </c>
      <c r="D8" s="6">
        <f>Sources!C9*Sources!C39/100</f>
        <v/>
      </c>
      <c r="E8" s="6">
        <f>Sources!C9*Sources!D39/100</f>
        <v/>
      </c>
    </row>
    <row r="9">
      <c r="A9" s="5">
        <f>Sources!B10</f>
        <v/>
      </c>
      <c r="B9" s="6">
        <f>Sources!C10</f>
        <v/>
      </c>
      <c r="C9" s="6">
        <f>Sources!C10*Sources!B40/100</f>
        <v/>
      </c>
      <c r="D9" s="6">
        <f>Sources!C10*Sources!C40/100</f>
        <v/>
      </c>
      <c r="E9" s="6">
        <f>Sources!C10*Sources!D40/100</f>
        <v/>
      </c>
    </row>
    <row r="10">
      <c r="A10" s="5">
        <f>Sources!B11</f>
        <v/>
      </c>
      <c r="B10" s="6">
        <f>Sources!C11</f>
        <v/>
      </c>
      <c r="C10" s="6">
        <f>Sources!C11*Sources!B41/100</f>
        <v/>
      </c>
      <c r="D10" s="6">
        <f>Sources!C11*Sources!C41/100</f>
        <v/>
      </c>
      <c r="E10" s="6">
        <f>Sources!C11*Sources!D41/100</f>
        <v/>
      </c>
    </row>
    <row r="11">
      <c r="A11" s="7" t="inlineStr">
        <is>
          <t>TOTAL 2022-2023 (L)</t>
        </is>
      </c>
      <c r="C11" s="8">
        <f>SUM(C5:C10)</f>
        <v/>
      </c>
      <c r="D11" s="8">
        <f>SUM(D5:D10)</f>
        <v/>
      </c>
      <c r="E11" s="8">
        <f>SUM(E5:E10)</f>
        <v/>
      </c>
    </row>
    <row r="13">
      <c r="A13" s="3" t="inlineStr">
        <is>
          <t>2. Assiette 2024-2025 (quantités de l'annexe finale du service) — nos doses</t>
        </is>
      </c>
    </row>
    <row r="14">
      <c r="A14" s="4" t="inlineStr">
        <is>
          <t>Article</t>
        </is>
      </c>
      <c r="B14" s="4" t="inlineStr">
        <is>
          <t>Qté 2024-25</t>
        </is>
      </c>
      <c r="C14" s="4" t="inlineStr">
        <is>
          <t>Nos doses (L)</t>
        </is>
      </c>
      <c r="D14" s="4" t="inlineStr"/>
      <c r="E14" s="4" t="inlineStr"/>
      <c r="F14" s="4" t="inlineStr"/>
      <c r="G14" s="4" t="inlineStr"/>
    </row>
    <row r="15">
      <c r="A15" s="5">
        <f>Sources!B16</f>
        <v/>
      </c>
      <c r="B15" s="6">
        <f>Sources!C16</f>
        <v/>
      </c>
      <c r="C15" s="6">
        <f>Sources!C16*Sources!D39/100</f>
        <v/>
      </c>
    </row>
    <row r="16">
      <c r="A16" s="5">
        <f>Sources!B17</f>
        <v/>
      </c>
      <c r="B16" s="6">
        <f>Sources!C17</f>
        <v/>
      </c>
      <c r="C16" s="6">
        <f>Sources!C17*Sources!D38/100</f>
        <v/>
      </c>
    </row>
    <row r="17">
      <c r="A17" s="5">
        <f>Sources!B18</f>
        <v/>
      </c>
      <c r="B17" s="6">
        <f>Sources!C18</f>
        <v/>
      </c>
      <c r="C17" s="6">
        <f>Sources!C18*Sources!D41/100</f>
        <v/>
      </c>
    </row>
    <row r="18">
      <c r="A18" s="5">
        <f>Sources!B19</f>
        <v/>
      </c>
      <c r="B18" s="6">
        <f>Sources!C19</f>
        <v/>
      </c>
      <c r="C18" s="6">
        <f>Sources!C19*Sources!D40/100</f>
        <v/>
      </c>
    </row>
    <row r="19">
      <c r="A19" s="5">
        <f>Sources!B20</f>
        <v/>
      </c>
      <c r="B19" s="6">
        <f>Sources!C20</f>
        <v/>
      </c>
      <c r="C19" s="6">
        <f>Sources!C20*Sources!D36/100</f>
        <v/>
      </c>
    </row>
    <row r="20">
      <c r="A20" s="5">
        <f>Sources!B21</f>
        <v/>
      </c>
      <c r="B20" s="6">
        <f>Sources!C21</f>
        <v/>
      </c>
      <c r="C20" s="6">
        <f>Sources!C21*Sources!D37/100</f>
        <v/>
      </c>
    </row>
    <row r="21">
      <c r="A21" s="7" t="inlineStr">
        <is>
          <t>TOTAL 2024-2025 (L)</t>
        </is>
      </c>
      <c r="C21" s="8">
        <f>SUM(C15:C20)</f>
        <v/>
      </c>
    </row>
    <row r="23">
      <c r="A23" s="9" t="inlineStr">
        <is>
          <t>3. Assiette 2023-2024 — nos doses (C2 ABSENT : résultat à étayer)</t>
        </is>
      </c>
    </row>
    <row r="24">
      <c r="A24" s="4" t="inlineStr">
        <is>
          <t>Article</t>
        </is>
      </c>
      <c r="B24" s="4" t="inlineStr">
        <is>
          <t>Qté (à étayer)</t>
        </is>
      </c>
      <c r="C24" s="4" t="inlineStr">
        <is>
          <t>Nos doses (L)</t>
        </is>
      </c>
      <c r="D24" s="4" t="inlineStr"/>
      <c r="E24" s="4" t="inlineStr"/>
      <c r="F24" s="4" t="inlineStr"/>
      <c r="G24" s="4" t="inlineStr"/>
    </row>
    <row r="25">
      <c r="A25" s="5">
        <f>Sources!B27</f>
        <v/>
      </c>
      <c r="B25" s="6">
        <f>Sources!C27</f>
        <v/>
      </c>
      <c r="C25" s="11">
        <f>Sources!C27*Sources!D36/100</f>
        <v/>
      </c>
    </row>
    <row r="26">
      <c r="A26" s="5">
        <f>Sources!B28</f>
        <v/>
      </c>
      <c r="B26" s="6">
        <f>Sources!C28</f>
        <v/>
      </c>
      <c r="C26" s="11">
        <f>Sources!C28*Sources!D37/100</f>
        <v/>
      </c>
    </row>
    <row r="27">
      <c r="A27" s="5">
        <f>Sources!B29</f>
        <v/>
      </c>
      <c r="B27" s="6">
        <f>Sources!C29</f>
        <v/>
      </c>
      <c r="C27" s="11">
        <f>Sources!C29*Sources!D38/100</f>
        <v/>
      </c>
    </row>
    <row r="28">
      <c r="A28" s="5">
        <f>Sources!B30</f>
        <v/>
      </c>
      <c r="B28" s="6">
        <f>Sources!C30</f>
        <v/>
      </c>
      <c r="C28" s="11">
        <f>Sources!C30*Sources!D39/100</f>
        <v/>
      </c>
    </row>
    <row r="29">
      <c r="A29" s="5">
        <f>Sources!B31</f>
        <v/>
      </c>
      <c r="B29" s="6">
        <f>Sources!C31</f>
        <v/>
      </c>
      <c r="C29" s="11">
        <f>Sources!C31*Sources!D40/100</f>
        <v/>
      </c>
    </row>
    <row r="30">
      <c r="A30" s="5">
        <f>Sources!B32</f>
        <v/>
      </c>
      <c r="B30" s="6">
        <f>Sources!C32</f>
        <v/>
      </c>
      <c r="C30" s="11">
        <f>Sources!C32*Sources!D41/100</f>
        <v/>
      </c>
    </row>
    <row r="31">
      <c r="A31" s="13" t="inlineStr">
        <is>
          <t>TOTAL 2023-2024 (L)</t>
        </is>
      </c>
      <c r="C31" s="14">
        <f>SUM(C25:C30)</f>
        <v/>
      </c>
    </row>
    <row r="33">
      <c r="A33" s="3" t="inlineStr">
        <is>
          <t>4. Assiette totale retenue (nos doses, Monaco vendu INCLUS) et freinte illustrative</t>
        </is>
      </c>
    </row>
    <row r="34">
      <c r="A34" s="4" t="inlineStr">
        <is>
          <t>Grandeur</t>
        </is>
      </c>
      <c r="B34" s="4" t="inlineStr">
        <is>
          <t>Valeur</t>
        </is>
      </c>
      <c r="C34" s="4" t="inlineStr">
        <is>
          <t>Formule / source</t>
        </is>
      </c>
      <c r="D34" s="4" t="inlineStr"/>
      <c r="E34" s="4" t="inlineStr"/>
      <c r="F34" s="4" t="inlineStr"/>
      <c r="G34" s="4" t="inlineStr"/>
    </row>
    <row r="35">
      <c r="A35" s="5" t="inlineStr">
        <is>
          <t>Assiette 2022-2023 (L)</t>
        </is>
      </c>
      <c r="B35" s="6">
        <f>E11</f>
        <v/>
      </c>
      <c r="C35" s="5" t="inlineStr">
        <is>
          <t>primaire C1</t>
        </is>
      </c>
    </row>
    <row r="36">
      <c r="A36" s="5" t="inlineStr">
        <is>
          <t>Assiette 2023-2024 (L)</t>
        </is>
      </c>
      <c r="B36" s="11">
        <f>C31</f>
        <v/>
      </c>
      <c r="C36" s="5" t="inlineStr">
        <is>
          <t>à étayer (C2 absent)</t>
        </is>
      </c>
    </row>
    <row r="37">
      <c r="A37" s="5" t="inlineStr">
        <is>
          <t>Assiette 2024-2025 (L)</t>
        </is>
      </c>
      <c r="B37" s="6">
        <f>C21</f>
        <v/>
      </c>
      <c r="C37" s="5" t="inlineStr">
        <is>
          <t>annexe finale service</t>
        </is>
      </c>
    </row>
    <row r="38">
      <c r="A38" s="7" t="inlineStr">
        <is>
          <t>ASSIETTE TOTALE 3 exercices (L)</t>
        </is>
      </c>
      <c r="B38" s="8">
        <f>B35+B36+B37</f>
        <v/>
      </c>
      <c r="C38" s="5" t="inlineStr">
        <is>
          <t>somme des trois lectures « nos doses »</t>
        </is>
      </c>
    </row>
    <row r="39">
      <c r="A39" s="5" t="inlineStr">
        <is>
          <t>Freinte illustrative = taux × assiette (L)</t>
        </is>
      </c>
      <c r="B39" s="6">
        <f>B38*Sources!B56</f>
        <v/>
      </c>
      <c r="C39" s="5" t="inlineStr">
        <is>
          <t>10 % — ESTIMÉ, non mesuré sur l'établissement</t>
        </is>
      </c>
    </row>
    <row r="40">
      <c r="A40" s="15" t="inlineStr">
        <is>
          <t>dont RÉSIDU de fin de fût (seul poste chiffré par le constructeur, L)</t>
        </is>
      </c>
      <c r="B40" s="16">
        <f>Sources!B48*Sources!B52</f>
        <v/>
      </c>
      <c r="C40" s="5" t="inlineStr">
        <is>
          <t>262 fûts × 0,12 L — DOCUMENTÉ</t>
        </is>
      </c>
    </row>
    <row r="41">
      <c r="A41" s="5" t="inlineStr">
        <is>
          <t>Résidu en % de l'assiette</t>
        </is>
      </c>
      <c r="B41" s="17">
        <f>B40/B38</f>
        <v/>
      </c>
      <c r="C41" s="5" t="inlineStr">
        <is>
          <t>part de la freinte réellement documentée</t>
        </is>
      </c>
    </row>
    <row r="42">
      <c r="A42" s="5" t="inlineStr">
        <is>
          <t>Résidu en % des litres achetés (2 096 L)</t>
        </is>
      </c>
      <c r="B42" s="17">
        <f>B40/Sources!C48</f>
        <v/>
      </c>
    </row>
    <row r="44">
      <c r="A44" s="3" t="inlineStr">
        <is>
          <t>5. PIVOT CORRIGÉ : le 1er abattement du service porte sur le volume DISPONIBLE, non sur les achats</t>
        </is>
      </c>
    </row>
    <row r="45">
      <c r="A45" s="4" t="inlineStr">
        <is>
          <t>Grandeur (2024-2025, seul exercice documenté)</t>
        </is>
      </c>
      <c r="B45" s="4" t="inlineStr">
        <is>
          <t>Valeur</t>
        </is>
      </c>
      <c r="C45" s="4" t="inlineStr">
        <is>
          <t>Formule / source</t>
        </is>
      </c>
      <c r="D45" s="4" t="inlineStr"/>
      <c r="E45" s="4" t="inlineStr"/>
      <c r="F45" s="4" t="inlineStr"/>
      <c r="G45" s="4" t="inlineStr"/>
    </row>
    <row r="46">
      <c r="A46" s="5" t="inlineStr">
        <is>
          <t>Volume disponible bière (L)</t>
        </is>
      </c>
      <c r="B46" s="6">
        <f>Sources!B53/100</f>
        <v/>
      </c>
      <c r="C46" s="5" t="inlineStr">
        <is>
          <t>63 200 cl = 79 fûts (annexe finale)</t>
        </is>
      </c>
    </row>
    <row r="47">
      <c r="A47" s="18" t="inlineStr">
        <is>
          <t>1er abattement du service = 15 % du DISPONIBLE (L)</t>
        </is>
      </c>
      <c r="B47" s="19">
        <f>B46*Sources!B57</f>
        <v/>
      </c>
      <c r="C47" s="5">
        <f> 94,8 L (et NON 100,8 L = 15 % des 672 L achetés)</f>
        <v/>
      </c>
    </row>
    <row r="48">
      <c r="A48" s="5" t="inlineStr">
        <is>
          <t>Pour mémoire : 15 % des 672 L ACHETÉS (erreur d'assiette)</t>
        </is>
      </c>
      <c r="B48" s="11">
        <f>Sources!C47*Sources!B57</f>
        <v/>
      </c>
      <c r="C48" s="5" t="inlineStr">
        <is>
          <t>assiette erronée : le service corrige des stocks</t>
        </is>
      </c>
    </row>
    <row r="49">
      <c r="A49" s="5" t="inlineStr">
        <is>
          <t>Notre freinte 2024-2025 (L)</t>
        </is>
      </c>
      <c r="B49" s="6">
        <f>C21*Sources!B56</f>
        <v/>
      </c>
      <c r="C49" s="5" t="inlineStr">
        <is>
          <t>10 % × assiette 2024-2025</t>
        </is>
      </c>
    </row>
    <row r="50">
      <c r="A50" s="7" t="inlineStr">
        <is>
          <t>Rapport : abattement du service / notre freinte (2024-2025)</t>
        </is>
      </c>
      <c r="B50" s="20">
        <f>B47/B49</f>
        <v/>
      </c>
      <c r="C50" s="5" t="inlineStr">
        <is>
          <t>le service abat DÉJÀ davantage que notre freinte</t>
        </is>
      </c>
    </row>
    <row r="52">
      <c r="A52" s="3" t="inlineStr">
        <is>
          <t>6. Composition des deux abattements de 15 % (le cumul réel n'est pas 30 %)</t>
        </is>
      </c>
    </row>
    <row r="53">
      <c r="A53" s="4" t="inlineStr">
        <is>
          <t>Grandeur</t>
        </is>
      </c>
      <c r="B53" s="4" t="inlineStr">
        <is>
          <t>Valeur</t>
        </is>
      </c>
      <c r="C53" s="4" t="inlineStr">
        <is>
          <t>Formule</t>
        </is>
      </c>
      <c r="D53" s="4" t="inlineStr"/>
      <c r="E53" s="4" t="inlineStr"/>
      <c r="F53" s="4" t="inlineStr"/>
      <c r="G53" s="4" t="inlineStr"/>
    </row>
    <row r="54">
      <c r="A54" s="7" t="inlineStr">
        <is>
          <t>Taux réellement retiré = 1 − (1−15 %)×(1−15 %)</t>
        </is>
      </c>
      <c r="B54" s="21">
        <f>1-(1-Sources!B57)*(1-Sources!B57)</f>
        <v/>
      </c>
      <c r="C54" s="5">
        <f> 27,75 %, et non 30 %</f>
        <v/>
      </c>
    </row>
    <row r="56">
      <c r="A56" s="3" t="inlineStr">
        <is>
          <t>7. CONVERSION EN EUROS et chiffrage du dégrèvement demandé (grief en €)</t>
        </is>
      </c>
    </row>
    <row r="57">
      <c r="A57" s="4" t="inlineStr">
        <is>
          <t>Grandeur (modèle du service, 2024-2025)</t>
        </is>
      </c>
      <c r="B57" s="4" t="inlineStr">
        <is>
          <t>Valeur</t>
        </is>
      </c>
      <c r="C57" s="4" t="inlineStr">
        <is>
          <t>Formule / source</t>
        </is>
      </c>
      <c r="D57" s="4" t="inlineStr"/>
      <c r="E57" s="4" t="inlineStr"/>
      <c r="F57" s="4" t="inlineStr"/>
      <c r="G57" s="4" t="inlineStr"/>
    </row>
    <row r="58">
      <c r="A58" s="5" t="inlineStr">
        <is>
          <t>CA liquides bière par cl net (€/cl)</t>
        </is>
      </c>
      <c r="B58" s="22">
        <f>Sources!B55/Sources!B54</f>
        <v/>
      </c>
      <c r="C58" s="5" t="inlineStr">
        <is>
          <t>7 180,52 € / 53 720 cl</t>
        </is>
      </c>
    </row>
    <row r="59">
      <c r="A59" s="5" t="inlineStr">
        <is>
          <t>Valeur d'un point de freinte sur le DISPONIBLE (632 cl) en CA liquides (€)</t>
        </is>
      </c>
      <c r="B59" s="23">
        <f>Sources!B53/100*B58</f>
        <v/>
      </c>
      <c r="C59" s="5" t="inlineStr">
        <is>
          <t>1 % × 63 200 cl × €/cl</t>
        </is>
      </c>
    </row>
    <row r="60">
      <c r="A60" s="5" t="inlineStr">
        <is>
          <t>Idem après 2nd abattement (×0,85) et coefficient solides (×(1+3,10)) (€)</t>
        </is>
      </c>
      <c r="B60" s="23">
        <f>B59*(1-Sources!B57)*(1+Sources!B58)</f>
        <v/>
      </c>
      <c r="C60" s="5" t="inlineStr">
        <is>
          <t>ordre de grandeur d'un point (6,32 L) sur le CA total</t>
        </is>
      </c>
    </row>
    <row r="61">
      <c r="A61" s="5" t="inlineStr">
        <is>
          <t>CA total par litre de bière (€/L)</t>
        </is>
      </c>
      <c r="B61" s="23">
        <f>B60/(Sources!B53/100*0.01)</f>
        <v/>
      </c>
      <c r="C61" s="5" t="inlineStr">
        <is>
          <t>294,4 € ÷ 6,32 L</t>
        </is>
      </c>
    </row>
    <row r="62">
      <c r="A62" s="5" t="inlineStr">
        <is>
          <t>Excédent de freinte au-delà du 1er abattement du service (L)</t>
        </is>
      </c>
      <c r="B62" s="24">
        <f>MAX(0,B49-B47)</f>
        <v/>
      </c>
      <c r="C62" s="5" t="inlineStr">
        <is>
          <t>39,2 L − 94,8 L, plancher à 0</t>
        </is>
      </c>
    </row>
    <row r="63">
      <c r="A63" s="25" t="inlineStr">
        <is>
          <t>DÉGRÈVEMENT DEMANDÉ au titre de la freinte (€)</t>
        </is>
      </c>
      <c r="B63" s="26">
        <f>B62*B61</f>
        <v/>
      </c>
      <c r="C63" s="5">
        <f> 0 € : notre freinte (39 L) &lt; abattement service (95 L)</f>
        <v/>
      </c>
    </row>
  </sheetData>
  <mergeCells count="8">
    <mergeCell ref="A13:G13"/>
    <mergeCell ref="A44:G44"/>
    <mergeCell ref="A1:G1"/>
    <mergeCell ref="A56:G56"/>
    <mergeCell ref="A3:G3"/>
    <mergeCell ref="A52:G52"/>
    <mergeCell ref="A33:G33"/>
    <mergeCell ref="A23:G2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23"/>
  <sheetViews>
    <sheetView workbookViewId="0">
      <selection activeCell="A1" sqref="A1"/>
    </sheetView>
  </sheetViews>
  <sheetFormatPr baseColWidth="8" defaultRowHeight="15"/>
  <cols>
    <col width="120" customWidth="1" min="1" max="1"/>
  </cols>
  <sheetData>
    <row r="1">
      <c r="A1" s="27" t="inlineStr">
        <is>
          <t>MÉTHODE — d'où vient chaque chiffre, étape par étape</t>
        </is>
      </c>
    </row>
    <row r="2">
      <c r="A2" s="2" t="inlineStr"/>
    </row>
    <row r="3">
      <c r="A3" s="2" t="inlineStr">
        <is>
          <t>Objet. Le grief O « Perte de bières » porte sur la part du fût réputée vendue. Cette pièce reconstruit l'assiette de la bière réellement sortie du fût, la freinte, et le premier abattement du service, à partir des seules pièces du dossier.</t>
        </is>
      </c>
    </row>
    <row r="4">
      <c r="A4" s="2" t="inlineStr"/>
    </row>
    <row r="5">
      <c r="A5" s="2" t="inlineStr">
        <is>
          <t>1. Assiette 2022-2023 (Sources table A ; Calcul bloc 1). SOURCE PRIMAIRE : ANNEXE-C1, agrégée par référence. Six articles sortent du fût : pression 901,5 ; pinte 282,5 ; panaché 147 ; Picon bière 129 ; Pinte Picon 37 ; Monaco 66,5. Le Monaco 2022-2023 est à 66,5 unités — et NON à 0 : il a été vendu et sa part bière est sortie du fût. La pièce R1 l'avait mis à 0 (classement de l'annexe D1 hors section « Bières ») ; nous le réintégrons.</t>
        </is>
      </c>
    </row>
    <row r="6">
      <c r="A6" s="2" t="inlineStr"/>
    </row>
    <row r="7">
      <c r="A7" s="2" t="inlineStr">
        <is>
          <t>2. Assiette 2024-2025 (table B ; bloc 2). SOURCE SECONDAIRE : l'annexe finale du service (bloc « i)-INGREDIENT : BIERE »), qui porte 662 pression, 308 pinte, 97 panaché, 124 Picon bière, 59 Pinte Picon, 74 Monaco, total 39 151 cl. Quantités corroborées par la pièce du service, sans recourir à C3.</t>
        </is>
      </c>
    </row>
    <row r="8">
      <c r="A8" s="2" t="inlineStr"/>
    </row>
    <row r="9">
      <c r="A9" s="2" t="inlineStr">
        <is>
          <t>3. Assiette 2023-2024 (table C ; bloc 3). LIMITE : l'annexe C2 est ABSENTE. Les quantités sont reprises de R1, NON vérifiables sur source primaire ni sur l'annexe finale de cet exercice. Signalées « à étayer » (fond orangé) ; le résultat ne doit pas être présenté comme démontré.</t>
        </is>
      </c>
    </row>
    <row r="10">
      <c r="A10" s="2" t="inlineStr"/>
    </row>
    <row r="11">
      <c r="A11" s="2" t="inlineStr">
        <is>
          <t>4. Doses (table D). Service : proposition p. 50. Défense : part bière effective (panaché/Monaco 12,5 ; Picon 21/42). Nos doses jouent CONTRE la société (assiette plus basse), ce qui rend l'assiette prudente.</t>
        </is>
      </c>
    </row>
    <row r="12">
      <c r="A12" s="2" t="inlineStr"/>
    </row>
    <row r="13">
      <c r="A13" s="2" t="inlineStr">
        <is>
          <t>5. Freinte (bloc 4). ESTIMÉE à 10 % de l'assiette — borne basse de la fourchette technique (5 %–20 %). Ce 10 % N'EST PAS mesuré sur l'établissement. Le SEUL poste réellement chiffré par le constructeur est le résidu de fin de fût : 262 fûts × 120 ml = 31,44 L (manuel Blade ch. 6.3). Sur ~121 L de freinte illustrative, 31,4 L sont documentés, le solde est estimé.</t>
        </is>
      </c>
    </row>
    <row r="14">
      <c r="A14" s="2" t="inlineStr"/>
    </row>
    <row r="15">
      <c r="A15" s="2" t="inlineStr">
        <is>
          <t>6. Premier abattement du service (bloc 5). CORRECTION D'ASSIETTE. Le service applique son 15 % au volume DISPONIBLE (achats corrigés des stocks), non aux achats. L'annexe finale 2024-2025 le montre : 63 200 cl − 15 % = 53 720 cl nets. Donc 15 % × 632 L = 94,8 L, et NON 100,8 L (15 % des 672 L achetés). Pour 2022-2023 et 2023-2024, le disponible exige les annexes 6-1/6-2, absentes : le total « 314,4 L » n'est pas certifiable et n'est plus avancé comme tel.</t>
        </is>
      </c>
    </row>
    <row r="16">
      <c r="A16" s="2" t="inlineStr"/>
    </row>
    <row r="17">
      <c r="A17" s="2" t="inlineStr">
        <is>
          <t>7. Réconciliation 79 vs 84 fûts (2024-2025). Les factures FCBS portent 84 fûts ACHETÉS ; l'annexe finale porte 79 fûts DISPONIBLES (63 200 cl). L'écart de 5 fûts (40 L) est une variation de stock : le disponible commande l'assiette du 15 % du service.</t>
        </is>
      </c>
    </row>
    <row r="18">
      <c r="A18" s="2" t="inlineStr"/>
    </row>
    <row r="19">
      <c r="A19" s="2" t="inlineStr">
        <is>
          <t>8. Composition 27,75 % (bloc 6). Deux abattements de 15 % ne s'additionnent pas : 1 − 0,85 × 0,85 = 27,75 %, non 30 %. Base-indépendant.</t>
        </is>
      </c>
    </row>
    <row r="20">
      <c r="A20" s="2" t="inlineStr"/>
    </row>
    <row r="21">
      <c r="A21" s="2" t="inlineStr">
        <is>
          <t>9. Euros et dégrèvement (bloc 7). CA liquides bière 2024-2025 = 7 180,52 € pour 53 720 cl nets (0,13367 €/cl). Un point de freinte sur le disponible = 632 cl = 84,5 € de CA liquides, ~294,4 € de CA total. CONCLUSION : notre freinte 2024-2025 (39,2 L) est INFÉRIEURE au premier abattement du service (94,8 L). Le dégrèvement demandé au titre de la freinte est de 0 € : le service abat déjà davantage. Cette pièce sert la cohérence du bilan matière et la réfutation du motif (« 30 % »), non une réduction en euros.</t>
        </is>
      </c>
    </row>
    <row r="22">
      <c r="A22" s="2" t="inlineStr"/>
    </row>
    <row r="23">
      <c r="A23" s="2" t="inlineStr">
        <is>
          <t>Vérification. Toutes les cellules de résultat de l'onglet Calcul sont des formules renvoyant à l'onglet Sources (aucun résultat en dur). Recalcul vérifié sous LibreOffice.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2026-10-25T19:14:04Z</dcterms:created>
  <dcterms:modified xmlns:dcterms="http://purl.org/dc/terms/" xmlns:xsi="http://www.w3.org/2001/XMLSchema-instance" xsi:type="dcterms:W3CDTF">2026-10-25T19:14:04Z</dcterms:modified>
</cp:coreProperties>
</file>