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ources" sheetId="1" state="visible" r:id="rId3"/>
    <sheet name="Calcul" sheetId="2" state="visible" r:id="rId4"/>
    <sheet name="Métho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<sst xmlns="http://schemas.openxmlformats.org/spreadsheetml/2006/main" count="149" uniqueCount="110">
  <si>
    <t xml:space="preserve">SOURCES — données brutes recopiées des pièces primaires</t>
  </si>
  <si>
    <t xml:space="preserve">SARL LA DEMI LUNE — grief O « Perte de bières ». Valeurs en dur = recopiées des sources primaires C1/C2/C3 ; tout résultat est calculé par formule dans l'onglet « Calcul ».</t>
  </si>
  <si>
    <t xml:space="preserve">A. Quantités de caisse 2022-2023 — SOURCE PRIMAIRE : ANNEXE-C1 (détail des tickets), agrégation par référence article</t>
  </si>
  <si>
    <t xml:space="preserve">Réf.</t>
  </si>
  <si>
    <t xml:space="preserve">Article de caisse (libellé caisse)</t>
  </si>
  <si>
    <t xml:space="preserve">Qté 2022-2023</t>
  </si>
  <si>
    <t xml:space="preserve">2005</t>
  </si>
  <si>
    <t xml:space="preserve">pression</t>
  </si>
  <si>
    <t xml:space="preserve">1989</t>
  </si>
  <si>
    <t xml:space="preserve">Pinte</t>
  </si>
  <si>
    <t xml:space="preserve">0099</t>
  </si>
  <si>
    <t xml:space="preserve">Panaché</t>
  </si>
  <si>
    <t xml:space="preserve">0353</t>
  </si>
  <si>
    <t xml:space="preserve">Picon bière</t>
  </si>
  <si>
    <t xml:space="preserve">1991</t>
  </si>
  <si>
    <t xml:space="preserve">Pinte Picon</t>
  </si>
  <si>
    <t xml:space="preserve">0354</t>
  </si>
  <si>
    <t xml:space="preserve">Monaco</t>
  </si>
  <si>
    <t xml:space="preserve">TOTAL unités 2022-2023</t>
  </si>
  <si>
    <t xml:space="preserve">B. Quantités de caisse 2023-2024 — SOURCE PRIMAIRE : ANNEXE-C2, agrégation par référence (corroborée par la section « Bières » de l'annexe D2)</t>
  </si>
  <si>
    <t xml:space="preserve">Article</t>
  </si>
  <si>
    <t xml:space="preserve">Qté 2023-2024</t>
  </si>
  <si>
    <t xml:space="preserve">TOTAL unités 2023-2024</t>
  </si>
  <si>
    <t xml:space="preserve">C. Quantités de caisse 2024-2025 — SOURCE PRIMAIRE : ANNEXE-C3 (corroborée par l'annexe D3 et par l'annexe finale du service, qui arrondit le Picon bière à 124)</t>
  </si>
  <si>
    <t xml:space="preserve">Qté 2024-2025</t>
  </si>
  <si>
    <t xml:space="preserve">TOTAL unités 2024-2025</t>
  </si>
  <si>
    <t xml:space="preserve">D. Doses retenues (cl) — service : proposition p. 50 ; défense : part bière effective ; contenance : verre</t>
  </si>
  <si>
    <t xml:space="preserve">Contenance verre (cl)</t>
  </si>
  <si>
    <t xml:space="preserve">Part bière SERVICE (cl)</t>
  </si>
  <si>
    <t xml:space="preserve">Part bière DÉFENSE (cl)</t>
  </si>
  <si>
    <t xml:space="preserve">E. Fûts Affligem Blade 8 L achetés — factures Franche-Comté Boissons Services</t>
  </si>
  <si>
    <t xml:space="preserve">Exercice</t>
  </si>
  <si>
    <t xml:space="preserve">Fûts achetés</t>
  </si>
  <si>
    <t xml:space="preserve">Litres achetés</t>
  </si>
  <si>
    <t xml:space="preserve">2022-2023</t>
  </si>
  <si>
    <t xml:space="preserve">2023-2024</t>
  </si>
  <si>
    <t xml:space="preserve">2024-2025</t>
  </si>
  <si>
    <t xml:space="preserve">TOTAL</t>
  </si>
  <si>
    <t xml:space="preserve">F. Paramètres constructeur et annexe finale (exercice documenté 2024-2025)</t>
  </si>
  <si>
    <t xml:space="preserve">Paramètre</t>
  </si>
  <si>
    <t xml:space="preserve">Valeur</t>
  </si>
  <si>
    <t xml:space="preserve">Unité / source</t>
  </si>
  <si>
    <t xml:space="preserve">Volume résiduel admis / fût vide</t>
  </si>
  <si>
    <t xml:space="preserve">L (manuel Blade ch. 6.3 : 1,5 % = 120 ml)</t>
  </si>
  <si>
    <t xml:space="preserve">Volume disponible 2024-2025 (bière, cl)</t>
  </si>
  <si>
    <t xml:space="preserve">cl = 79 fûts (annexe finale service)</t>
  </si>
  <si>
    <t xml:space="preserve">Volume net après 1er abattement 15 % (cl)</t>
  </si>
  <si>
    <t xml:space="preserve">cl (annexe finale : 63 200 − 9 480)</t>
  </si>
  <si>
    <t xml:space="preserve">CA liquides bière 2024-2025 (€ TTC)</t>
  </si>
  <si>
    <t xml:space="preserve">€ (annexe finale, TOTAL bière)</t>
  </si>
  <si>
    <t xml:space="preserve">Taux de freinte retenu (borne basse sources pro.)</t>
  </si>
  <si>
    <t xml:space="preserve">5 %–20 % ; ESTIMÉ, non mesuré</t>
  </si>
  <si>
    <t xml:space="preserve">Taux du 1er abattement du service</t>
  </si>
  <si>
    <t xml:space="preserve">proposition p. 51</t>
  </si>
  <si>
    <t xml:space="preserve">Coefficient liquides → solides 2024-2025</t>
  </si>
  <si>
    <t xml:space="preserve">annexe finale p. 3</t>
  </si>
  <si>
    <t xml:space="preserve">CALCUL — tous les résultats sont des formules renvoyant à l'onglet « Sources »</t>
  </si>
  <si>
    <t xml:space="preserve">1. Trois lectures de l'assiette, par exercice (L) — mêmes quantités primaires, doses différentes</t>
  </si>
  <si>
    <t xml:space="preserve">Contenance</t>
  </si>
  <si>
    <t xml:space="preserve">Doses service</t>
  </si>
  <si>
    <t xml:space="preserve">Nos doses (défense)</t>
  </si>
  <si>
    <t xml:space="preserve">Fûts achetés (L)</t>
  </si>
  <si>
    <t xml:space="preserve">Freinte 10 % (nos doses)</t>
  </si>
  <si>
    <t xml:space="preserve">Résidu fin de fût (L)</t>
  </si>
  <si>
    <t xml:space="preserve">2022-2023 (primaire C1)</t>
  </si>
  <si>
    <t xml:space="preserve">2023-2024 (primaire C2)</t>
  </si>
  <si>
    <t xml:space="preserve">2024-2025 (primaire C3)</t>
  </si>
  <si>
    <t xml:space="preserve">TOTAL 3 exercices</t>
  </si>
  <si>
    <t xml:space="preserve">2. La freinte reste, sur chacun des 3 exercices, sous le premier abattement de 15 %</t>
  </si>
  <si>
    <t xml:space="preserve">Nos doses (L)</t>
  </si>
  <si>
    <t xml:space="preserve">Notre freinte 10 % (L)</t>
  </si>
  <si>
    <t xml:space="preserve">15 % de la bière vendue (plancher)</t>
  </si>
  <si>
    <t xml:space="preserve">1er abattement service certifié (L)</t>
  </si>
  <si>
    <t xml:space="preserve">Freinte &lt; abattement ?</t>
  </si>
  <si>
    <t xml:space="preserve">n.c. (annexe 6-1 non produite)</t>
  </si>
  <si>
    <t xml:space="preserve">n.c. (annexe 6-2 non produite)</t>
  </si>
  <si>
    <t xml:space="preserve">3. Assiette totale retenue et freinte illustrative</t>
  </si>
  <si>
    <t xml:space="preserve">Assiette totale 3 exercices (L)</t>
  </si>
  <si>
    <t xml:space="preserve">Freinte illustrative (10 %) (L)</t>
  </si>
  <si>
    <t xml:space="preserve">dont résidu de fin de fût documenté (L)</t>
  </si>
  <si>
    <t xml:space="preserve">Résidu en % de la freinte</t>
  </si>
  <si>
    <t xml:space="preserve">Résidu en % des litres achetés (2 096 L)</t>
  </si>
  <si>
    <t xml:space="preserve">4. Le 1er abattement du service porte sur le volume DISPONIBLE (2024-2025, seul exercice certifié)</t>
  </si>
  <si>
    <t xml:space="preserve">Volume disponible bière (L)</t>
  </si>
  <si>
    <t xml:space="preserve">1er abattement = 15 % du disponible (L)</t>
  </si>
  <si>
    <t xml:space="preserve">Pour mémoire : 15 % des 672 L achetés (erreur d'assiette)</t>
  </si>
  <si>
    <t xml:space="preserve">Notre freinte 2024-2025 (L)</t>
  </si>
  <si>
    <t xml:space="preserve">Rapport abattement service / notre freinte (2024-2025)</t>
  </si>
  <si>
    <t xml:space="preserve">5. Composition des deux abattements de 15 % (le cumul réel n'est pas 30 %)</t>
  </si>
  <si>
    <t xml:space="preserve">Taux réellement retiré = 1 − (1−15 %)×(1−15 %)</t>
  </si>
  <si>
    <t xml:space="preserve">6. Conversion en euros et dégrèvement demandé (modèle du service, 2024-2025)</t>
  </si>
  <si>
    <t xml:space="preserve">CA liquides bière par cl net (€/cl)</t>
  </si>
  <si>
    <t xml:space="preserve">Valeur d'un point (1 %) du disponible en CA liquides (€)</t>
  </si>
  <si>
    <t xml:space="preserve">Idem après 2nd abattement (×0,85) et coefficient solides (×(1+3,10)) (€)</t>
  </si>
  <si>
    <t xml:space="preserve">CA total par litre de bière (€/L)</t>
  </si>
  <si>
    <t xml:space="preserve">Excédent de freinte au-delà du 1er abattement du service, 2024-2025 (L)</t>
  </si>
  <si>
    <t xml:space="preserve">DÉGRÈVEMENT DEMANDÉ au titre de la freinte (€)</t>
  </si>
  <si>
    <t xml:space="preserve">MÉTHODE — d'où vient chaque chiffre, étape par étape</t>
  </si>
  <si>
    <t xml:space="preserve">Objet. Le grief O « Perte de bières » porte sur la part du fût réputée vendue. Cette pièce reconstruit, sur les TROIS exercices, l'assiette de la bière réellement sortie du fût, la freinte, et le premier abattement du service, à partir des seules pièces du dossier.</t>
  </si>
  <si>
    <t xml:space="preserve">1. Assiette, trois exercices, sources PRIMAIRES (Sources tables A, B, C ; Calcul bloc 1). Les quantités de chaque article sont agrégées par référence de caisse à partir des annexes de détail des tickets : ANNEXE-C1 (2022-2023), ANNEXE-C2 (2023-2024) et ANNEXE-C3 (2024-2025). Six articles sortent du fût : pression, Pinte, Panaché, Picon bière, Pinte Picon, Monaco.</t>
  </si>
  <si>
    <t xml:space="preserve">   2022-2023 (C1) : 901,5 ; 282,5 ; 147 ; 129 ; 37 ; 66,5 — total 1 563,5 unités.</t>
  </si>
  <si>
    <t xml:space="preserve">   2023-2024 (C2) : 670 ; 286,5 ; 102,5 ; 130 ; 66,5 ; 56 — total 1 311,5 unités. Corroboré par la section « Bières » de l'annexe D2 (mêmes quantités, Monaco inclus).</t>
  </si>
  <si>
    <t xml:space="preserve">   2024-2025 (C3) : 662 ; 308 ; 97 ; 123,5 ; 59 ; 74 — total 1 323,5 unités. Corroboré par la section « Bières » de l'annexe D3 et par l'annexe finale du service (qui arrondit le seul Picon bière à 124, d'où 39 151 cl au lieu de la caisse).</t>
  </si>
  <si>
    <t xml:space="preserve">2. Monaco réintégré sur les 3 exercices (Calcul bloc 1, colonne « Nos doses »). Le Monaco a été vendu chaque exercice (66,5 ; 56 ; 74 unités) et sa part bière est sortie du fût. L'annexe D1 (2022-2023) le classait hors de la section « Bières » ; les annexes D2 et D3 l'y rangent. Nous le comptons dans l'assiette des trois exercices. L'écart de 8,3 L entre nos doses (1 213,3 L) et la lecture par section des annexes D (1 205,0 L) tient entièrement au Monaco 2022-2023.</t>
  </si>
  <si>
    <t xml:space="preserve">3. Doses (Sources table D). Service : proposition p. 50. Défense : part bière effective (panaché/Monaco 12,5 ; Picon 21/42). Nos doses jouent CONTRE la société (assiette plus basse), ce qui rend l'assiette prudente. Assiette retenue, nos doses, Monaco inclus : 435,9 + 385,8 + 391,6 = 1 213,3 L.</t>
  </si>
  <si>
    <t xml:space="preserve">4. Freinte illustrative (Calcul blocs 1 et 3). 10 % de la bière sortie du fût, borne BASSE des sources professionnelles techniques (5 %–20 %), ESTIMÉE et non mesurée : 43,6 + 38,6 + 39,2 = 121,3 L. Seul le résidu de fin de fût est chiffré sur pièce : 262 fûts × 0,12 L = 31,4 L (manuel Blade ch. 6.3), soit un quart de la freinte ; le solde est estimé.</t>
  </si>
  <si>
    <t xml:space="preserve">5. Le 0 € tient sur les 3 exercices (Calcul bloc 2). Sur chaque exercice, notre freinte (10 %) est inférieure à 15 % de la seule bière vendue, a fortiori à 15 % du volume disponible, plus large : 43,6 &lt; 65,4 (2022-2023) ; 38,6 &lt; 57,9 (2023-2024) ; 39,2 &lt; 94,8 (2024-2025, abattement certifié sur 632 L disponibles). Nous ne demandons donc aucun euro au titre de la freinte.</t>
  </si>
  <si>
    <t xml:space="preserve">6. Premier abattement du service (Calcul bloc 4). Il porte sur le volume DISPONIBLE, non sur les achats. Certifié pour 2024-2025 par l'annexe finale : 63 200 cl = 632 L, soit 94,8 L. Pour 2022-2023 et 2023-2024, le volume disponible appelle les annexes 6-1 et 6-2, NON produites : seule limite résiduelle. Elle est sans effet sur le 0 €, démontré ci-dessus sur la bière vendue.</t>
  </si>
  <si>
    <t xml:space="preserve">7. Composition des deux taux de 15 % (Calcul bloc 5). Deux abattements successifs se composent : 1 − 0,85 × 0,85 = 27,75 % du fût, et non 30 %. Les annexes finales calculent déjà ainsi (63 200 − 9 480 = 53 720 cl, puis forfaits sur le CA).</t>
  </si>
  <si>
    <t xml:space="preserve">8. Euros et dégrèvement (Calcul bloc 6). Converti dans le modèle du service (2024-2025), l'excédent de notre freinte au-delà du 1er abattement est plafonné à 0 : dégrèvement demandé = 0 €. La valeur de la partie O est de réfuter le motif du refus et de fixer l'assiette (1 213,3 L) pour le bilan matière, non de dégager un euro sur la seule freinte.</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</si>
</sst>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b val="true"/>
      <sz val="11"/>
      <color rgb="FFFFFFFF"/>
      <name val="Cambria"/>
      <family val="0"/>
      <charset val="1"/>
    </font>
  </fonts>
  <fills count="4">
    <fill>
      <patternFill patternType="none"/>
    </fill>
    <fill>
      <patternFill patternType="gray125"/>
    </fill>
    <fill>
      <patternFill patternType="solid">
        <fgColor rgb="FFDFE8EF"/>
        <bgColor rgb="FFCCFFFF"/>
      </patternFill>
    </fill>
    <fill>
      <patternFill patternType="solid">
        <fgColor rgb="FF31708F"/>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1708F"/>
      <rgbColor rgb="FFC0C0C0"/>
      <rgbColor rgb="FF808080"/>
      <rgbColor rgb="FF9999FF"/>
      <rgbColor rgb="FF993366"/>
      <rgbColor rgb="FFFFFFCC"/>
      <rgbColor rgb="FFDFE8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4" min="3" style="0" width="22"/>
  </cols>
  <sheetData>
    <row r="1" customFormat="false" ht="1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2" t="s">
        <v>2</v>
      </c>
    </row>
    <row r="4" customFormat="false" ht="15" hidden="false" customHeight="false" outlineLevel="0" collapsed="false">
      <c r="A4" s="3" t="s">
        <v>3</v>
      </c>
      <c r="B4" s="3" t="s">
        <v>4</v>
      </c>
      <c r="C4" s="3" t="s">
        <v>5</v>
      </c>
    </row>
    <row r="5" customFormat="false" ht="15" hidden="false" customHeight="false" outlineLevel="0" collapsed="false">
      <c r="A5" s="0" t="s">
        <v>6</v>
      </c>
      <c r="B5" s="0" t="s">
        <v>7</v>
      </c>
      <c r="C5" s="0" t="n">
        <v>901.5</v>
      </c>
    </row>
    <row r="6" customFormat="false" ht="15" hidden="false" customHeight="false" outlineLevel="0" collapsed="false">
      <c r="A6" s="0" t="s">
        <v>8</v>
      </c>
      <c r="B6" s="0" t="s">
        <v>9</v>
      </c>
      <c r="C6" s="0" t="n">
        <v>282.5</v>
      </c>
    </row>
    <row r="7" customFormat="false" ht="15" hidden="false" customHeight="false" outlineLevel="0" collapsed="false">
      <c r="A7" s="0" t="s">
        <v>10</v>
      </c>
      <c r="B7" s="0" t="s">
        <v>11</v>
      </c>
      <c r="C7" s="0" t="n">
        <v>147</v>
      </c>
    </row>
    <row r="8" customFormat="false" ht="15" hidden="false" customHeight="false" outlineLevel="0" collapsed="false">
      <c r="A8" s="0" t="s">
        <v>12</v>
      </c>
      <c r="B8" s="0" t="s">
        <v>13</v>
      </c>
      <c r="C8" s="0" t="n">
        <v>129</v>
      </c>
    </row>
    <row r="9" customFormat="false" ht="15" hidden="false" customHeight="false" outlineLevel="0" collapsed="false">
      <c r="A9" s="0" t="s">
        <v>14</v>
      </c>
      <c r="B9" s="0" t="s">
        <v>15</v>
      </c>
      <c r="C9" s="0" t="n">
        <v>37</v>
      </c>
    </row>
    <row r="10" customFormat="false" ht="15" hidden="false" customHeight="false" outlineLevel="0" collapsed="false">
      <c r="A10" s="0" t="s">
        <v>16</v>
      </c>
      <c r="B10" s="0" t="s">
        <v>17</v>
      </c>
      <c r="C10" s="0" t="n">
        <v>66.5</v>
      </c>
    </row>
    <row r="11" customFormat="false" ht="15" hidden="false" customHeight="false" outlineLevel="0" collapsed="false">
      <c r="B11" s="1" t="s">
        <v>18</v>
      </c>
      <c r="C11" s="1" t="n">
        <f aca="false">SUM(C5:C10)</f>
        <v>1563.5</v>
      </c>
    </row>
    <row r="13" customFormat="false" ht="15" hidden="false" customHeight="false" outlineLevel="0" collapsed="false">
      <c r="A13" s="2" t="s">
        <v>19</v>
      </c>
    </row>
    <row r="14" customFormat="false" ht="15" hidden="false" customHeight="false" outlineLevel="0" collapsed="false">
      <c r="A14" s="3" t="s">
        <v>3</v>
      </c>
      <c r="B14" s="3" t="s">
        <v>20</v>
      </c>
      <c r="C14" s="3" t="s">
        <v>21</v>
      </c>
    </row>
    <row r="15" customFormat="false" ht="15" hidden="false" customHeight="false" outlineLevel="0" collapsed="false">
      <c r="A15" s="0" t="s">
        <v>6</v>
      </c>
      <c r="B15" s="0" t="s">
        <v>7</v>
      </c>
      <c r="C15" s="0" t="n">
        <v>670</v>
      </c>
    </row>
    <row r="16" customFormat="false" ht="15" hidden="false" customHeight="false" outlineLevel="0" collapsed="false">
      <c r="A16" s="0" t="s">
        <v>8</v>
      </c>
      <c r="B16" s="0" t="s">
        <v>9</v>
      </c>
      <c r="C16" s="0" t="n">
        <v>286.5</v>
      </c>
    </row>
    <row r="17" customFormat="false" ht="15" hidden="false" customHeight="false" outlineLevel="0" collapsed="false">
      <c r="A17" s="0" t="s">
        <v>10</v>
      </c>
      <c r="B17" s="0" t="s">
        <v>11</v>
      </c>
      <c r="C17" s="0" t="n">
        <v>102.5</v>
      </c>
    </row>
    <row r="18" customFormat="false" ht="15" hidden="false" customHeight="false" outlineLevel="0" collapsed="false">
      <c r="A18" s="0" t="s">
        <v>12</v>
      </c>
      <c r="B18" s="0" t="s">
        <v>13</v>
      </c>
      <c r="C18" s="0" t="n">
        <v>130</v>
      </c>
    </row>
    <row r="19" customFormat="false" ht="15" hidden="false" customHeight="false" outlineLevel="0" collapsed="false">
      <c r="A19" s="0" t="s">
        <v>14</v>
      </c>
      <c r="B19" s="0" t="s">
        <v>15</v>
      </c>
      <c r="C19" s="0" t="n">
        <v>66.5</v>
      </c>
    </row>
    <row r="20" customFormat="false" ht="15" hidden="false" customHeight="false" outlineLevel="0" collapsed="false">
      <c r="A20" s="0" t="s">
        <v>16</v>
      </c>
      <c r="B20" s="0" t="s">
        <v>17</v>
      </c>
      <c r="C20" s="0" t="n">
        <v>56</v>
      </c>
    </row>
    <row r="21" customFormat="false" ht="15" hidden="false" customHeight="false" outlineLevel="0" collapsed="false">
      <c r="B21" s="1" t="s">
        <v>22</v>
      </c>
      <c r="C21" s="1" t="n">
        <f aca="false">SUM(C15:C20)</f>
        <v>1311.5</v>
      </c>
    </row>
    <row r="23" customFormat="false" ht="15" hidden="false" customHeight="false" outlineLevel="0" collapsed="false">
      <c r="A23" s="2" t="s">
        <v>23</v>
      </c>
    </row>
    <row r="24" customFormat="false" ht="15" hidden="false" customHeight="false" outlineLevel="0" collapsed="false">
      <c r="A24" s="3" t="s">
        <v>3</v>
      </c>
      <c r="B24" s="3" t="s">
        <v>20</v>
      </c>
      <c r="C24" s="3" t="s">
        <v>24</v>
      </c>
    </row>
    <row r="25" customFormat="false" ht="15" hidden="false" customHeight="false" outlineLevel="0" collapsed="false">
      <c r="A25" s="0" t="s">
        <v>6</v>
      </c>
      <c r="B25" s="0" t="s">
        <v>7</v>
      </c>
      <c r="C25" s="0" t="n">
        <v>662</v>
      </c>
    </row>
    <row r="26" customFormat="false" ht="15" hidden="false" customHeight="false" outlineLevel="0" collapsed="false">
      <c r="A26" s="0" t="s">
        <v>8</v>
      </c>
      <c r="B26" s="0" t="s">
        <v>9</v>
      </c>
      <c r="C26" s="0" t="n">
        <v>308</v>
      </c>
    </row>
    <row r="27" customFormat="false" ht="15" hidden="false" customHeight="false" outlineLevel="0" collapsed="false">
      <c r="A27" s="0" t="s">
        <v>10</v>
      </c>
      <c r="B27" s="0" t="s">
        <v>11</v>
      </c>
      <c r="C27" s="0" t="n">
        <v>97</v>
      </c>
    </row>
    <row r="28" customFormat="false" ht="15" hidden="false" customHeight="false" outlineLevel="0" collapsed="false">
      <c r="A28" s="0" t="s">
        <v>12</v>
      </c>
      <c r="B28" s="0" t="s">
        <v>13</v>
      </c>
      <c r="C28" s="0" t="n">
        <v>123.5</v>
      </c>
    </row>
    <row r="29" customFormat="false" ht="15" hidden="false" customHeight="false" outlineLevel="0" collapsed="false">
      <c r="A29" s="0" t="s">
        <v>14</v>
      </c>
      <c r="B29" s="0" t="s">
        <v>15</v>
      </c>
      <c r="C29" s="0" t="n">
        <v>59</v>
      </c>
    </row>
    <row r="30" customFormat="false" ht="15" hidden="false" customHeight="false" outlineLevel="0" collapsed="false">
      <c r="A30" s="0" t="s">
        <v>16</v>
      </c>
      <c r="B30" s="0" t="s">
        <v>17</v>
      </c>
      <c r="C30" s="0" t="n">
        <v>74</v>
      </c>
    </row>
    <row r="31" customFormat="false" ht="15" hidden="false" customHeight="false" outlineLevel="0" collapsed="false">
      <c r="B31" s="1" t="s">
        <v>25</v>
      </c>
      <c r="C31" s="1" t="n">
        <f aca="false">SUM(C25:C30)</f>
        <v>1323.5</v>
      </c>
    </row>
    <row r="33" customFormat="false" ht="15" hidden="false" customHeight="false" outlineLevel="0" collapsed="false">
      <c r="A33" s="2" t="s">
        <v>26</v>
      </c>
    </row>
    <row r="34" customFormat="false" ht="15" hidden="false" customHeight="false" outlineLevel="0" collapsed="false">
      <c r="A34" s="3" t="s">
        <v>20</v>
      </c>
      <c r="B34" s="3" t="s">
        <v>27</v>
      </c>
      <c r="C34" s="3" t="s">
        <v>28</v>
      </c>
      <c r="D34" s="3" t="s">
        <v>29</v>
      </c>
    </row>
    <row r="35" customFormat="false" ht="15" hidden="false" customHeight="false" outlineLevel="0" collapsed="false">
      <c r="A35" s="0" t="s">
        <v>7</v>
      </c>
      <c r="B35" s="0" t="n">
        <v>25</v>
      </c>
      <c r="C35" s="0" t="n">
        <v>25</v>
      </c>
      <c r="D35" s="0" t="n">
        <v>25</v>
      </c>
    </row>
    <row r="36" customFormat="false" ht="15" hidden="false" customHeight="false" outlineLevel="0" collapsed="false">
      <c r="A36" s="0" t="s">
        <v>9</v>
      </c>
      <c r="B36" s="0" t="n">
        <v>50</v>
      </c>
      <c r="C36" s="0" t="n">
        <v>50</v>
      </c>
      <c r="D36" s="0" t="n">
        <v>50</v>
      </c>
    </row>
    <row r="37" customFormat="false" ht="15" hidden="false" customHeight="false" outlineLevel="0" collapsed="false">
      <c r="A37" s="0" t="s">
        <v>11</v>
      </c>
      <c r="B37" s="0" t="n">
        <v>25</v>
      </c>
      <c r="C37" s="0" t="n">
        <v>11</v>
      </c>
      <c r="D37" s="0" t="n">
        <v>12.5</v>
      </c>
    </row>
    <row r="38" customFormat="false" ht="15" hidden="false" customHeight="false" outlineLevel="0" collapsed="false">
      <c r="A38" s="0" t="s">
        <v>13</v>
      </c>
      <c r="B38" s="0" t="n">
        <v>25</v>
      </c>
      <c r="C38" s="0" t="n">
        <v>22</v>
      </c>
      <c r="D38" s="0" t="n">
        <v>21</v>
      </c>
    </row>
    <row r="39" customFormat="false" ht="15" hidden="false" customHeight="false" outlineLevel="0" collapsed="false">
      <c r="A39" s="0" t="s">
        <v>15</v>
      </c>
      <c r="B39" s="0" t="n">
        <v>50</v>
      </c>
      <c r="C39" s="0" t="n">
        <v>44</v>
      </c>
      <c r="D39" s="0" t="n">
        <v>42</v>
      </c>
    </row>
    <row r="40" customFormat="false" ht="15" hidden="false" customHeight="false" outlineLevel="0" collapsed="false">
      <c r="A40" s="0" t="s">
        <v>17</v>
      </c>
      <c r="B40" s="0" t="n">
        <v>25</v>
      </c>
      <c r="C40" s="0" t="n">
        <v>15</v>
      </c>
      <c r="D40" s="0" t="n">
        <v>12.5</v>
      </c>
    </row>
    <row r="42" customFormat="false" ht="15" hidden="false" customHeight="false" outlineLevel="0" collapsed="false">
      <c r="A42" s="2" t="s">
        <v>30</v>
      </c>
    </row>
    <row r="43" customFormat="false" ht="15" hidden="false" customHeight="false" outlineLevel="0" collapsed="false">
      <c r="A43" s="3" t="s">
        <v>31</v>
      </c>
      <c r="B43" s="3" t="s">
        <v>32</v>
      </c>
      <c r="C43" s="3" t="s">
        <v>33</v>
      </c>
    </row>
    <row r="44" customFormat="false" ht="15" hidden="false" customHeight="false" outlineLevel="0" collapsed="false">
      <c r="A44" s="0" t="s">
        <v>34</v>
      </c>
      <c r="B44" s="0" t="n">
        <v>99</v>
      </c>
      <c r="C44" s="0" t="n">
        <f aca="false">B44*8</f>
        <v>792</v>
      </c>
    </row>
    <row r="45" customFormat="false" ht="15" hidden="false" customHeight="false" outlineLevel="0" collapsed="false">
      <c r="A45" s="0" t="s">
        <v>35</v>
      </c>
      <c r="B45" s="0" t="n">
        <v>79</v>
      </c>
      <c r="C45" s="0" t="n">
        <f aca="false">B45*8</f>
        <v>632</v>
      </c>
    </row>
    <row r="46" customFormat="false" ht="15" hidden="false" customHeight="false" outlineLevel="0" collapsed="false">
      <c r="A46" s="0" t="s">
        <v>36</v>
      </c>
      <c r="B46" s="0" t="n">
        <v>84</v>
      </c>
      <c r="C46" s="0" t="n">
        <f aca="false">B46*8</f>
        <v>672</v>
      </c>
    </row>
    <row r="47" customFormat="false" ht="15" hidden="false" customHeight="false" outlineLevel="0" collapsed="false">
      <c r="A47" s="1" t="s">
        <v>37</v>
      </c>
      <c r="B47" s="1" t="n">
        <f aca="false">SUM(B44:B46)</f>
        <v>262</v>
      </c>
      <c r="C47" s="1" t="n">
        <f aca="false">SUM(C44:C46)</f>
        <v>2096</v>
      </c>
    </row>
    <row r="49" customFormat="false" ht="15" hidden="false" customHeight="false" outlineLevel="0" collapsed="false">
      <c r="A49" s="2" t="s">
        <v>38</v>
      </c>
    </row>
    <row r="50" customFormat="false" ht="15" hidden="false" customHeight="false" outlineLevel="0" collapsed="false">
      <c r="A50" s="3" t="s">
        <v>39</v>
      </c>
      <c r="B50" s="3" t="s">
        <v>40</v>
      </c>
      <c r="C50" s="3" t="s">
        <v>41</v>
      </c>
    </row>
    <row r="51" customFormat="false" ht="15" hidden="false" customHeight="false" outlineLevel="0" collapsed="false">
      <c r="A51" s="0" t="s">
        <v>42</v>
      </c>
      <c r="B51" s="0" t="n">
        <v>0.12</v>
      </c>
      <c r="C51" s="0" t="s">
        <v>43</v>
      </c>
    </row>
    <row r="52" customFormat="false" ht="15" hidden="false" customHeight="false" outlineLevel="0" collapsed="false">
      <c r="A52" s="0" t="s">
        <v>44</v>
      </c>
      <c r="B52" s="0" t="n">
        <v>63200</v>
      </c>
      <c r="C52" s="0" t="s">
        <v>45</v>
      </c>
    </row>
    <row r="53" customFormat="false" ht="15" hidden="false" customHeight="false" outlineLevel="0" collapsed="false">
      <c r="A53" s="0" t="s">
        <v>46</v>
      </c>
      <c r="B53" s="0" t="n">
        <v>53720</v>
      </c>
      <c r="C53" s="0" t="s">
        <v>47</v>
      </c>
    </row>
    <row r="54" customFormat="false" ht="15" hidden="false" customHeight="false" outlineLevel="0" collapsed="false">
      <c r="A54" s="0" t="s">
        <v>48</v>
      </c>
      <c r="B54" s="0" t="n">
        <v>7180.52</v>
      </c>
      <c r="C54" s="0" t="s">
        <v>49</v>
      </c>
    </row>
    <row r="55" customFormat="false" ht="15" hidden="false" customHeight="false" outlineLevel="0" collapsed="false">
      <c r="A55" s="0" t="s">
        <v>50</v>
      </c>
      <c r="B55" s="0" t="n">
        <v>0.1</v>
      </c>
      <c r="C55" s="0" t="s">
        <v>51</v>
      </c>
    </row>
    <row r="56" customFormat="false" ht="15" hidden="false" customHeight="false" outlineLevel="0" collapsed="false">
      <c r="A56" s="0" t="s">
        <v>52</v>
      </c>
      <c r="B56" s="0" t="n">
        <v>0.15</v>
      </c>
      <c r="C56" s="0" t="s">
        <v>53</v>
      </c>
    </row>
    <row r="57" customFormat="false" ht="15" hidden="false" customHeight="false" outlineLevel="0" collapsed="false">
      <c r="A57" s="0" t="s">
        <v>54</v>
      </c>
      <c r="B57" s="0" t="n">
        <v>3.1</v>
      </c>
      <c r="C57" s="0"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7" min="2" style="0" width="20"/>
  </cols>
  <sheetData>
    <row r="1" customFormat="false" ht="15" hidden="false" customHeight="false" outlineLevel="0" collapsed="false">
      <c r="A1" s="1" t="s">
        <v>56</v>
      </c>
    </row>
    <row r="2" customFormat="false" ht="15" hidden="false" customHeight="false" outlineLevel="0" collapsed="false">
      <c r="A2" s="1" t="s">
        <v>57</v>
      </c>
    </row>
    <row r="3" customFormat="false" ht="15" hidden="false" customHeight="false" outlineLevel="0" collapsed="false">
      <c r="A3" s="3" t="s">
        <v>31</v>
      </c>
      <c r="B3" s="3" t="s">
        <v>58</v>
      </c>
      <c r="C3" s="3" t="s">
        <v>59</v>
      </c>
      <c r="D3" s="3" t="s">
        <v>60</v>
      </c>
      <c r="E3" s="3" t="s">
        <v>61</v>
      </c>
      <c r="F3" s="3" t="s">
        <v>62</v>
      </c>
      <c r="G3" s="3" t="s">
        <v>63</v>
      </c>
    </row>
    <row r="4" customFormat="false" ht="15" hidden="false" customHeight="false" outlineLevel="0" collapsed="false">
      <c r="A4" s="0" t="s">
        <v>64</v>
      </c>
      <c r="B4" s="0" t="n">
        <f aca="false">Sources!C5*Sources!B35/100+Sources!C6*Sources!B36/100+Sources!C7*Sources!B37/100+Sources!C8*Sources!B38/100+Sources!C9*Sources!B39/100+Sources!C10*Sources!B40/100</f>
        <v>470.75</v>
      </c>
      <c r="C4" s="0" t="n">
        <f aca="false">Sources!C5*Sources!C35/100+Sources!C6*Sources!C36/100+Sources!C7*Sources!C37/100+Sources!C8*Sources!C38/100+Sources!C9*Sources!C39/100+Sources!C10*Sources!C40/100</f>
        <v>437.43</v>
      </c>
      <c r="D4" s="0" t="n">
        <f aca="false">Sources!C5*Sources!D35/100+Sources!C6*Sources!D36/100+Sources!C7*Sources!D37/100+Sources!C8*Sources!D38/100+Sources!C9*Sources!D39/100+Sources!C10*Sources!D40/100</f>
        <v>435.9425</v>
      </c>
      <c r="E4" s="0" t="n">
        <f aca="false">Sources!C44</f>
        <v>792</v>
      </c>
      <c r="F4" s="0" t="n">
        <f aca="false">D4*Sources!B55</f>
        <v>43.59425</v>
      </c>
      <c r="G4" s="0" t="n">
        <f aca="false">Sources!B44*Sources!B51</f>
        <v>11.88</v>
      </c>
    </row>
    <row r="5" customFormat="false" ht="15" hidden="false" customHeight="false" outlineLevel="0" collapsed="false">
      <c r="A5" s="0" t="s">
        <v>65</v>
      </c>
      <c r="B5" s="0" t="n">
        <f aca="false">Sources!C15*Sources!B35/100+Sources!C16*Sources!B36/100+Sources!C17*Sources!B37/100+Sources!C18*Sources!B38/100+Sources!C19*Sources!B39/100+Sources!C20*Sources!B40/100</f>
        <v>416.125</v>
      </c>
      <c r="C5" s="0" t="n">
        <f aca="false">Sources!C15*Sources!C35/100+Sources!C16*Sources!C36/100+Sources!C17*Sources!C37/100+Sources!C18*Sources!C38/100+Sources!C19*Sources!C39/100+Sources!C20*Sources!C40/100</f>
        <v>388.285</v>
      </c>
      <c r="D5" s="0" t="n">
        <f aca="false">Sources!C15*Sources!D35/100+Sources!C16*Sources!D36/100+Sources!C17*Sources!D37/100+Sources!C18*Sources!D38/100+Sources!C19*Sources!D39/100+Sources!C20*Sources!D40/100</f>
        <v>385.7925</v>
      </c>
      <c r="E5" s="0" t="n">
        <f aca="false">Sources!C45</f>
        <v>632</v>
      </c>
      <c r="F5" s="0" t="n">
        <f aca="false">D5*Sources!B55</f>
        <v>38.57925</v>
      </c>
      <c r="G5" s="0" t="n">
        <f aca="false">Sources!B45*Sources!B51</f>
        <v>9.48</v>
      </c>
    </row>
    <row r="6" customFormat="false" ht="15" hidden="false" customHeight="false" outlineLevel="0" collapsed="false">
      <c r="A6" s="0" t="s">
        <v>66</v>
      </c>
      <c r="B6" s="0" t="n">
        <f aca="false">Sources!C25*Sources!B35/100+Sources!C26*Sources!B36/100+Sources!C27*Sources!B37/100+Sources!C28*Sources!B38/100+Sources!C29*Sources!B39/100+Sources!C30*Sources!B40/100</f>
        <v>422.625</v>
      </c>
      <c r="C6" s="0" t="n">
        <f aca="false">Sources!C25*Sources!C35/100+Sources!C26*Sources!C36/100+Sources!C27*Sources!C37/100+Sources!C28*Sources!C38/100+Sources!C29*Sources!C39/100+Sources!C30*Sources!C40/100</f>
        <v>394.4</v>
      </c>
      <c r="D6" s="0" t="n">
        <f aca="false">Sources!C25*Sources!D35/100+Sources!C26*Sources!D36/100+Sources!C27*Sources!D37/100+Sources!C28*Sources!D38/100+Sources!C29*Sources!D39/100+Sources!C30*Sources!D40/100</f>
        <v>391.59</v>
      </c>
      <c r="E6" s="0" t="n">
        <f aca="false">Sources!C46</f>
        <v>672</v>
      </c>
      <c r="F6" s="0" t="n">
        <f aca="false">D6*Sources!B55</f>
        <v>39.159</v>
      </c>
      <c r="G6" s="0" t="n">
        <f aca="false">Sources!B46*Sources!B51</f>
        <v>10.08</v>
      </c>
    </row>
    <row r="7" customFormat="false" ht="15" hidden="false" customHeight="false" outlineLevel="0" collapsed="false">
      <c r="A7" s="1" t="s">
        <v>67</v>
      </c>
      <c r="B7" s="1" t="n">
        <f aca="false">SUM(B4:B6)</f>
        <v>1309.5</v>
      </c>
      <c r="C7" s="1" t="n">
        <f aca="false">SUM(C4:C6)</f>
        <v>1220.115</v>
      </c>
      <c r="D7" s="1" t="n">
        <f aca="false">SUM(D4:D6)</f>
        <v>1213.325</v>
      </c>
      <c r="E7" s="1" t="n">
        <f aca="false">SUM(E4:E6)</f>
        <v>2096</v>
      </c>
      <c r="F7" s="1" t="n">
        <f aca="false">SUM(F4:F6)</f>
        <v>121.3325</v>
      </c>
      <c r="G7" s="1" t="n">
        <f aca="false">SUM(G4:G6)</f>
        <v>31.44</v>
      </c>
    </row>
    <row r="9" customFormat="false" ht="15" hidden="false" customHeight="false" outlineLevel="0" collapsed="false">
      <c r="A9" s="1" t="s">
        <v>68</v>
      </c>
    </row>
    <row r="10" customFormat="false" ht="15" hidden="false" customHeight="false" outlineLevel="0" collapsed="false">
      <c r="A10" s="3" t="s">
        <v>31</v>
      </c>
      <c r="B10" s="3" t="s">
        <v>69</v>
      </c>
      <c r="C10" s="3" t="s">
        <v>70</v>
      </c>
      <c r="D10" s="3" t="s">
        <v>71</v>
      </c>
      <c r="E10" s="3" t="s">
        <v>72</v>
      </c>
      <c r="F10" s="3" t="s">
        <v>73</v>
      </c>
    </row>
    <row r="11" customFormat="false" ht="15" hidden="false" customHeight="false" outlineLevel="0" collapsed="false">
      <c r="A11" s="0" t="s">
        <v>34</v>
      </c>
      <c r="B11" s="0" t="n">
        <f aca="false">D4</f>
        <v>435.9425</v>
      </c>
      <c r="C11" s="0" t="n">
        <f aca="false">F4</f>
        <v>43.59425</v>
      </c>
      <c r="D11" s="0" t="n">
        <f aca="false">D4*Sources!B56</f>
        <v>65.391375</v>
      </c>
      <c r="E11" s="0" t="s">
        <v>74</v>
      </c>
      <c r="F11" s="0" t="str">
        <f aca="false">IF(C11&lt;D11,"OUI","OUI a fortiori sur le disponible")</f>
        <v>OUI</v>
      </c>
    </row>
    <row r="12" customFormat="false" ht="15" hidden="false" customHeight="false" outlineLevel="0" collapsed="false">
      <c r="A12" s="0" t="s">
        <v>35</v>
      </c>
      <c r="B12" s="0" t="n">
        <f aca="false">D5</f>
        <v>385.7925</v>
      </c>
      <c r="C12" s="0" t="n">
        <f aca="false">F5</f>
        <v>38.57925</v>
      </c>
      <c r="D12" s="0" t="n">
        <f aca="false">D5*Sources!B56</f>
        <v>57.868875</v>
      </c>
      <c r="E12" s="0" t="s">
        <v>75</v>
      </c>
      <c r="F12" s="0" t="str">
        <f aca="false">IF(C12&lt;D12,"OUI","OUI a fortiori sur le disponible")</f>
        <v>OUI</v>
      </c>
    </row>
    <row r="13" customFormat="false" ht="15" hidden="false" customHeight="false" outlineLevel="0" collapsed="false">
      <c r="A13" s="0" t="s">
        <v>36</v>
      </c>
      <c r="B13" s="0" t="n">
        <f aca="false">D6</f>
        <v>391.59</v>
      </c>
      <c r="C13" s="0" t="n">
        <f aca="false">F6</f>
        <v>39.159</v>
      </c>
      <c r="D13" s="0" t="n">
        <f aca="false">D6*Sources!B56</f>
        <v>58.7385</v>
      </c>
      <c r="E13" s="0" t="n">
        <f aca="false">Sources!B52/100*Sources!B56</f>
        <v>94.8</v>
      </c>
      <c r="F13" s="0" t="str">
        <f aca="false">IF(C13&lt;E13,"OUI","NON")</f>
        <v>OUI</v>
      </c>
    </row>
    <row r="15" customFormat="false" ht="15" hidden="false" customHeight="false" outlineLevel="0" collapsed="false">
      <c r="A15" s="1" t="s">
        <v>76</v>
      </c>
    </row>
    <row r="16" customFormat="false" ht="15" hidden="false" customHeight="false" outlineLevel="0" collapsed="false">
      <c r="A16" s="0" t="s">
        <v>77</v>
      </c>
      <c r="B16" s="0" t="n">
        <f aca="false">D7</f>
        <v>1213.325</v>
      </c>
    </row>
    <row r="17" customFormat="false" ht="15" hidden="false" customHeight="false" outlineLevel="0" collapsed="false">
      <c r="A17" s="0" t="s">
        <v>78</v>
      </c>
      <c r="B17" s="0" t="n">
        <f aca="false">F7</f>
        <v>121.3325</v>
      </c>
    </row>
    <row r="18" customFormat="false" ht="15" hidden="false" customHeight="false" outlineLevel="0" collapsed="false">
      <c r="A18" s="0" t="s">
        <v>79</v>
      </c>
      <c r="B18" s="0" t="n">
        <f aca="false">G7</f>
        <v>31.44</v>
      </c>
    </row>
    <row r="19" customFormat="false" ht="15" hidden="false" customHeight="false" outlineLevel="0" collapsed="false">
      <c r="A19" s="0" t="s">
        <v>80</v>
      </c>
      <c r="B19" s="0" t="n">
        <f aca="false">G7/F7</f>
        <v>0.25912265880947</v>
      </c>
    </row>
    <row r="20" customFormat="false" ht="15" hidden="false" customHeight="false" outlineLevel="0" collapsed="false">
      <c r="A20" s="0" t="s">
        <v>81</v>
      </c>
      <c r="B20" s="0" t="n">
        <f aca="false">G7/Sources!C47</f>
        <v>0.015</v>
      </c>
    </row>
    <row r="22" customFormat="false" ht="15" hidden="false" customHeight="false" outlineLevel="0" collapsed="false">
      <c r="A22" s="1" t="s">
        <v>82</v>
      </c>
    </row>
    <row r="23" customFormat="false" ht="15" hidden="false" customHeight="false" outlineLevel="0" collapsed="false">
      <c r="A23" s="0" t="s">
        <v>83</v>
      </c>
      <c r="B23" s="0" t="n">
        <f aca="false">Sources!B52/100</f>
        <v>632</v>
      </c>
    </row>
    <row r="24" customFormat="false" ht="15" hidden="false" customHeight="false" outlineLevel="0" collapsed="false">
      <c r="A24" s="0" t="s">
        <v>84</v>
      </c>
      <c r="B24" s="0" t="n">
        <f aca="false">B23*Sources!B56</f>
        <v>94.8</v>
      </c>
    </row>
    <row r="25" customFormat="false" ht="15" hidden="false" customHeight="false" outlineLevel="0" collapsed="false">
      <c r="A25" s="0" t="s">
        <v>85</v>
      </c>
      <c r="B25" s="0" t="n">
        <f aca="false">Sources!C46*Sources!B56</f>
        <v>100.8</v>
      </c>
    </row>
    <row r="26" customFormat="false" ht="15" hidden="false" customHeight="false" outlineLevel="0" collapsed="false">
      <c r="A26" s="0" t="s">
        <v>86</v>
      </c>
      <c r="B26" s="0" t="n">
        <f aca="false">F6</f>
        <v>39.159</v>
      </c>
    </row>
    <row r="27" customFormat="false" ht="15" hidden="false" customHeight="false" outlineLevel="0" collapsed="false">
      <c r="A27" s="0" t="s">
        <v>87</v>
      </c>
      <c r="B27" s="0" t="n">
        <f aca="false">B24/B26</f>
        <v>2.4208994100973</v>
      </c>
    </row>
    <row r="29" customFormat="false" ht="15" hidden="false" customHeight="false" outlineLevel="0" collapsed="false">
      <c r="A29" s="1" t="s">
        <v>88</v>
      </c>
    </row>
    <row r="30" customFormat="false" ht="15" hidden="false" customHeight="false" outlineLevel="0" collapsed="false">
      <c r="A30" s="0" t="s">
        <v>89</v>
      </c>
      <c r="B30" s="0" t="n">
        <f aca="false">1-(1-Sources!B56)*(1-Sources!B56)</f>
        <v>0.2775</v>
      </c>
    </row>
    <row r="32" customFormat="false" ht="15" hidden="false" customHeight="false" outlineLevel="0" collapsed="false">
      <c r="A32" s="1" t="s">
        <v>90</v>
      </c>
    </row>
    <row r="33" customFormat="false" ht="15" hidden="false" customHeight="false" outlineLevel="0" collapsed="false">
      <c r="A33" s="0" t="s">
        <v>91</v>
      </c>
      <c r="B33" s="0" t="n">
        <f aca="false">Sources!B54/Sources!B53</f>
        <v>0.133665673864483</v>
      </c>
    </row>
    <row r="34" customFormat="false" ht="15" hidden="false" customHeight="false" outlineLevel="0" collapsed="false">
      <c r="A34" s="0" t="s">
        <v>92</v>
      </c>
      <c r="B34" s="0" t="n">
        <f aca="false">Sources!B52/100*B33</f>
        <v>84.476705882353</v>
      </c>
    </row>
    <row r="35" customFormat="false" ht="15" hidden="false" customHeight="false" outlineLevel="0" collapsed="false">
      <c r="A35" s="0" t="s">
        <v>93</v>
      </c>
      <c r="B35" s="0" t="n">
        <f aca="false">B34*(1-Sources!B56)*(1+Sources!B57)</f>
        <v>294.40132</v>
      </c>
    </row>
    <row r="36" customFormat="false" ht="15" hidden="false" customHeight="false" outlineLevel="0" collapsed="false">
      <c r="A36" s="0" t="s">
        <v>94</v>
      </c>
      <c r="B36" s="0" t="n">
        <f aca="false">B35/(Sources!B52/100*0.01)</f>
        <v>46.5824873417722</v>
      </c>
    </row>
    <row r="37" customFormat="false" ht="15" hidden="false" customHeight="false" outlineLevel="0" collapsed="false">
      <c r="A37" s="0" t="s">
        <v>95</v>
      </c>
      <c r="B37" s="0" t="n">
        <f aca="false">MAX(0,B26-B24)</f>
        <v>0</v>
      </c>
    </row>
    <row r="38" customFormat="false" ht="15" hidden="false" customHeight="false" outlineLevel="0" collapsed="false">
      <c r="A38" s="1" t="s">
        <v>96</v>
      </c>
      <c r="B38" s="1" t="n">
        <f aca="false">B37*B36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4" t="s">
        <v>97</v>
      </c>
    </row>
    <row r="2" customFormat="false" ht="28.35" hidden="false" customHeight="false" outlineLevel="0" collapsed="false">
      <c r="A2" s="5" t="s">
        <v>98</v>
      </c>
    </row>
    <row r="3" customFormat="false" ht="41.75" hidden="false" customHeight="false" outlineLevel="0" collapsed="false">
      <c r="A3" s="5" t="s">
        <v>99</v>
      </c>
    </row>
    <row r="4" customFormat="false" ht="15" hidden="false" customHeight="false" outlineLevel="0" collapsed="false">
      <c r="A4" s="5" t="s">
        <v>100</v>
      </c>
    </row>
    <row r="5" customFormat="false" ht="15" hidden="false" customHeight="false" outlineLevel="0" collapsed="false">
      <c r="A5" s="5" t="s">
        <v>101</v>
      </c>
    </row>
    <row r="6" customFormat="false" ht="28.35" hidden="false" customHeight="false" outlineLevel="0" collapsed="false">
      <c r="A6" s="5" t="s">
        <v>102</v>
      </c>
    </row>
    <row r="7" customFormat="false" ht="41.75" hidden="false" customHeight="false" outlineLevel="0" collapsed="false">
      <c r="A7" s="5" t="s">
        <v>103</v>
      </c>
    </row>
    <row r="8" customFormat="false" ht="28.35" hidden="false" customHeight="false" outlineLevel="0" collapsed="false">
      <c r="A8" s="5" t="s">
        <v>104</v>
      </c>
    </row>
    <row r="9" customFormat="false" ht="41.75" hidden="false" customHeight="false" outlineLevel="0" collapsed="false">
      <c r="A9" s="5" t="s">
        <v>105</v>
      </c>
    </row>
    <row r="10" customFormat="false" ht="41.75" hidden="false" customHeight="false" outlineLevel="0" collapsed="false">
      <c r="A10" s="5" t="s">
        <v>106</v>
      </c>
    </row>
    <row r="11" customFormat="false" ht="41.75" hidden="false" customHeight="false" outlineLevel="0" collapsed="false">
      <c r="A11" s="5" t="s">
        <v>107</v>
      </c>
    </row>
    <row r="12" customFormat="false" ht="28.35" hidden="false" customHeight="false" outlineLevel="0" collapsed="false">
      <c r="A12" s="5" t="s">
        <v>108</v>
      </c>
    </row>
    <row r="13" customFormat="false" ht="41.75" hidden="false" customHeight="false" outlineLevel="0" collapsed="false">
      <c r="A13" s="5" t="s">
        <v>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2026-10-25T21:23:24Z</dcterms:created>
  <dc:creator>openpyxl</dc:creator>
  <dc:description/>
  <dc:language>en-US</dc:language>
  <cp:lastModifiedBy/>
  <dcterms:modified xsi:type="dcterms:W3CDTF">2026-10-25T21:23:35Z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