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s" sheetId="1" state="visible" r:id="rId1"/>
    <sheet xmlns:r="http://schemas.openxmlformats.org/officeDocument/2006/relationships" name="Assiette sociale (QP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A0740D"/>
      </patternFill>
    </fill>
    <fill>
      <patternFill patternType="solid">
        <fgColor rgb="00F4E9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Cascade des distributions par co-gérant (propositions du 19/10/2026)</t>
        </is>
      </c>
    </row>
    <row r="3">
      <c r="A3" s="2" t="inlineStr">
        <is>
          <t>Élément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Total 3 ans</t>
        </is>
      </c>
    </row>
    <row r="4">
      <c r="A4" t="inlineStr">
        <is>
          <t>Dissimulation TTC (reconstitution)</t>
        </is>
      </c>
      <c r="B4" s="3" t="n">
        <v>193235</v>
      </c>
      <c r="C4" s="3" t="n">
        <v>138864</v>
      </c>
      <c r="D4" s="3" t="n">
        <v>139728</v>
      </c>
      <c r="E4" s="3" t="n">
        <v>471827</v>
      </c>
    </row>
    <row r="5">
      <c r="A5" t="inlineStr">
        <is>
          <t>− TVA incluse</t>
        </is>
      </c>
      <c r="B5" s="3" t="n">
        <v>-20421</v>
      </c>
      <c r="C5" s="3" t="n">
        <v>-14854</v>
      </c>
      <c r="D5" s="3" t="n">
        <v>-14652</v>
      </c>
      <c r="E5" s="3" t="n">
        <v>-49927</v>
      </c>
    </row>
    <row r="6">
      <c r="A6">
        <f> Dissimulation HT</f>
        <v/>
      </c>
      <c r="B6" s="3" t="n">
        <v>172814</v>
      </c>
      <c r="C6" s="3" t="n">
        <v>124010</v>
      </c>
      <c r="D6" s="3" t="n">
        <v>125076</v>
      </c>
      <c r="E6" s="3" t="n">
        <v>421900</v>
      </c>
    </row>
    <row r="7">
      <c r="A7" t="inlineStr">
        <is>
          <t>Part HT par co-gérant (÷ 2)</t>
        </is>
      </c>
      <c r="B7" s="3" t="n">
        <v>86407</v>
      </c>
      <c r="C7" s="3" t="n">
        <v>62005</v>
      </c>
      <c r="D7" s="3" t="n">
        <v>62538</v>
      </c>
      <c r="E7" s="3" t="n">
        <v>210950</v>
      </c>
    </row>
    <row r="8">
      <c r="A8" t="inlineStr">
        <is>
          <t>+ Part TVA par co-gérant (÷ 2)</t>
        </is>
      </c>
      <c r="B8" s="3" t="n">
        <v>10210</v>
      </c>
      <c r="C8" s="3" t="n">
        <v>7427</v>
      </c>
      <c r="D8" s="3" t="n">
        <v>7326</v>
      </c>
      <c r="E8" s="3" t="n">
        <v>24963</v>
      </c>
    </row>
    <row r="9">
      <c r="A9" s="4">
        <f> Base RCM par foyer</f>
        <v/>
      </c>
      <c r="B9" s="5" t="n">
        <v>96617</v>
      </c>
      <c r="C9" s="5" t="n">
        <v>69432</v>
      </c>
      <c r="D9" s="5" t="n">
        <v>69864</v>
      </c>
      <c r="E9" s="5" t="n">
        <v>235913</v>
      </c>
    </row>
    <row r="10">
      <c r="A10" s="4" t="inlineStr">
        <is>
          <t>× 1,25 → assiette IR (art. 158-7-2°)</t>
        </is>
      </c>
      <c r="B10" s="5" t="n">
        <v>120771</v>
      </c>
      <c r="C10" s="5" t="n">
        <v>86790</v>
      </c>
      <c r="D10" s="5" t="n">
        <v>87330</v>
      </c>
      <c r="E10" s="5" t="n">
        <v>294891</v>
      </c>
    </row>
    <row r="12">
      <c r="A12" s="6" t="inlineStr">
        <is>
          <t>CONTRÔLES (recalcul vs notifié)</t>
        </is>
      </c>
    </row>
    <row r="13">
      <c r="A13" s="2" t="inlineStr">
        <is>
          <t>Calcul</t>
        </is>
      </c>
      <c r="B13" s="2" t="inlineStr">
        <is>
          <t>Recalculé</t>
        </is>
      </c>
      <c r="C13" s="2" t="inlineStr">
        <is>
          <t>Notifié</t>
        </is>
      </c>
      <c r="D13" s="2" t="inlineStr">
        <is>
          <t>Écart</t>
        </is>
      </c>
    </row>
    <row r="14">
      <c r="A14" t="inlineStr">
        <is>
          <t>HT 2023 = 193 235 − 20 421</t>
        </is>
      </c>
      <c r="B14" s="7" t="n">
        <v>172814</v>
      </c>
      <c r="C14" s="7" t="n">
        <v>172814</v>
      </c>
      <c r="D14" s="7" t="n">
        <v>0</v>
      </c>
    </row>
    <row r="15">
      <c r="A15" t="inlineStr">
        <is>
          <t>Part HT 2023 = 172 814 ÷ 2</t>
        </is>
      </c>
      <c r="B15" s="7" t="n">
        <v>86407</v>
      </c>
      <c r="C15" s="7" t="n">
        <v>86407</v>
      </c>
      <c r="D15" s="7" t="n">
        <v>0</v>
      </c>
    </row>
    <row r="16">
      <c r="A16" t="inlineStr">
        <is>
          <t>Base RCM 2023 = 86 407 + 10 210</t>
        </is>
      </c>
      <c r="B16" s="7" t="n">
        <v>96617</v>
      </c>
      <c r="C16" s="7" t="n">
        <v>96617</v>
      </c>
      <c r="D16" s="7" t="n">
        <v>0</v>
      </c>
    </row>
    <row r="17">
      <c r="A17" t="inlineStr">
        <is>
          <t>Assiette IR 2023 = 96 617 × 1,25</t>
        </is>
      </c>
      <c r="B17" s="7" t="n">
        <v>120771</v>
      </c>
      <c r="C17" s="7" t="n">
        <v>120771</v>
      </c>
      <c r="D17" s="7" t="n">
        <v>0</v>
      </c>
    </row>
    <row r="18">
      <c r="A18" t="inlineStr">
        <is>
          <t>Base RCM 3 ans par foyer</t>
        </is>
      </c>
      <c r="B18" s="7" t="n">
        <v>235913</v>
      </c>
      <c r="C18" s="7" t="n">
        <v>235913</v>
      </c>
      <c r="D18" s="7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16" customWidth="1" min="5" max="5"/>
  </cols>
  <sheetData>
    <row r="1">
      <c r="A1" s="1" t="inlineStr">
        <is>
          <t>Contrôle QPC 2017-643/650 : le coefficient 1,25 est exclu de l'assiette sociale</t>
        </is>
      </c>
    </row>
    <row r="3">
      <c r="A3" s="2" t="inlineStr">
        <is>
          <t>Foyer / année</t>
        </is>
      </c>
      <c r="B3" s="2" t="inlineStr">
        <is>
          <t>Base RCM</t>
        </is>
      </c>
      <c r="C3" s="2" t="inlineStr">
        <is>
          <t>Assiette IR (×1,25)</t>
        </is>
      </c>
      <c r="D3" s="2" t="inlineStr">
        <is>
          <t>Assiette sociale retenue</t>
        </is>
      </c>
      <c r="E3" s="2" t="inlineStr">
        <is>
          <t>Conforme</t>
        </is>
      </c>
    </row>
    <row r="4">
      <c r="A4" t="inlineStr">
        <is>
          <t>BEHEM 2023</t>
        </is>
      </c>
      <c r="B4" s="7" t="n">
        <v>96617</v>
      </c>
      <c r="C4" s="7" t="n">
        <v>120771</v>
      </c>
      <c r="D4" s="7" t="n">
        <v>86407</v>
      </c>
      <c r="E4" t="inlineStr">
        <is>
          <t>oui (sans 1,25)</t>
        </is>
      </c>
    </row>
    <row r="5">
      <c r="A5" t="inlineStr">
        <is>
          <t>BEHEM 2024</t>
        </is>
      </c>
      <c r="B5" s="7" t="n">
        <v>69432</v>
      </c>
      <c r="C5" s="7" t="n">
        <v>86790</v>
      </c>
      <c r="D5" s="7" t="n">
        <v>66088</v>
      </c>
      <c r="E5" t="inlineStr">
        <is>
          <t>oui (sans 1,25)</t>
        </is>
      </c>
    </row>
    <row r="6">
      <c r="A6" t="inlineStr">
        <is>
          <t>BEHEM 2025</t>
        </is>
      </c>
      <c r="B6" s="7" t="n">
        <v>69864</v>
      </c>
      <c r="C6" s="7" t="n">
        <v>87330</v>
      </c>
      <c r="D6" s="7" t="n">
        <v>62538</v>
      </c>
      <c r="E6" t="inlineStr">
        <is>
          <t>oui (sans 1,25)</t>
        </is>
      </c>
    </row>
    <row r="7">
      <c r="A7" t="inlineStr">
        <is>
          <t>PASTEUR 2025</t>
        </is>
      </c>
      <c r="B7" s="7" t="n">
        <v>69864</v>
      </c>
      <c r="C7" s="7" t="n">
        <v>87330</v>
      </c>
      <c r="D7" s="7" t="n">
        <v>69865</v>
      </c>
      <c r="E7" t="inlineStr">
        <is>
          <t>oui (sans 1,25)</t>
        </is>
      </c>
    </row>
    <row r="9">
      <c r="A9" s="6" t="inlineStr">
        <is>
          <t>Conclusion : l'assiette sociale exclut le coefficient 1,25 → conforme. Pas de réduction à ce titre.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2026-10-25T15:10:56Z</dcterms:created>
  <dcterms:modified xmlns:dcterms="http://purl.org/dc/terms/" xmlns:xsi="http://www.w3.org/2001/XMLSchema-instance" xsi:type="dcterms:W3CDTF">2026-10-25T15:10:56Z</dcterms:modified>
</cp:coreProperties>
</file>