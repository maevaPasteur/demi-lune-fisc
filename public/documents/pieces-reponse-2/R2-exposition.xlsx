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4"/>
    </font>
    <font>
      <sz val="10"/>
    </font>
  </fonts>
  <fills count="3">
    <fill>
      <patternFill/>
    </fill>
    <fill>
      <patternFill patternType="gray125"/>
    </fill>
    <fill>
      <patternFill patternType="solid">
        <fgColor rgb="006a4d0f"/>
      </patternFill>
    </fill>
  </fills>
  <borders count="2">
    <border>
      <left/>
      <right/>
      <top/>
      <bottom/>
      <diagonal/>
    </border>
    <border>
      <left style="thin">
        <color rgb="00cbb98f"/>
      </left>
      <right style="thin">
        <color rgb="00cbb98f"/>
      </right>
      <top style="thin">
        <color rgb="00cbb98f"/>
      </top>
      <bottom style="thin">
        <color rgb="00cbb98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SOURCES — composantes notifiées (digest 07 ; propositions 18/05 et 19/10)</t>
        </is>
      </c>
    </row>
    <row r="3">
      <c r="A3" s="2" t="inlineStr">
        <is>
          <t>Poste société (proposition 18/05/2026, digest 07)</t>
        </is>
      </c>
      <c r="B3" s="2" t="inlineStr">
        <is>
          <t>Montant (€)</t>
        </is>
      </c>
    </row>
    <row r="4">
      <c r="A4" s="3" t="inlineStr">
        <is>
          <t>IS</t>
        </is>
      </c>
      <c r="B4" s="3" t="n">
        <v>97510</v>
      </c>
    </row>
    <row r="5">
      <c r="A5" s="3" t="inlineStr">
        <is>
          <t>Intérêts de retard IS (art. 1727)</t>
        </is>
      </c>
      <c r="B5" s="3" t="n">
        <v>4661</v>
      </c>
    </row>
    <row r="6">
      <c r="A6" s="3" t="inlineStr">
        <is>
          <t>Majoration 1729 sur IS</t>
        </is>
      </c>
      <c r="B6" s="3" t="n">
        <v>39004</v>
      </c>
    </row>
    <row r="7">
      <c r="A7" s="3" t="inlineStr">
        <is>
          <t>TVA</t>
        </is>
      </c>
      <c r="B7" s="3" t="n">
        <v>49547</v>
      </c>
    </row>
    <row r="8">
      <c r="A8" s="3" t="inlineStr">
        <is>
          <t>Intérêts de retard TVA (art. 1727)</t>
        </is>
      </c>
      <c r="B8" s="3" t="n">
        <v>2607</v>
      </c>
    </row>
    <row r="9">
      <c r="A9" s="3" t="inlineStr">
        <is>
          <t>Majoration 1729 sur TVA</t>
        </is>
      </c>
      <c r="B9" s="3" t="n">
        <v>19819</v>
      </c>
    </row>
    <row r="11">
      <c r="A11" s="2" t="inlineStr">
        <is>
          <t>Suppléments personnels notifiés (propositions 19/10/2026)</t>
        </is>
      </c>
      <c r="B11" s="2" t="inlineStr">
        <is>
          <t>Montant (€)</t>
        </is>
      </c>
    </row>
    <row r="12">
      <c r="A12" s="3" t="inlineStr">
        <is>
          <t>M. PASTEUR (3 ans)</t>
        </is>
      </c>
      <c r="B12" s="3" t="n">
        <v>196945</v>
      </c>
    </row>
    <row r="13">
      <c r="A13" s="3" t="inlineStr">
        <is>
          <t>Mme BEHEM (3 ans)</t>
        </is>
      </c>
      <c r="B13" s="3" t="n">
        <v>172703</v>
      </c>
    </row>
    <row r="15">
      <c r="A15" s="3" t="inlineStr">
        <is>
          <t>Amende 100% art. 1759 initiale (proposition 18/05, avant désignation du 16/06)</t>
        </is>
      </c>
      <c r="B15" s="3" t="n">
        <v>471826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</cols>
  <sheetData>
    <row r="1">
      <c r="A1" s="1" t="inlineStr">
        <is>
          <t>CALCUL — reconstitution des totaux par FORMULE</t>
        </is>
      </c>
    </row>
    <row r="3">
      <c r="A3" s="2" t="inlineStr">
        <is>
          <t>Grandeur</t>
        </is>
      </c>
      <c r="B3" s="2" t="inlineStr">
        <is>
          <t>Formule → résultat</t>
        </is>
      </c>
    </row>
    <row r="4">
      <c r="A4" s="3" t="inlineStr">
        <is>
          <t>Exposition société (maintenue)</t>
        </is>
      </c>
      <c r="B4" s="3">
        <f>SUM(Sources!B4:B9)</f>
        <v/>
      </c>
    </row>
    <row r="5">
      <c r="A5" s="3" t="inlineStr">
        <is>
          <t xml:space="preserve">  dont bloc IS (IS+int+1729)</t>
        </is>
      </c>
      <c r="B5" s="3">
        <f>Sources!B4+Sources!B5+Sources!B6</f>
        <v/>
      </c>
    </row>
    <row r="6">
      <c r="A6" s="3" t="inlineStr">
        <is>
          <t xml:space="preserve">  dont bloc TVA (TVA+int+1729)</t>
        </is>
      </c>
      <c r="B6" s="3">
        <f>Sources!B7+Sources!B8+Sources!B9</f>
        <v/>
      </c>
    </row>
    <row r="7">
      <c r="A7" s="3" t="inlineStr">
        <is>
          <t>Exposition associés (PASTEUR + BEHEM)</t>
        </is>
      </c>
      <c r="B7" s="3">
        <f>Sources!B12+Sources!B13</f>
        <v/>
      </c>
    </row>
    <row r="8">
      <c r="A8" s="4" t="inlineStr">
        <is>
          <t>Exposition réelle actuelle = société + associés</t>
        </is>
      </c>
      <c r="B8" s="4">
        <f>B4+B7</f>
        <v/>
      </c>
    </row>
    <row r="9">
      <c r="A9" s="3" t="inlineStr">
        <is>
          <t>Rappel : exposition avant désignation = société + amende 1759</t>
        </is>
      </c>
      <c r="B9" s="3">
        <f>B4+Sources!B15</f>
        <v/>
      </c>
    </row>
    <row r="10">
      <c r="A10" s="3" t="inlineStr">
        <is>
          <t>Contrôle : (société + amende 1759) − amende 1759 = société</t>
        </is>
      </c>
      <c r="B10" s="3">
        <f>B9-Sources!B15</f>
        <v/>
      </c>
    </row>
    <row r="12">
      <c r="A12" t="inlineStr">
        <is>
          <t>Résultats attendus : société 213 148 € ; associés 369 648 € ; exposition réelle 582 796 € ; avant désignation 684 974 €.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MÉTHODE — reconstitution de l'exposition</t>
        </is>
      </c>
    </row>
    <row r="2">
      <c r="A2" s="6" t="inlineStr"/>
    </row>
    <row r="3">
      <c r="A3" s="6" t="inlineStr">
        <is>
          <t>1. Société (213 148 €). Somme des six postes société maintenus de la proposition du 18/05/2026 (digest 07) : IS 97 510 + intérêts 4 661 + majoration 1729-IS 39 004 + TVA 49 547 + intérêts 2 607 + majoration 1729-TVA 19 819 (onglet Calcul B4 = SOMME). Cette part reste due par la SARL ; elle n'est pas effacée par la désignation des bénéficiaires.</t>
        </is>
      </c>
    </row>
    <row r="4">
      <c r="A4" s="6" t="inlineStr">
        <is>
          <t>2. Associés (369 648 €). Somme des deux suppléments personnels NOTIFIÉS par le service le 19/10/2026 : PASTEUR 196 945 € + BEHEM 172 703 € (onglet Calcul B7). Ce sont les montants du service (PDF scannés) ; leur ventilation interne est traitée dans la pièce R2-taxation-chiffrage.xlsx.</t>
        </is>
      </c>
    </row>
    <row r="5">
      <c r="A5" s="6" t="inlineStr">
        <is>
          <t>3. Exposition réelle (582 796 €). = société 213 148 € + associés 369 648 € (B8). C'est l'exposition effective APRÈS la désignation du 16/06/2026 : la taxation personnelle des deux foyers remplace l'amende de 100 %.</t>
        </is>
      </c>
    </row>
    <row r="6">
      <c r="A6" s="6" t="inlineStr">
        <is>
          <t>4. 684 974 €. Montant initial du 18/05/2026, AVANT désignation = société 213 148 € + amende 1759 de 471 826 € (B9). Contrôle : 684 974 − 471 826 = 213 148 € (B10).</t>
        </is>
      </c>
    </row>
    <row r="7">
      <c r="A7" s="6" t="inlineStr">
        <is>
          <t>5. Attention. La désignation du 16/06/2026 écarte en droit l'amende de 1759 (471 826 €), mais le service ne l'a pas formellement déclarée abandonnée. Si l'amende était maintenue en parallèle de la taxation personnelle, l'exposition dépasserait 582 796 €. À sécuriser.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2026-10-25T19:11:23Z</dcterms:created>
  <dcterms:modified xmlns:dcterms="http://purl.org/dc/terms/" xmlns:xsi="http://www.w3.org/2001/XMLSchema-instance" xsi:type="dcterms:W3CDTF">2026-10-25T19:11:23Z</dcterms:modified>
</cp:coreProperties>
</file>