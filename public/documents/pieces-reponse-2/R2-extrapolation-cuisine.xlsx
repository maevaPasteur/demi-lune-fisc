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Rapport" sheetId="2" state="visible" r:id="rId2"/>
    <sheet xmlns:r="http://schemas.openxmlformats.org/officeDocument/2006/relationships" name="Extrapolation" sheetId="3" state="visible" r:id="rId3"/>
    <sheet xmlns:r="http://schemas.openxmlformats.org/officeDocument/2006/relationships" name="Metho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2A2015"/>
    </font>
    <font>
      <b val="1"/>
      <color rgb="00FFFFFF"/>
    </font>
    <font>
      <i val="1"/>
      <color rgb="007A2E1E"/>
    </font>
  </fonts>
  <fills count="5">
    <fill>
      <patternFill/>
    </fill>
    <fill>
      <patternFill patternType="gray125"/>
    </fill>
    <fill>
      <patternFill patternType="solid">
        <fgColor rgb="00F7EFD9"/>
      </patternFill>
    </fill>
    <fill>
      <patternFill patternType="solid">
        <fgColor rgb="002A2015"/>
      </patternFill>
    </fill>
    <fill>
      <patternFill patternType="solid">
        <fgColor rgb="00EAF3EF"/>
      </patternFill>
    </fill>
  </fills>
  <borders count="2">
    <border>
      <left/>
      <right/>
      <top/>
      <bottom/>
      <diagonal/>
    </border>
    <border>
      <left style="thin">
        <color rgb="00D9CBA3"/>
      </left>
      <right style="thin">
        <color rgb="00D9CBA3"/>
      </right>
      <top style="thin">
        <color rgb="00D9CBA3"/>
      </top>
      <bottom style="thin">
        <color rgb="00D9CBA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2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1" fillId="0" borderId="0" pivotButton="0" quotePrefix="0" xfId="0"/>
    <xf numFmtId="4" fontId="1" fillId="4" borderId="1" applyAlignment="1" pivotButton="0" quotePrefix="0" xfId="0">
      <alignment horizontal="right"/>
    </xf>
    <xf numFmtId="3" fontId="1" fillId="4" borderId="1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164" fontId="0" fillId="4" borderId="1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3" fontId="0" fillId="4" borderId="1" applyAlignment="1" pivotButton="0" quotePrefix="0" xfId="0">
      <alignment horizontal="right"/>
    </xf>
    <xf numFmtId="2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4" customWidth="1" min="4" max="4"/>
    <col width="16" customWidth="1" min="5" max="5"/>
    <col width="16" customWidth="1" min="6" max="6"/>
  </cols>
  <sheetData>
    <row r="1">
      <c r="A1" s="1" t="inlineStr">
        <is>
          <t>PIECE R2 — EXTRAPOLATION CUISINE : sources brutes (valeurs en dur, citees). Les autres onglets ne contiennent que des FORMULES.</t>
        </is>
      </c>
      <c r="B1" s="2" t="n"/>
      <c r="C1" s="2" t="n"/>
      <c r="D1" s="2" t="n"/>
      <c r="E1" s="2" t="n"/>
      <c r="F1" s="2" t="n"/>
    </row>
    <row r="3">
      <c r="A3" s="3" t="inlineStr">
        <is>
          <t>Exercice</t>
        </is>
      </c>
      <c r="B3" s="3" t="inlineStr">
        <is>
          <t>CA liquides reel (annexe D)</t>
        </is>
      </c>
      <c r="C3" s="3" t="inlineStr">
        <is>
          <t>CA cuisine reel (annexe D)</t>
        </is>
      </c>
      <c r="D3" s="3" t="inlineStr">
        <is>
          <t>CA liquides reconstitue (service)</t>
        </is>
      </c>
      <c r="E3" s="3" t="inlineStr">
        <is>
          <t>Coef applique (p.52)</t>
        </is>
      </c>
      <c r="F3" s="3" t="inlineStr">
        <is>
          <t>CA declare</t>
        </is>
      </c>
    </row>
    <row r="4">
      <c r="A4" s="4" t="inlineStr">
        <is>
          <t>2022-2023</t>
        </is>
      </c>
      <c r="B4" s="5" t="n">
        <v>102425.38</v>
      </c>
      <c r="C4" s="5" t="n">
        <v>300747.04</v>
      </c>
      <c r="D4" s="6" t="n">
        <v>151590</v>
      </c>
      <c r="E4" s="7" t="n">
        <v>2.94</v>
      </c>
      <c r="F4" s="6" t="n">
        <v>404031</v>
      </c>
    </row>
    <row r="5">
      <c r="A5" s="4" t="inlineStr">
        <is>
          <t>2023-2024</t>
        </is>
      </c>
      <c r="B5" s="5" t="n">
        <v>108919.28</v>
      </c>
      <c r="C5" s="5" t="n">
        <v>329361.84</v>
      </c>
      <c r="D5" s="6" t="n">
        <v>143662</v>
      </c>
      <c r="E5" s="7" t="n">
        <v>3.02</v>
      </c>
      <c r="F5" s="6" t="n">
        <v>438658</v>
      </c>
    </row>
    <row r="6">
      <c r="A6" s="4" t="inlineStr">
        <is>
          <t>2024-2025</t>
        </is>
      </c>
      <c r="B6" s="5" t="n">
        <v>106112.96</v>
      </c>
      <c r="C6" s="5" t="n">
        <v>329452</v>
      </c>
      <c r="D6" s="6" t="n">
        <v>140306</v>
      </c>
      <c r="E6" s="7" t="n">
        <v>3.1</v>
      </c>
      <c r="F6" s="6" t="n">
        <v>435525</v>
      </c>
    </row>
    <row r="7">
      <c r="A7" s="8" t="inlineStr">
        <is>
          <t>TOTAL 3 ans</t>
        </is>
      </c>
      <c r="B7" s="9">
        <f>SUM(B4:B6)</f>
        <v/>
      </c>
      <c r="C7" s="9">
        <f>SUM(C4:C6)</f>
        <v/>
      </c>
      <c r="D7" s="10">
        <f>SUM(D4:D6)</f>
        <v/>
      </c>
      <c r="F7" s="10">
        <f>SUM(F4:F6)</f>
        <v/>
      </c>
      <c r="G7" s="11" t="inlineStr">
        <is>
          <t>Source : annexes D1-D3 (service) ; CA liquides reconstitue &amp; coef : proposition p.52 ; CA declare : p.34-35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2" customWidth="1" min="3" max="3"/>
    <col width="14" customWidth="1" min="4" max="4"/>
  </cols>
  <sheetData>
    <row r="1">
      <c r="A1" s="1" t="inlineStr">
        <is>
          <t>Le coefficient du service EST le rapport liquides/solides lu dans la caisse, mesure AVANT correction. Derive ici par formule.</t>
        </is>
      </c>
      <c r="B1" s="2" t="n"/>
      <c r="C1" s="2" t="n"/>
      <c r="D1" s="2" t="n"/>
    </row>
    <row r="3">
      <c r="A3" s="3" t="inlineStr">
        <is>
          <t>Exercice</t>
        </is>
      </c>
      <c r="B3" s="3" t="inlineStr">
        <is>
          <t>Rapport reel = cuisine reelle / liquides reels (=formule)</t>
        </is>
      </c>
      <c r="C3" s="3" t="inlineStr">
        <is>
          <t>Coef applique par le service</t>
        </is>
      </c>
      <c r="D3" s="3" t="inlineStr">
        <is>
          <t>Ecart</t>
        </is>
      </c>
    </row>
    <row r="4">
      <c r="A4" s="4" t="inlineStr">
        <is>
          <t>2022-2023</t>
        </is>
      </c>
      <c r="B4" s="12">
        <f>Sources!C4/Sources!B4</f>
        <v/>
      </c>
      <c r="C4" s="7">
        <f>Sources!E4</f>
        <v/>
      </c>
      <c r="D4" s="12">
        <f>B4-C4</f>
        <v/>
      </c>
    </row>
    <row r="5">
      <c r="A5" s="4" t="inlineStr">
        <is>
          <t>2023-2024</t>
        </is>
      </c>
      <c r="B5" s="12">
        <f>Sources!C5/Sources!B5</f>
        <v/>
      </c>
      <c r="C5" s="7">
        <f>Sources!E5</f>
        <v/>
      </c>
      <c r="D5" s="12">
        <f>B5-C5</f>
        <v/>
      </c>
    </row>
    <row r="6">
      <c r="A6" s="4" t="inlineStr">
        <is>
          <t>2024-2025</t>
        </is>
      </c>
      <c r="B6" s="12">
        <f>Sources!C6/Sources!B6</f>
        <v/>
      </c>
      <c r="C6" s="7">
        <f>Sources!E6</f>
        <v/>
      </c>
      <c r="D6" s="12">
        <f>B6-C6</f>
        <v/>
      </c>
    </row>
    <row r="7">
      <c r="A7" s="13" t="inlineStr">
        <is>
          <t>Le rapport reel (2,9363 / 3,0239 / 3,1047) egale, a 0,01 pres, le coefficient applique (2,94 / 3,02 / 3,10).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28" customWidth="1" min="4" max="4"/>
    <col width="20" customWidth="1" min="5" max="5"/>
    <col width="20" customWidth="1" min="6" max="6"/>
    <col width="22" customWidth="1" min="7" max="7"/>
  </cols>
  <sheetData>
    <row r="1">
      <c r="A1" s="1" t="inlineStr">
        <is>
          <t>Cuisine extrapolee, cuisine fantome, part du rehaussement et bras de levier. Tout DERIVE par formule des Sources.</t>
        </is>
      </c>
      <c r="B1" s="2" t="n"/>
      <c r="C1" s="2" t="n"/>
      <c r="D1" s="2" t="n"/>
      <c r="E1" s="2" t="n"/>
      <c r="F1" s="2" t="n"/>
      <c r="G1" s="2" t="n"/>
    </row>
    <row r="3">
      <c r="A3" s="3" t="inlineStr">
        <is>
          <t>Exercice</t>
        </is>
      </c>
      <c r="B3" s="3" t="inlineStr">
        <is>
          <t>CA liquides reconstitue</t>
        </is>
      </c>
      <c r="C3" s="3" t="inlineStr">
        <is>
          <t>Coef</t>
        </is>
      </c>
      <c r="D3" s="3" t="inlineStr">
        <is>
          <t>Cuisine extrapolee (=formule)</t>
        </is>
      </c>
      <c r="E3" s="3" t="inlineStr">
        <is>
          <t>Cuisine reelle (annexe D)</t>
        </is>
      </c>
      <c r="F3" s="3" t="inlineStr">
        <is>
          <t>Cuisine fantome (=formule)</t>
        </is>
      </c>
      <c r="G3" s="3" t="inlineStr">
        <is>
          <t>Facteur de levier 1+coef (=formule)</t>
        </is>
      </c>
    </row>
    <row r="4">
      <c r="A4" s="4" t="inlineStr">
        <is>
          <t>2022-2023</t>
        </is>
      </c>
      <c r="B4" s="6">
        <f>Sources!D4</f>
        <v/>
      </c>
      <c r="C4" s="7">
        <f>Sources!E4</f>
        <v/>
      </c>
      <c r="D4" s="14">
        <f>B4*C4</f>
        <v/>
      </c>
      <c r="E4" s="6">
        <f>Sources!C4</f>
        <v/>
      </c>
      <c r="F4" s="14">
        <f>D4-E4</f>
        <v/>
      </c>
      <c r="G4" s="15">
        <f>1+C4</f>
        <v/>
      </c>
    </row>
    <row r="5">
      <c r="A5" s="4" t="inlineStr">
        <is>
          <t>2023-2024</t>
        </is>
      </c>
      <c r="B5" s="6">
        <f>Sources!D5</f>
        <v/>
      </c>
      <c r="C5" s="7">
        <f>Sources!E5</f>
        <v/>
      </c>
      <c r="D5" s="14">
        <f>B5*C5</f>
        <v/>
      </c>
      <c r="E5" s="6">
        <f>Sources!C5</f>
        <v/>
      </c>
      <c r="F5" s="14">
        <f>D5-E5</f>
        <v/>
      </c>
      <c r="G5" s="15">
        <f>1+C5</f>
        <v/>
      </c>
    </row>
    <row r="6">
      <c r="A6" s="4" t="inlineStr">
        <is>
          <t>2024-2025</t>
        </is>
      </c>
      <c r="B6" s="6">
        <f>Sources!D6</f>
        <v/>
      </c>
      <c r="C6" s="7">
        <f>Sources!E6</f>
        <v/>
      </c>
      <c r="D6" s="14">
        <f>B6*C6</f>
        <v/>
      </c>
      <c r="E6" s="6">
        <f>Sources!C6</f>
        <v/>
      </c>
      <c r="F6" s="14">
        <f>D6-E6</f>
        <v/>
      </c>
      <c r="G6" s="15">
        <f>1+C6</f>
        <v/>
      </c>
    </row>
    <row r="7">
      <c r="A7" s="8" t="inlineStr">
        <is>
          <t>TOTAL 3 ans</t>
        </is>
      </c>
      <c r="D7" s="10">
        <f>SUM(D4:D6)</f>
        <v/>
      </c>
      <c r="E7" s="10">
        <f>SUM(E4:E6)</f>
        <v/>
      </c>
      <c r="F7" s="10">
        <f>SUM(F4:F6)</f>
        <v/>
      </c>
    </row>
    <row r="9">
      <c r="A9" s="4" t="inlineStr">
        <is>
          <t>Total reconstitue 3 ans (597265+577522+575253)</t>
        </is>
      </c>
      <c r="D9" s="14">
        <f>597265+577522+575253</f>
        <v/>
      </c>
    </row>
    <row r="10">
      <c r="A10" s="4" t="inlineStr">
        <is>
          <t>CA declare 3 ans (onglet Sources)</t>
        </is>
      </c>
      <c r="D10" s="14">
        <f>Sources!F7</f>
        <v/>
      </c>
    </row>
    <row r="11">
      <c r="A11" s="4" t="inlineStr">
        <is>
          <t>Rehaussement total = reconstitue - declare</t>
        </is>
      </c>
      <c r="D11" s="14">
        <f>D9-D10</f>
        <v/>
      </c>
    </row>
    <row r="12">
      <c r="A12" s="4" t="inlineStr">
        <is>
          <t>PART de la cuisine fantome dans le rehaussement = fantome / rehaussement</t>
        </is>
      </c>
      <c r="D12" s="16">
        <f>F7/D11</f>
        <v/>
      </c>
    </row>
    <row r="14">
      <c r="A14" s="1" t="inlineStr">
        <is>
          <t>Bras de levier : effet de 1 000 EUR de CA liquides sur-evalues (=formule)</t>
        </is>
      </c>
      <c r="B14" s="2" t="n"/>
      <c r="C14" s="2" t="n"/>
      <c r="D14" s="2" t="n"/>
    </row>
    <row r="15">
      <c r="A15" s="3" t="inlineStr">
        <is>
          <t>Exercice</t>
        </is>
      </c>
      <c r="B15" s="3" t="inlineStr">
        <is>
          <t>Sur-evaluation liquides</t>
        </is>
      </c>
      <c r="C15" s="3" t="inlineStr">
        <is>
          <t>Effet sur cuisine = x coef (=formule)</t>
        </is>
      </c>
      <c r="D15" s="3" t="inlineStr">
        <is>
          <t>Effet sur total = x (1+coef) (=formule)</t>
        </is>
      </c>
    </row>
    <row r="16">
      <c r="A16" s="4" t="inlineStr">
        <is>
          <t>2022-2023</t>
        </is>
      </c>
      <c r="B16" s="6" t="n">
        <v>1000</v>
      </c>
      <c r="C16" s="14">
        <f>B16*Sources!E4</f>
        <v/>
      </c>
      <c r="D16" s="14">
        <f>B16*(1+Sources!E4)</f>
        <v/>
      </c>
    </row>
    <row r="17">
      <c r="A17" s="4" t="inlineStr">
        <is>
          <t>2023-2024</t>
        </is>
      </c>
      <c r="B17" s="6" t="n">
        <v>1000</v>
      </c>
      <c r="C17" s="14">
        <f>B17*Sources!E5</f>
        <v/>
      </c>
      <c r="D17" s="14">
        <f>B17*(1+Sources!E5)</f>
        <v/>
      </c>
    </row>
    <row r="18">
      <c r="A18" s="4" t="inlineStr">
        <is>
          <t>2024-2025</t>
        </is>
      </c>
      <c r="B18" s="6" t="n">
        <v>1000</v>
      </c>
      <c r="C18" s="14">
        <f>B18*Sources!E6</f>
        <v/>
      </c>
      <c r="D18" s="14">
        <f>B18*(1+Sources!E6)</f>
        <v/>
      </c>
    </row>
  </sheetData>
  <mergeCells count="2">
    <mergeCell ref="A1:G1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7" t="inlineStr">
        <is>
          <t>METHODE — PIECE R2 EXTRAPOLATION CUISINE</t>
        </is>
      </c>
    </row>
    <row r="2">
      <c r="A2" s="11" t="inlineStr"/>
    </row>
    <row r="3">
      <c r="A3" s="17" t="inlineStr">
        <is>
          <t>1. Le service ne mesure jamais le CA cuisine : il le reconstitue par CA cuisine = CA liquides reconstitue x coefficient (proposition p.52).</t>
        </is>
      </c>
    </row>
    <row r="4">
      <c r="A4" s="11" t="inlineStr">
        <is>
          <t xml:space="preserve">   Le coefficient (2,94 / 3,02 / 3,10) est le RAPPORT liquides/solides lu au bas des annexes D ('RAPPORT POUR 1 EUR DE CA LIQUIDE = ... C-A SOLIDE').</t>
        </is>
      </c>
    </row>
    <row r="5">
      <c r="A5" s="11" t="inlineStr"/>
    </row>
    <row r="6">
      <c r="A6" s="17" t="inlineStr">
        <is>
          <t>2. Onglet Rapport : ce rapport = CA cuisine REEL / CA liquides REEL (de la caisse), soit 300747,04/102425,38 = 2,9363, etc. Il est mesure AVANT toute correction.</t>
        </is>
      </c>
    </row>
    <row r="7">
      <c r="A7" s="11" t="inlineStr"/>
    </row>
    <row r="8">
      <c r="A8" s="17" t="inlineStr">
        <is>
          <t>3. Onglet Extrapolation : cuisine extrapolee = liquides reconstitue x coef ; cuisine fantome = extrapolee - reelle.</t>
        </is>
      </c>
    </row>
    <row r="9">
      <c r="A9" s="11" t="inlineStr">
        <is>
          <t xml:space="preserve">   Total fantome 3 ans = 1 314 482 - 959 561 = 354 921 EUR. Rehaussement total = 1 750 040 - 1 278 214 = 471 826 EUR. Part = 354 921 / 471 826 = 75,2 %.</t>
        </is>
      </c>
    </row>
    <row r="10">
      <c r="A10" s="11" t="inlineStr"/>
    </row>
    <row r="11">
      <c r="A11" s="17" t="inlineStr">
        <is>
          <t>4. Facteur de levier = 1 + coef = 3,94 / 4,02 / 4,10 (strictement, non 'quadruple'). Il porte sur l'EURO de CA liquides, pas sur le litre (la valeur d'un litre varie de 32,50 a 172,50 EUR/L).</t>
        </is>
      </c>
    </row>
    <row r="12">
      <c r="A12" s="11" t="inlineStr">
        <is>
          <t xml:space="preserve">   Chaque euro de CA liquides sur-evalue deplace le total de ce facteur, parce que total = liquides x (1 + coef). Ce n'est pas un double compte : c'est la derivee du total.</t>
        </is>
      </c>
    </row>
    <row r="13">
      <c r="A13" s="11" t="inlineStr"/>
    </row>
    <row r="14">
      <c r="A14" s="17" t="inlineStr">
        <is>
          <t>5. Le chiffre 354 921 EUR est DERIVE a l'identique dans la piece R2-coefficient-revente et ici : meme cuisine reelle 959 561, meme cuisine extrapolee 1 314 482, meme rehaussement 471 826.</t>
        </is>
      </c>
    </row>
    <row r="15">
      <c r="A15" s="11" t="inlineStr"/>
    </row>
    <row r="16">
      <c r="A16" s="17" t="inlineStr">
        <is>
          <t>LIMITES. (a) le retrait des 354 921 EUR suppose etabli, dans les pages liquides dediees (sur-versement, cremant, etc.), que le CA liquides reconstitue est sur-evalue ;</t>
        </is>
      </c>
    </row>
    <row r="17">
      <c r="A17" s="11" t="inlineStr">
        <is>
          <t>(b) le levier n'est un BENEFICE pour la defense que si ces corrections de liquides sont admises ; a CA liquides exact, l'extrapolation tiendrait ;</t>
        </is>
      </c>
    </row>
    <row r="18">
      <c r="A18" s="11" t="inlineStr">
        <is>
          <t>(c) la caisse elle-meme etant par ailleurs rejetee par le service, le CA cuisine enregistre (959 561) n'est oppose qu'a titre de mesure directe disponible, non comme preuve d'exhaustivite.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2026-10-25T19:12:46Z</dcterms:created>
  <dcterms:modified xmlns:dcterms="http://purl.org/dc/terms/" xmlns:xsi="http://www.w3.org/2001/XMLSchema-instance" xsi:type="dcterms:W3CDTF">2026-10-25T19:12:46Z</dcterms:modified>
</cp:coreProperties>
</file>