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Cascade" sheetId="2" state="visible" r:id="rId2"/>
    <sheet xmlns:r="http://schemas.openxmlformats.org/officeDocument/2006/relationships" name="Coefficient" sheetId="3" state="visible" r:id="rId3"/>
    <sheet xmlns:r="http://schemas.openxmlformats.org/officeDocument/2006/relationships" name="Confrontation" sheetId="4" state="visible" r:id="rId4"/>
    <sheet xmlns:r="http://schemas.openxmlformats.org/officeDocument/2006/relationships" name="Annuel" sheetId="5" state="visible" r:id="rId5"/>
    <sheet xmlns:r="http://schemas.openxmlformats.org/officeDocument/2006/relationships" name="Tableau p34" sheetId="6" state="visible" r:id="rId6"/>
    <sheet xmlns:r="http://schemas.openxmlformats.org/officeDocument/2006/relationships" name="Metho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00"/>
    <numFmt numFmtId="166" formatCode="#,##0;[Red]-#,##0"/>
  </numFmts>
  <fonts count="5">
    <font>
      <name val="Calibri"/>
      <family val="2"/>
      <color theme="1"/>
      <sz val="11"/>
      <scheme val="minor"/>
    </font>
    <font>
      <b val="1"/>
      <color rgb="002A2015"/>
    </font>
    <font>
      <b val="1"/>
      <color rgb="00FFFFFF"/>
    </font>
    <font>
      <i val="1"/>
      <color rgb="007A2E1E"/>
    </font>
    <font>
      <b val="1"/>
    </font>
  </fonts>
  <fills count="5">
    <fill>
      <patternFill/>
    </fill>
    <fill>
      <patternFill patternType="gray125"/>
    </fill>
    <fill>
      <patternFill patternType="solid">
        <fgColor rgb="00F7EFD9"/>
      </patternFill>
    </fill>
    <fill>
      <patternFill patternType="solid">
        <fgColor rgb="002A2015"/>
      </patternFill>
    </fill>
    <fill>
      <patternFill patternType="solid">
        <fgColor rgb="00EAF3EF"/>
      </patternFill>
    </fill>
  </fills>
  <borders count="2">
    <border>
      <left/>
      <right/>
      <top/>
      <bottom/>
      <diagonal/>
    </border>
    <border>
      <left style="thin">
        <color rgb="00D9CBA3"/>
      </left>
      <right style="thin">
        <color rgb="00D9CBA3"/>
      </right>
      <top style="thin">
        <color rgb="00D9CBA3"/>
      </top>
      <bottom style="thin">
        <color rgb="00D9CBA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vertical="top" wrapText="1"/>
    </xf>
    <xf numFmtId="10" fontId="0" fillId="4" borderId="1" applyAlignment="1" pivotButton="0" quotePrefix="0" xfId="0">
      <alignment horizontal="right"/>
    </xf>
    <xf numFmtId="0" fontId="1" fillId="0" borderId="0" pivotButton="0" quotePrefix="0" xfId="0"/>
    <xf numFmtId="0" fontId="1" fillId="4" borderId="1" applyAlignment="1" pivotButton="0" quotePrefix="0" xfId="0">
      <alignment horizontal="right"/>
    </xf>
    <xf numFmtId="10" fontId="0" fillId="4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164" fontId="1" fillId="4" borderId="0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3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66" fontId="1" fillId="4" borderId="1" applyAlignment="1" pivotButton="0" quotePrefix="0" xfId="0">
      <alignment horizontal="right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54" customWidth="1" min="5" max="5"/>
    <col width="4" customWidth="1" min="6" max="6"/>
  </cols>
  <sheetData>
    <row r="1">
      <c r="A1" s="1" t="inlineStr">
        <is>
          <t>PIECE R2 — COEFFICIENT DE REVENTE : sources brutes (valeurs en dur, citees). Les onglets suivants ne contiennent que des FORMULES renvoyant a ces cellules.</t>
        </is>
      </c>
    </row>
    <row r="3">
      <c r="A3" s="3" t="inlineStr">
        <is>
          <t>Donnee</t>
        </is>
      </c>
      <c r="B3" s="3" t="inlineStr">
        <is>
          <t>Valeur</t>
        </is>
      </c>
      <c r="C3" s="3" t="inlineStr">
        <is>
          <t>Unite</t>
        </is>
      </c>
      <c r="D3" s="3" t="inlineStr">
        <is>
          <t>Exercice / portee</t>
        </is>
      </c>
      <c r="E3" s="3" t="inlineStr">
        <is>
          <t>Source exacte</t>
        </is>
      </c>
      <c r="F3" s="3" t="inlineStr"/>
    </row>
    <row r="4">
      <c r="A4" s="4" t="inlineStr">
        <is>
          <t>CA alcool encaisse TVA 20 %</t>
        </is>
      </c>
      <c r="B4" s="5" t="n">
        <v>81911.2</v>
      </c>
      <c r="C4" s="4" t="inlineStr">
        <is>
          <t>EUR TTC</t>
        </is>
      </c>
      <c r="D4" s="4" t="inlineStr">
        <is>
          <t>2022-2023</t>
        </is>
      </c>
      <c r="E4" s="6" t="inlineStr">
        <is>
          <t>ANNEXE-D1, bloc LIQUIDE TVA 20 %, ligne de total</t>
        </is>
      </c>
    </row>
    <row r="5">
      <c r="A5" s="4" t="inlineStr">
        <is>
          <t>CA alcool encaisse TVA 20 %</t>
        </is>
      </c>
      <c r="B5" s="5" t="n">
        <v>88909.00999999999</v>
      </c>
      <c r="C5" s="4" t="inlineStr">
        <is>
          <t>EUR TTC</t>
        </is>
      </c>
      <c r="D5" s="4" t="inlineStr">
        <is>
          <t>2023-2024</t>
        </is>
      </c>
      <c r="E5" s="6" t="inlineStr">
        <is>
          <t>ANNEXE-D2, bloc LIQUIDE TVA 20 %, ligne de total</t>
        </is>
      </c>
    </row>
    <row r="6">
      <c r="A6" s="4" t="inlineStr">
        <is>
          <t>CA alcool encaisse TVA 20 %</t>
        </is>
      </c>
      <c r="B6" s="5" t="n">
        <v>86389.75</v>
      </c>
      <c r="C6" s="4" t="inlineStr">
        <is>
          <t>EUR TTC</t>
        </is>
      </c>
      <c r="D6" s="4" t="inlineStr">
        <is>
          <t>2024-2025</t>
        </is>
      </c>
      <c r="E6" s="6" t="inlineStr">
        <is>
          <t>ANNEXE-D3, bloc LIQUIDE TVA 20 %, ligne de total</t>
        </is>
      </c>
    </row>
    <row r="7">
      <c r="A7" s="4" t="inlineStr">
        <is>
          <t>Cout d'achat de l'alcool (3 ans)</t>
        </is>
      </c>
      <c r="B7" s="5" t="n">
        <v>107924</v>
      </c>
      <c r="C7" s="4" t="inlineStr">
        <is>
          <t>EUR HT</t>
        </is>
      </c>
      <c r="D7" s="4" t="inlineStr">
        <is>
          <t>globalise 3 ans</t>
        </is>
      </c>
      <c r="E7" s="6" t="inlineStr">
        <is>
          <t>Factures fournisseur FCBS (sous-ensemble alcool des achats boissons), releve R1 onglet 3</t>
        </is>
      </c>
    </row>
    <row r="8">
      <c r="A8" s="4" t="inlineStr">
        <is>
          <t>Alcool achete, volume (3 ans)</t>
        </is>
      </c>
      <c r="B8" s="5" t="n">
        <v>10622</v>
      </c>
      <c r="C8" s="4" t="inlineStr">
        <is>
          <t>litres</t>
        </is>
      </c>
      <c r="D8" s="4" t="inlineStr">
        <is>
          <t>globalise 3 ans</t>
        </is>
      </c>
      <c r="E8" s="6" t="inlineStr">
        <is>
          <t>R1-cascade-bilan-matiere.xlsx, onglet 1, total factures</t>
        </is>
      </c>
    </row>
    <row r="9">
      <c r="A9" s="4" t="inlineStr">
        <is>
          <t>Cascade - vendu au verre</t>
        </is>
      </c>
      <c r="B9" s="5" t="n">
        <v>5457</v>
      </c>
      <c r="C9" s="4" t="inlineStr">
        <is>
          <t>litres</t>
        </is>
      </c>
      <c r="D9" s="4" t="inlineStr">
        <is>
          <t>globalise 3 ans</t>
        </is>
      </c>
      <c r="E9" s="6" t="inlineStr">
        <is>
          <t>R1-cascade-bilan-matiere, onglet 1 (mesure, annexes C1-C3 hors articles mixtes)</t>
        </is>
      </c>
    </row>
    <row r="10">
      <c r="A10" s="4" t="inlineStr">
        <is>
          <t>Cascade - vendu en cocktails</t>
        </is>
      </c>
      <c r="B10" s="5" t="n">
        <v>998</v>
      </c>
      <c r="C10" s="4" t="inlineStr">
        <is>
          <t>litres</t>
        </is>
      </c>
      <c r="D10" s="4" t="inlineStr">
        <is>
          <t>globalise 3 ans</t>
        </is>
      </c>
      <c r="E10" s="6" t="inlineStr">
        <is>
          <t>R1-cascade-bilan-matiere, onglet 1 (cocktails caisse x recette carte)</t>
        </is>
      </c>
    </row>
    <row r="11">
      <c r="A11" s="4" t="inlineStr">
        <is>
          <t>Cout matieres (boisson+nourriture)</t>
        </is>
      </c>
      <c r="B11" s="5" t="n">
        <v>175437</v>
      </c>
      <c r="C11" s="4" t="inlineStr">
        <is>
          <t>EUR</t>
        </is>
      </c>
      <c r="D11" s="4" t="inlineStr">
        <is>
          <t>2022-2023</t>
        </is>
      </c>
      <c r="E11" s="6" t="inlineStr">
        <is>
          <t>Proposition p. 34-35 (reproduite p. 56)</t>
        </is>
      </c>
    </row>
    <row r="12">
      <c r="A12" s="4" t="inlineStr">
        <is>
          <t>Cout matieres (boisson+nourriture)</t>
        </is>
      </c>
      <c r="B12" s="5" t="n">
        <v>183693</v>
      </c>
      <c r="C12" s="4" t="inlineStr">
        <is>
          <t>EUR</t>
        </is>
      </c>
      <c r="D12" s="4" t="inlineStr">
        <is>
          <t>2023-2024</t>
        </is>
      </c>
      <c r="E12" s="6" t="inlineStr">
        <is>
          <t>Proposition p. 34-35 (reproduite p. 56)</t>
        </is>
      </c>
    </row>
    <row r="13">
      <c r="A13" s="4" t="inlineStr">
        <is>
          <t>Cout matieres (boisson+nourriture)</t>
        </is>
      </c>
      <c r="B13" s="5" t="n">
        <v>188539</v>
      </c>
      <c r="C13" s="4" t="inlineStr">
        <is>
          <t>EUR</t>
        </is>
      </c>
      <c r="D13" s="4" t="inlineStr">
        <is>
          <t>2024-2025</t>
        </is>
      </c>
      <c r="E13" s="6" t="inlineStr">
        <is>
          <t>Proposition p. 34-35 (reproduite p. 56)</t>
        </is>
      </c>
    </row>
    <row r="14">
      <c r="A14" s="4" t="inlineStr">
        <is>
          <t>CA reconstitue par le service</t>
        </is>
      </c>
      <c r="B14" s="5" t="n">
        <v>597265</v>
      </c>
      <c r="C14" s="4" t="inlineStr">
        <is>
          <t>EUR</t>
        </is>
      </c>
      <c r="D14" s="4" t="inlineStr">
        <is>
          <t>2022-2023</t>
        </is>
      </c>
      <c r="E14" s="6" t="inlineStr">
        <is>
          <t>Proposition p. 52 (reproduite p. 90)</t>
        </is>
      </c>
    </row>
    <row r="15">
      <c r="A15" s="4" t="inlineStr">
        <is>
          <t>CA reconstitue par le service</t>
        </is>
      </c>
      <c r="B15" s="5" t="n">
        <v>577522</v>
      </c>
      <c r="C15" s="4" t="inlineStr">
        <is>
          <t>EUR</t>
        </is>
      </c>
      <c r="D15" s="4" t="inlineStr">
        <is>
          <t>2023-2024</t>
        </is>
      </c>
      <c r="E15" s="6" t="inlineStr">
        <is>
          <t>Proposition p. 52 (reproduite p. 90)</t>
        </is>
      </c>
    </row>
    <row r="16">
      <c r="A16" s="4" t="inlineStr">
        <is>
          <t>CA reconstitue par le service</t>
        </is>
      </c>
      <c r="B16" s="5" t="n">
        <v>575253</v>
      </c>
      <c r="C16" s="4" t="inlineStr">
        <is>
          <t>EUR</t>
        </is>
      </c>
      <c r="D16" s="4" t="inlineStr">
        <is>
          <t>2024-2025</t>
        </is>
      </c>
      <c r="E16" s="6" t="inlineStr">
        <is>
          <t>Proposition p. 52 (reproduite p. 90)</t>
        </is>
      </c>
    </row>
    <row r="17">
      <c r="A17" s="4" t="inlineStr">
        <is>
          <t>Coef sur achat revendu (Me THIVEND, arrondi)</t>
        </is>
      </c>
      <c r="B17" s="5" t="n">
        <v>3.85</v>
      </c>
      <c r="C17" s="4" t="inlineStr">
        <is>
          <t>ratio</t>
        </is>
      </c>
      <c r="D17" s="4" t="inlineStr">
        <is>
          <t>globalise 3 ans</t>
        </is>
      </c>
      <c r="E17" s="6" t="inlineStr">
        <is>
          <t>Reponse 04/09/2026 p. 59 et 93</t>
        </is>
      </c>
    </row>
    <row r="18">
      <c r="A18" s="4" t="inlineStr">
        <is>
          <t>Taux de perte substitue par le service</t>
        </is>
      </c>
      <c r="B18" s="5" t="n">
        <v>0.15</v>
      </c>
      <c r="C18" s="4" t="inlineStr">
        <is>
          <t>part</t>
        </is>
      </c>
      <c r="D18" s="4" t="inlineStr">
        <is>
          <t>methode service</t>
        </is>
      </c>
      <c r="E18" s="6" t="inlineStr">
        <is>
          <t>Reponse 04/09/2026 p. 59 et 93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20" customWidth="1" min="4" max="4"/>
  </cols>
  <sheetData>
    <row r="1">
      <c r="A1" s="1" t="inlineStr">
        <is>
          <t>Bilan matiere des 10 622 L (R1-cascade-bilan-matiere.xlsx). La part revendue est le SEUL chiffre decisif ; elle est ici DERIVEE par formule.</t>
        </is>
      </c>
    </row>
    <row r="3">
      <c r="A3" s="3" t="inlineStr">
        <is>
          <t>Poste</t>
        </is>
      </c>
      <c r="B3" s="3" t="inlineStr">
        <is>
          <t>Litres</t>
        </is>
      </c>
      <c r="C3" s="3" t="inlineStr">
        <is>
          <t>Nature</t>
        </is>
      </c>
      <c r="D3" s="3" t="inlineStr">
        <is>
          <t>Part des achats (=formule)</t>
        </is>
      </c>
    </row>
    <row r="4">
      <c r="A4" s="6" t="inlineStr">
        <is>
          <t>Vendu au verre</t>
        </is>
      </c>
      <c r="B4" s="5" t="n">
        <v>5457</v>
      </c>
      <c r="C4" s="4" t="inlineStr">
        <is>
          <t>mesure</t>
        </is>
      </c>
      <c r="D4" s="7">
        <f>B4/$B$15</f>
        <v/>
      </c>
    </row>
    <row r="5">
      <c r="A5" s="6" t="inlineStr">
        <is>
          <t>Vendu en cocktails</t>
        </is>
      </c>
      <c r="B5" s="5" t="n">
        <v>998</v>
      </c>
      <c r="C5" s="4" t="inlineStr">
        <is>
          <t>calcule</t>
        </is>
      </c>
      <c r="D5" s="7">
        <f>B5/$B$15</f>
        <v/>
      </c>
    </row>
    <row r="6">
      <c r="A6" s="6" t="inlineStr">
        <is>
          <t>Cuisine et alcool des menus</t>
        </is>
      </c>
      <c r="B6" s="5" t="n">
        <v>741</v>
      </c>
      <c r="C6" s="4" t="inlineStr">
        <is>
          <t>calcule</t>
        </is>
      </c>
      <c r="D6" s="7">
        <f>B6/$B$15</f>
        <v/>
      </c>
    </row>
    <row r="7">
      <c r="A7" s="6" t="inlineStr">
        <is>
          <t>Cremant non vendu</t>
        </is>
      </c>
      <c r="B7" s="5" t="n">
        <v>272</v>
      </c>
      <c r="C7" s="4" t="inlineStr">
        <is>
          <t>calcule</t>
        </is>
      </c>
      <c r="D7" s="7">
        <f>B7/$B$15</f>
        <v/>
      </c>
    </row>
    <row r="8">
      <c r="A8" s="6" t="inlineStr">
        <is>
          <t>Sur-versement au verre</t>
        </is>
      </c>
      <c r="B8" s="5" t="n">
        <v>483</v>
      </c>
      <c r="C8" s="4" t="inlineStr">
        <is>
          <t>estime</t>
        </is>
      </c>
      <c r="D8" s="7">
        <f>B8/$B$15</f>
        <v/>
      </c>
    </row>
    <row r="9">
      <c r="A9" s="6" t="inlineStr">
        <is>
          <t>Degustation offerte</t>
        </is>
      </c>
      <c r="B9" s="5" t="n">
        <v>126</v>
      </c>
      <c r="C9" s="4" t="inlineStr">
        <is>
          <t>mesure</t>
        </is>
      </c>
      <c r="D9" s="7">
        <f>B9/$B$15</f>
        <v/>
      </c>
    </row>
    <row r="10">
      <c r="A10" s="6" t="inlineStr">
        <is>
          <t>Freinte technique de la biere</t>
        </is>
      </c>
      <c r="B10" s="5" t="n">
        <v>120</v>
      </c>
      <c r="C10" s="4" t="inlineStr">
        <is>
          <t>estime</t>
        </is>
      </c>
      <c r="D10" s="7">
        <f>B10/$B$15</f>
        <v/>
      </c>
    </row>
    <row r="11">
      <c r="A11" s="6" t="inlineStr">
        <is>
          <t>Consommation du chef</t>
        </is>
      </c>
      <c r="B11" s="5" t="n">
        <v>143</v>
      </c>
      <c r="C11" s="4" t="inlineStr">
        <is>
          <t>estime</t>
        </is>
      </c>
      <c r="D11" s="7">
        <f>B11/$B$15</f>
        <v/>
      </c>
    </row>
    <row r="12">
      <c r="A12" s="6" t="inlineStr">
        <is>
          <t>Offerts non enregistres en caisse</t>
        </is>
      </c>
      <c r="B12" s="5" t="n">
        <v>14</v>
      </c>
      <c r="C12" s="4" t="inlineStr">
        <is>
          <t>estime</t>
        </is>
      </c>
      <c r="D12" s="7">
        <f>B12/$B$15</f>
        <v/>
      </c>
    </row>
    <row r="13">
      <c r="A13" s="6" t="inlineStr">
        <is>
          <t>Stock final</t>
        </is>
      </c>
      <c r="B13" s="5" t="n">
        <v>213</v>
      </c>
      <c r="C13" s="4" t="inlineStr">
        <is>
          <t>mesure</t>
        </is>
      </c>
      <c r="D13" s="7">
        <f>B13/$B$15</f>
        <v/>
      </c>
    </row>
    <row r="14">
      <c r="A14" s="6" t="inlineStr">
        <is>
          <t>Perte pure (casse, evaporation, fonds de verre, rincage) = RESIDU</t>
        </is>
      </c>
      <c r="B14" s="5" t="n">
        <v>2055</v>
      </c>
      <c r="C14" s="4" t="inlineStr">
        <is>
          <t>residu</t>
        </is>
      </c>
      <c r="D14" s="7">
        <f>B14/$B$15</f>
        <v/>
      </c>
    </row>
    <row r="15">
      <c r="A15" s="8" t="inlineStr">
        <is>
          <t>TOTAL achete (controle = doit faire 10 622)</t>
        </is>
      </c>
      <c r="B15" s="9">
        <f>SUM(B4:B14)</f>
        <v/>
      </c>
      <c r="D15" s="10">
        <f>SUM(D4:D14)</f>
        <v/>
      </c>
    </row>
    <row r="17">
      <c r="A17" s="8" t="inlineStr">
        <is>
          <t>Alcool REVENDU = vendu au verre + vendu en cocktails</t>
        </is>
      </c>
      <c r="B17" s="11">
        <f>B4+B5</f>
        <v/>
      </c>
    </row>
    <row r="18">
      <c r="A18" s="8" t="inlineStr">
        <is>
          <t>PART REVENDUE = revendu / total achete</t>
        </is>
      </c>
      <c r="B18" s="12">
        <f>B17/B15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24" customWidth="1" min="4" max="4"/>
    <col width="26" customWidth="1" min="5" max="5"/>
  </cols>
  <sheetData>
    <row r="1">
      <c r="A1" s="1" t="inlineStr">
        <is>
          <t>Du coefficient sur achat revendu au coefficient sur la totalite des achats. Tout est DERIVE par formule des onglets Sources et Cascade.</t>
        </is>
      </c>
    </row>
    <row r="3">
      <c r="A3" s="3" t="inlineStr">
        <is>
          <t>Grandeur</t>
        </is>
      </c>
      <c r="B3" s="3" t="inlineStr">
        <is>
          <t>Formule (en clair)</t>
        </is>
      </c>
      <c r="C3" s="3" t="inlineStr">
        <is>
          <t>Resultat</t>
        </is>
      </c>
      <c r="D3" s="3" t="inlineStr">
        <is>
          <t>Unite</t>
        </is>
      </c>
      <c r="E3" s="3" t="inlineStr">
        <is>
          <t>Commentaire</t>
        </is>
      </c>
    </row>
    <row r="4">
      <c r="A4" s="4" t="inlineStr">
        <is>
          <t>CA alcool encaisse, 3 ans</t>
        </is>
      </c>
      <c r="C4" s="13">
        <f>SUM(Sources!B4:B6)</f>
        <v/>
      </c>
      <c r="D4" s="4" t="inlineStr">
        <is>
          <t>EUR</t>
        </is>
      </c>
      <c r="E4" s="6" t="inlineStr">
        <is>
          <t>81911,20 + 88909,01 + 86389,75 (annexes D)</t>
        </is>
      </c>
    </row>
    <row r="5">
      <c r="A5" s="4" t="inlineStr">
        <is>
          <t>Cout d'achat de l'alcool, 3 ans</t>
        </is>
      </c>
      <c r="C5" s="14">
        <f>Sources!B7</f>
        <v/>
      </c>
      <c r="D5" s="4" t="inlineStr">
        <is>
          <t>EUR</t>
        </is>
      </c>
      <c r="E5" s="4" t="inlineStr">
        <is>
          <t>factures FCBS</t>
        </is>
      </c>
    </row>
    <row r="6">
      <c r="A6" s="4" t="inlineStr">
        <is>
          <t>Part revendue (onglet Cascade)</t>
        </is>
      </c>
      <c r="C6" s="15">
        <f>Cascade!B18</f>
        <v/>
      </c>
      <c r="D6" s="4" t="inlineStr">
        <is>
          <t>part</t>
        </is>
      </c>
      <c r="E6" s="4" t="inlineStr">
        <is>
          <t>soit 6 455 / 10 622</t>
        </is>
      </c>
    </row>
    <row r="7">
      <c r="A7" s="6" t="inlineStr">
        <is>
          <t>COEF sur la TOTALITE des achats = CA alcool / cout achats</t>
        </is>
      </c>
      <c r="C7" s="16">
        <f>C4/C5</f>
        <v/>
      </c>
      <c r="D7" s="4" t="inlineStr">
        <is>
          <t>ratio</t>
        </is>
      </c>
      <c r="E7" s="6" t="inlineStr">
        <is>
          <t>ANCRE FIXE : 257209,96 / 107924 = 2,383251</t>
        </is>
      </c>
    </row>
    <row r="8">
      <c r="A8" s="6" t="inlineStr">
        <is>
          <t>Cout de l'alcool REVENDU = cout achats x part revendue</t>
        </is>
      </c>
      <c r="C8" s="13">
        <f>C5*C6</f>
        <v/>
      </c>
      <c r="D8" s="4" t="inlineStr">
        <is>
          <t>EUR</t>
        </is>
      </c>
    </row>
    <row r="9">
      <c r="A9" s="6" t="inlineStr">
        <is>
          <t>COEF sur achat REVENDU = CA alcool / cout revendu</t>
        </is>
      </c>
      <c r="C9" s="16">
        <f>C4/C8</f>
        <v/>
      </c>
      <c r="D9" s="4" t="inlineStr">
        <is>
          <t>ratio</t>
        </is>
      </c>
      <c r="E9" s="6" t="inlineStr">
        <is>
          <t>3,92 globalise 3 ans ; la cascade n'existe qu'en cumul triennal</t>
        </is>
      </c>
    </row>
    <row r="10">
      <c r="A10" s="6" t="inlineStr">
        <is>
          <t>CONTROLE d'identite = coef revendu x part</t>
        </is>
      </c>
      <c r="C10" s="16">
        <f>C9*C6</f>
        <v/>
      </c>
      <c r="D10" s="4" t="inlineStr">
        <is>
          <t>ratio</t>
        </is>
      </c>
      <c r="E10" s="6" t="inlineStr">
        <is>
          <t>doit egaler le coef sur la totalite des achats (2,383251)</t>
        </is>
      </c>
    </row>
    <row r="12">
      <c r="A12" s="1" t="inlineStr">
        <is>
          <t>Le calcul du service et le meme calcul avec la part mesuree</t>
        </is>
      </c>
    </row>
    <row r="13">
      <c r="A13" s="3" t="inlineStr">
        <is>
          <t>Lecture</t>
        </is>
      </c>
      <c r="B13" s="3" t="inlineStr">
        <is>
          <t>Part retenue</t>
        </is>
      </c>
      <c r="C13" s="3" t="inlineStr">
        <is>
          <t>Coef sur achat revendu</t>
        </is>
      </c>
      <c r="D13" s="3" t="inlineStr">
        <is>
          <t>Coef sur totalite achats (=produit)</t>
        </is>
      </c>
      <c r="E13" s="3" t="inlineStr">
        <is>
          <t>CA alcool implique / 107924</t>
        </is>
      </c>
    </row>
    <row r="14">
      <c r="A14" s="4" t="inlineStr">
        <is>
          <t>Service p.59/93 : 3,85 x (1-0,15)</t>
        </is>
      </c>
      <c r="B14" s="7">
        <f>1-Sources!B18</f>
        <v/>
      </c>
      <c r="C14" s="17">
        <f>Sources!B17</f>
        <v/>
      </c>
      <c r="D14" s="16">
        <f>C14*B14</f>
        <v/>
      </c>
      <c r="E14" s="14">
        <f>C5*D14</f>
        <v/>
      </c>
    </row>
    <row r="15">
      <c r="A15" s="4" t="inlineStr">
        <is>
          <t>Meme calcul, coef non arrondi 3,921810</t>
        </is>
      </c>
      <c r="B15" s="7">
        <f>1-Sources!B18</f>
        <v/>
      </c>
      <c r="C15" s="17">
        <f>C9</f>
        <v/>
      </c>
      <c r="D15" s="16">
        <f>C15*B15</f>
        <v/>
      </c>
      <c r="E15" s="14">
        <f>C5*D15</f>
        <v/>
      </c>
    </row>
    <row r="16">
      <c r="A16" s="6" t="inlineStr">
        <is>
          <t>Part revendue MESUREE (cascade) : 6 455 L / 10 622 L</t>
        </is>
      </c>
      <c r="B16" s="7">
        <f>C6</f>
        <v/>
      </c>
      <c r="C16" s="17">
        <f>C9</f>
        <v/>
      </c>
      <c r="D16" s="16">
        <f>C16*B16</f>
        <v/>
      </c>
      <c r="E16" s="14">
        <f>C5*D16</f>
        <v/>
      </c>
    </row>
    <row r="18">
      <c r="A18" s="18" t="inlineStr">
        <is>
          <t>L'ecart 3,2725 -&gt; 2,383251 tient ENTIEREMENT a la part supposee (85 %) vs mesuree (60,77 %) : 0,85 / 0,6076916 = 1,399, soit +39,9 %.</t>
        </is>
      </c>
    </row>
  </sheetData>
  <mergeCells count="3">
    <mergeCell ref="A1:E1"/>
    <mergeCell ref="A18:E18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20" customWidth="1" min="5" max="5"/>
    <col width="18" customWidth="1" min="6" max="6"/>
    <col width="20" customWidth="1" min="7" max="7"/>
    <col width="18" customWidth="1" min="8" max="8"/>
    <col width="18" customWidth="1" min="9" max="9"/>
  </cols>
  <sheetData>
    <row r="1">
      <c r="A1" s="1" t="inlineStr">
        <is>
          <t>Test de la page 93 : coef applique au cout des matieres de chaque exercice. Repere service 3,2725 ; repere mesure = coef sur totalite (2,383251).</t>
        </is>
      </c>
    </row>
    <row r="3">
      <c r="A3" s="3" t="inlineStr">
        <is>
          <t>Exercice</t>
        </is>
      </c>
      <c r="B3" s="3" t="inlineStr">
        <is>
          <t>Cout matieres</t>
        </is>
      </c>
      <c r="C3" s="3" t="inlineStr">
        <is>
          <t>CA declare</t>
        </is>
      </c>
      <c r="D3" s="3" t="inlineStr">
        <is>
          <t>CA reconstitue</t>
        </is>
      </c>
      <c r="E3" s="3" t="inlineStr">
        <is>
          <t>CA au repere 3,2725 (=formule)</t>
        </is>
      </c>
      <c r="F3" s="3" t="inlineStr">
        <is>
          <t>Ecart recon / 3,2725</t>
        </is>
      </c>
      <c r="G3" s="3" t="inlineStr">
        <is>
          <t>CA au repere mesure (=formule)</t>
        </is>
      </c>
      <c r="H3" s="3" t="inlineStr">
        <is>
          <t>Ecart recon / mesure</t>
        </is>
      </c>
      <c r="I3" s="3" t="inlineStr">
        <is>
          <t>Ecart declare / mesure</t>
        </is>
      </c>
    </row>
    <row r="4">
      <c r="A4" s="4" t="inlineStr">
        <is>
          <t>2022-2023</t>
        </is>
      </c>
      <c r="B4" s="19">
        <f>Sources!B11</f>
        <v/>
      </c>
      <c r="C4" s="19" t="n">
        <v>404031</v>
      </c>
      <c r="D4" s="19" t="n">
        <v>597265</v>
      </c>
      <c r="E4" s="14">
        <f>B4*3.2725</f>
        <v/>
      </c>
      <c r="F4" s="20">
        <f>D4-E4</f>
        <v/>
      </c>
      <c r="G4" s="14">
        <f>B4*Coefficient!C7</f>
        <v/>
      </c>
      <c r="H4" s="20">
        <f>D4-G4</f>
        <v/>
      </c>
      <c r="I4" s="20">
        <f>C4-G4</f>
        <v/>
      </c>
    </row>
    <row r="5">
      <c r="A5" s="4" t="inlineStr">
        <is>
          <t>2023-2024</t>
        </is>
      </c>
      <c r="B5" s="19">
        <f>Sources!B12</f>
        <v/>
      </c>
      <c r="C5" s="19" t="n">
        <v>438658</v>
      </c>
      <c r="D5" s="19" t="n">
        <v>577522</v>
      </c>
      <c r="E5" s="14">
        <f>B5*3.2725</f>
        <v/>
      </c>
      <c r="F5" s="20">
        <f>D5-E5</f>
        <v/>
      </c>
      <c r="G5" s="14">
        <f>B5*Coefficient!C7</f>
        <v/>
      </c>
      <c r="H5" s="20">
        <f>D5-G5</f>
        <v/>
      </c>
      <c r="I5" s="20">
        <f>C5-G5</f>
        <v/>
      </c>
    </row>
    <row r="6">
      <c r="A6" s="4" t="inlineStr">
        <is>
          <t>2024-2025</t>
        </is>
      </c>
      <c r="B6" s="19">
        <f>Sources!B13</f>
        <v/>
      </c>
      <c r="C6" s="19" t="n">
        <v>435525</v>
      </c>
      <c r="D6" s="19" t="n">
        <v>575253</v>
      </c>
      <c r="E6" s="14">
        <f>B6*3.2725</f>
        <v/>
      </c>
      <c r="F6" s="20">
        <f>D6-E6</f>
        <v/>
      </c>
      <c r="G6" s="14">
        <f>B6*Coefficient!C7</f>
        <v/>
      </c>
      <c r="H6" s="20">
        <f>D6-G6</f>
        <v/>
      </c>
      <c r="I6" s="20">
        <f>C6-G6</f>
        <v/>
      </c>
    </row>
    <row r="7">
      <c r="A7" s="8" t="inlineStr">
        <is>
          <t>TOTAL 3 ans</t>
        </is>
      </c>
      <c r="B7" s="21">
        <f>SUM(B4:B6)</f>
        <v/>
      </c>
      <c r="C7" s="21">
        <f>SUM(C4:C6)</f>
        <v/>
      </c>
      <c r="D7" s="21">
        <f>SUM(D4:D6)</f>
        <v/>
      </c>
      <c r="E7" s="21">
        <f>SUM(E4:E6)</f>
        <v/>
      </c>
      <c r="F7" s="21">
        <f>SUM(F4:F6)</f>
        <v/>
      </c>
      <c r="G7" s="21">
        <f>SUM(G4:G6)</f>
        <v/>
      </c>
      <c r="H7" s="21">
        <f>SUM(H4:H6)</f>
        <v/>
      </c>
      <c r="I7" s="21">
        <f>SUM(I4:I6)</f>
        <v/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30" customWidth="1" min="4" max="4"/>
    <col width="32" customWidth="1" min="5" max="5"/>
    <col width="30" customWidth="1" min="6" max="6"/>
    <col width="24" customWidth="1" min="7" max="7"/>
    <col width="26" customWidth="1" min="8" max="8"/>
  </cols>
  <sheetData>
    <row r="1">
      <c r="A1" s="24" t="inlineStr">
        <is>
          <t>Repartition INDICATIVE par exercice du coefficient sur achat revendu. La part revendue (60,77 %) n'est mesuree qu'en cumul 3 ans : la ventilation ci-dessous est un PRORATA des factures d'alcool, pas une mesure annuelle.</t>
        </is>
      </c>
    </row>
    <row r="3">
      <c r="A3" s="24" t="inlineStr">
        <is>
          <t>Achats d'alcool factures FCBS par exercice (bière + vin/cidre + spiritueux/liqueur, HT brut, src/data/calculsBoissons/achatsBoissonsParPeriode.json)</t>
        </is>
      </c>
    </row>
    <row r="4">
      <c r="A4" s="24" t="inlineStr">
        <is>
          <t>Exercice</t>
        </is>
      </c>
      <c r="B4" s="24" t="inlineStr">
        <is>
          <t>Factures alcool HT brut (EUR)</t>
        </is>
      </c>
      <c r="C4" s="24" t="inlineStr">
        <is>
          <t>Part de l exercice (=formule)</t>
        </is>
      </c>
      <c r="D4" s="24" t="inlineStr">
        <is>
          <t>Cout alcool retenu 107 924 x part (=formule)</t>
        </is>
      </c>
      <c r="E4" s="24" t="inlineStr">
        <is>
          <t>Cout alcool REVENDU = cout x 60,77 % (=formule)</t>
        </is>
      </c>
      <c r="F4" s="24" t="inlineStr">
        <is>
          <t>CA alcool encaisse (annexe D, TVA 20 %)</t>
        </is>
      </c>
      <c r="G4" s="24" t="inlineStr">
        <is>
          <t>Coef sur achat REVENDU (=formule)</t>
        </is>
      </c>
      <c r="H4" s="24" t="inlineStr">
        <is>
          <t>Coef sur la TOTALITE des achats (=formule)</t>
        </is>
      </c>
    </row>
    <row r="5">
      <c r="A5" t="inlineStr">
        <is>
          <t>2022-2023</t>
        </is>
      </c>
      <c r="B5" t="n">
        <v>36963.72</v>
      </c>
      <c r="C5">
        <f>B5/$B$8</f>
        <v/>
      </c>
      <c r="D5">
        <f>Sources!$B$7*C5</f>
        <v/>
      </c>
      <c r="E5">
        <f>D5*Cascade!$B$18</f>
        <v/>
      </c>
      <c r="F5">
        <f>Sources!B4</f>
        <v/>
      </c>
      <c r="G5">
        <f>F5/E5</f>
        <v/>
      </c>
      <c r="H5">
        <f>F5/D5</f>
        <v/>
      </c>
    </row>
    <row r="6">
      <c r="A6" t="inlineStr">
        <is>
          <t>2023-2024</t>
        </is>
      </c>
      <c r="B6" t="n">
        <v>37969.83</v>
      </c>
      <c r="C6">
        <f>B6/$B$8</f>
        <v/>
      </c>
      <c r="D6">
        <f>Sources!$B$7*C6</f>
        <v/>
      </c>
      <c r="E6">
        <f>D6*Cascade!$B$18</f>
        <v/>
      </c>
      <c r="F6">
        <f>Sources!B5</f>
        <v/>
      </c>
      <c r="G6">
        <f>F6/E6</f>
        <v/>
      </c>
      <c r="H6">
        <f>F6/D6</f>
        <v/>
      </c>
    </row>
    <row r="7">
      <c r="A7" t="inlineStr">
        <is>
          <t>2024-2025</t>
        </is>
      </c>
      <c r="B7" t="n">
        <v>38063</v>
      </c>
      <c r="C7">
        <f>B7/$B$8</f>
        <v/>
      </c>
      <c r="D7">
        <f>Sources!$B$7*C7</f>
        <v/>
      </c>
      <c r="E7">
        <f>D7*Cascade!$B$18</f>
        <v/>
      </c>
      <c r="F7">
        <f>Sources!B6</f>
        <v/>
      </c>
      <c r="G7">
        <f>F7/E7</f>
        <v/>
      </c>
      <c r="H7">
        <f>F7/D7</f>
        <v/>
      </c>
    </row>
    <row r="8">
      <c r="A8" s="24" t="inlineStr">
        <is>
          <t>GLOBALISE 3 ans (seule MESURE)</t>
        </is>
      </c>
      <c r="B8">
        <f>SUM(B5:B7)</f>
        <v/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F8/E8</f>
        <v/>
      </c>
      <c r="H8">
        <f>F8/D8</f>
        <v/>
      </c>
    </row>
    <row r="10">
      <c r="A10" t="inlineStr">
        <is>
          <t>Lecture : par exercice, le coefficient sur la TOTALITE des achats d'alcool (colonne H) suit les coefficients globaux declares releves par le service p. 56 (2,30 / 2,39 / 2,31) et ceux du memoire du 10/07/2026 pour la boisson (2,35 / 2,49 / 2,44).</t>
        </is>
      </c>
    </row>
    <row r="11">
      <c r="A11" t="inlineStr">
        <is>
          <t>Limite : la ligne 8 est la seule mesure (257 209,96 / 65 585 = 3,92 ; 257 209,96 / 107 924 = 2,383251). Les lignes 5 a 7 supposent une part revendue identique chaque annee ; elles ne sont pas opposees comme coefficients annuels mesures.</t>
        </is>
      </c>
    </row>
    <row r="12">
      <c r="A12" t="inlineStr">
        <is>
          <t>Ecart 112 996,55 (factures brutes 3 categories) vs 107 924 (cout d'alcool retenu, boissonsPageData.json) : le prorata porte sur les PARTS (col. C), le montant total reste 107 924.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  <col width="22" customWidth="1" min="4" max="4"/>
  </cols>
  <sheetData>
    <row r="1">
      <c r="A1" s="24" t="inlineStr">
        <is>
          <t>Controle arithmetique du tableau du service, proposition du 18/05/2026 p. 34 (repris p. 35 avec le CA reconstitue). Valeurs lues sur la page scannee ; totaux recalcules par formule.</t>
        </is>
      </c>
    </row>
    <row r="3">
      <c r="A3" s="24" t="inlineStr">
        <is>
          <t>Ligne du tableau p. 34</t>
        </is>
      </c>
      <c r="B3" s="24" t="inlineStr">
        <is>
          <t>Exercice clos 31/03/2023</t>
        </is>
      </c>
      <c r="C3" s="24" t="inlineStr">
        <is>
          <t>Exercice clos 31/03/2024</t>
        </is>
      </c>
      <c r="D3" s="24" t="inlineStr">
        <is>
          <t>Exercice clos 31/03/2025</t>
        </is>
      </c>
    </row>
    <row r="4">
      <c r="A4" t="inlineStr">
        <is>
          <t>TOTAL CHIFFRE D AFFAIRES TTC (inclus 706 800 pourboires)</t>
        </is>
      </c>
      <c r="B4" t="n">
        <v>404030.87</v>
      </c>
      <c r="C4" t="n">
        <v>438658.43</v>
      </c>
      <c r="D4" t="n">
        <v>435524.92</v>
      </c>
    </row>
    <row r="5">
      <c r="A5" t="inlineStr">
        <is>
          <t>Compte 601 100 - Achats denrees</t>
        </is>
      </c>
      <c r="B5" t="n">
        <v>127473.87</v>
      </c>
      <c r="C5" t="n">
        <v>137971.41</v>
      </c>
      <c r="D5" t="n">
        <v>142129.11</v>
      </c>
    </row>
    <row r="6">
      <c r="A6" t="inlineStr">
        <is>
          <t>Compte 601 200 - Achats boissons</t>
        </is>
      </c>
      <c r="B6" t="n">
        <v>48237.09</v>
      </c>
      <c r="C6" t="n">
        <v>46384.45</v>
      </c>
      <c r="D6" t="n">
        <v>47098.84</v>
      </c>
    </row>
    <row r="7">
      <c r="A7" t="inlineStr">
        <is>
          <t>Variation stocks denrees (signe du tableau)</t>
        </is>
      </c>
      <c r="B7" t="n">
        <v>526.38</v>
      </c>
      <c r="C7" t="n">
        <v>-1646.54</v>
      </c>
      <c r="D7" t="n">
        <v>-430.25</v>
      </c>
    </row>
    <row r="8">
      <c r="A8" t="inlineStr">
        <is>
          <t>Variation stocks boissons (signe du tableau)</t>
        </is>
      </c>
      <c r="B8" t="n">
        <v>-800.83</v>
      </c>
      <c r="C8" t="n">
        <v>-1029.67</v>
      </c>
      <c r="D8" t="n">
        <v>-273.41</v>
      </c>
    </row>
    <row r="9">
      <c r="A9" t="inlineStr">
        <is>
          <t>Cout d achats des matieres ECRIT par le service</t>
        </is>
      </c>
      <c r="B9" t="n">
        <v>175436.51</v>
      </c>
      <c r="C9" t="n">
        <v>183679.65</v>
      </c>
      <c r="D9" t="n">
        <v>188544.29</v>
      </c>
    </row>
    <row r="10">
      <c r="A10" s="24" t="inlineStr">
        <is>
          <t>Cout d achats RECALCULE = 601100 + 601200 + variations (=formule)</t>
        </is>
      </c>
      <c r="B10">
        <f>SUM(B5:B8)</f>
        <v/>
      </c>
      <c r="C10">
        <f>SUM(C5:C8)</f>
        <v/>
      </c>
      <c r="D10">
        <f>SUM(D5:D8)</f>
        <v/>
      </c>
    </row>
    <row r="11">
      <c r="A11" s="24" t="inlineStr">
        <is>
          <t>ECART ecrit - recalcule (=formule) : 0 attendu</t>
        </is>
      </c>
      <c r="B11">
        <f>B9-B10</f>
        <v/>
      </c>
      <c r="C11">
        <f>C9-C10</f>
        <v/>
      </c>
      <c r="D11">
        <f>D9-D10</f>
        <v/>
      </c>
    </row>
    <row r="13">
      <c r="A13" t="inlineStr">
        <is>
          <t>Coefficient declare, tel que le service l ecrit (CA / cout ecrit)</t>
        </is>
      </c>
      <c r="B13">
        <f>B4/B9</f>
        <v/>
      </c>
      <c r="C13">
        <f>C4/C9</f>
        <v/>
      </c>
      <c r="D13">
        <f>D4/D9</f>
        <v/>
      </c>
    </row>
    <row r="14">
      <c r="A14" t="inlineStr">
        <is>
          <t>Coefficient declare, sur le cout recalcule (=formule)</t>
        </is>
      </c>
      <c r="B14">
        <f>B4/B10</f>
        <v/>
      </c>
      <c r="C14">
        <f>C4/C10</f>
        <v/>
      </c>
      <c r="D14">
        <f>D4/D10</f>
        <v/>
      </c>
    </row>
    <row r="16">
      <c r="A16" t="inlineStr">
        <is>
          <t>CA reconstitue par le service (p. 35)</t>
        </is>
      </c>
      <c r="B16" t="n">
        <v>597265.42</v>
      </c>
      <c r="C16" t="n">
        <v>577522</v>
      </c>
      <c r="D16" t="n">
        <v>575252.6800000001</v>
      </c>
    </row>
    <row r="17">
      <c r="A17" t="inlineStr">
        <is>
          <t>Coefficient reconstitue, tel que le service l ecrit (p. 35 : 3,404 / 3,144 / 3,051)</t>
        </is>
      </c>
      <c r="B17">
        <f>B16/B9</f>
        <v/>
      </c>
      <c r="C17">
        <f>C16/C9</f>
        <v/>
      </c>
      <c r="D17">
        <f>D16/D9</f>
        <v/>
      </c>
    </row>
    <row r="18">
      <c r="A18" t="inlineStr">
        <is>
          <t>Coefficient reconstitue, sur le cout recalcule (=formule)</t>
        </is>
      </c>
      <c r="B18">
        <f>B16/B10</f>
        <v/>
      </c>
      <c r="C18">
        <f>C16/C10</f>
        <v/>
      </c>
      <c r="D18">
        <f>D16/D10</f>
        <v/>
      </c>
    </row>
    <row r="20">
      <c r="A20" t="inlineStr">
        <is>
          <t>Lecture : sur 2023-2024 le total ecrit (183 679,65) depasse de 2 000,00 EUR la somme de ses propres lignes (181 679,65) ; sur 2024-2025 l ecart est de 20,00 EUR. Le coefficient declare 2023-2024 ressort a 2,414 et non 2,388 ; le reconstitue a 3,179 et non 3,144. Sans incidence sur la demonstration de la page (tests conduits sur les chiffres du service tels quels), mais le tableau fondant le grief ne s additionne pas.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2" t="inlineStr">
        <is>
          <t>METHODE — PIECE R2 COEFFICIENT DE REVENTE</t>
        </is>
      </c>
    </row>
    <row r="2">
      <c r="A2" s="23" t="inlineStr"/>
    </row>
    <row r="3">
      <c r="A3" s="22" t="inlineStr">
        <is>
          <t>1. Ancre fixe, non discutable : le coefficient de revente sur la TOTALITE des achats d'alcool = CA alcool encaisse / cout d'achat de l'alcool</t>
        </is>
      </c>
    </row>
    <row r="4">
      <c r="A4" s="23" t="inlineStr">
        <is>
          <t xml:space="preserve">   = 257 209,96 EUR (somme des trois annexes D, bloc alcool TVA 20 %) / 107 924 EUR (factures FCBS) = 2,383251. Onglet Coefficient, ligne 'COEF sur la TOTALITE'.</t>
        </is>
      </c>
    </row>
    <row r="5">
      <c r="A5" s="23" t="inlineStr"/>
    </row>
    <row r="6">
      <c r="A6" s="22" t="inlineStr">
        <is>
          <t>2. Decomposition : coef sur la totalite = coef sur achat REVENDU x part des achats REVENDUE. C'est une identite (l'alcool non revendu n'encaisse rien).</t>
        </is>
      </c>
    </row>
    <row r="7">
      <c r="A7" s="23" t="inlineStr">
        <is>
          <t xml:space="preserve">   La part revendue est le seul terme a etablir ; elle vient du bilan matiere des 10 622 L (onglet Cascade, R1-cascade-bilan-matiere.xlsx).</t>
        </is>
      </c>
    </row>
    <row r="8">
      <c r="A8" s="23" t="inlineStr">
        <is>
          <t xml:space="preserve">   Part revendue = (vendu au verre 5 457 L + vendu en cocktails 998 L) / 10 622 L = 6 455 / 10 622 = 60,77 %.</t>
        </is>
      </c>
    </row>
    <row r="9">
      <c r="A9" s="23" t="inlineStr">
        <is>
          <t xml:space="preserve">   La cascade boucle exactement a 10 622 L (controle onglet Cascade) : aucun litre introuvable.</t>
        </is>
      </c>
    </row>
    <row r="10">
      <c r="A10" s="23" t="inlineStr"/>
    </row>
    <row r="11">
      <c r="A11" s="22" t="inlineStr">
        <is>
          <t>3. Il s'ensuit, par formule : cout de l'alcool revendu = 107 924 x 60,77 % = 65 585 EUR ; coef sur achat revendu = 257 209,96 / 65 585 = 3,9218 (arrondi 3,92).</t>
        </is>
      </c>
    </row>
    <row r="12">
      <c r="A12" s="23" t="inlineStr">
        <is>
          <t xml:space="preserve">   Controle d'identite : 3,9218 x 60,77 % = 2,383251 (egal au coef sur la totalite). L'operation du service 3,85 x (1-0,15) applique la MEME identite avec une part supposee de 85 %.</t>
        </is>
      </c>
    </row>
    <row r="13">
      <c r="A13" s="23" t="inlineStr"/>
    </row>
    <row r="14">
      <c r="A14" s="22" t="inlineStr">
        <is>
          <t>4. Une seule valeur circule desormais : part revendue 60,77 % (6 455 L) et coef sur achat revendu 3,92 (3,9218). Les variantes 59,03 % / 6 271 L et 4,04 sont SUPPRIMEES :</t>
        </is>
      </c>
    </row>
    <row r="15">
      <c r="A15" s="23" t="inlineStr">
        <is>
          <t xml:space="preserve">   elles supposaient 6 271 L revendus, incompatibles avec le bilan matiere (5 457 + 998 = 6 455) et avec l'identite (3,92 x 0,5903 = 2,315, non 2,383251).</t>
        </is>
      </c>
    </row>
    <row r="16">
      <c r="A16" s="23" t="inlineStr"/>
    </row>
    <row r="17">
      <c r="A17" s="22" t="inlineStr">
        <is>
          <t>5. Perte pure (casse, evaporation, fonds de verre, rincage) = RESIDU du bilan = 2 055 L = 19,3 % (onglet Cascade). C'est le solde de l'egalite, pas un taux pose.</t>
        </is>
      </c>
    </row>
    <row r="18">
      <c r="A18" s="23" t="inlineStr">
        <is>
          <t xml:space="preserve">   Le 1 543 L / 15 % figurant dans la reproduction de la p. 57 est la version initiale du memoire du 10/07/2026, avant les six corrections que la defense porte contre elle-meme ; il est abandonne.</t>
        </is>
      </c>
    </row>
    <row r="19">
      <c r="A19" s="23" t="inlineStr"/>
    </row>
    <row r="20">
      <c r="A20" s="22" t="inlineStr">
        <is>
          <t>6. Confrontation (onglet Confrontation) : le repere du service (3,2725) et le repere mesure (2,383251) sont appliques au cout des matieres de chaque exercice.</t>
        </is>
      </c>
    </row>
    <row r="21">
      <c r="A21" s="23" t="inlineStr">
        <is>
          <t xml:space="preserve">   Sur 3 ans, le CA reconstitue est 42 207 EUR SOUS le repere 3,2725 (la defense le concede) ; avec la part mesuree il le DEPASSE de 444 807 EUR.</t>
        </is>
      </c>
    </row>
    <row r="22">
      <c r="A22" s="23" t="inlineStr"/>
    </row>
    <row r="23">
      <c r="A23" s="22" t="inlineStr">
        <is>
          <t>LIMITES. (a) 107 924 EUR vient des factures fournisseur par periode (detail non reproduit ici) ; (b) la cascade n'existe qu'en cumul triennal : il n'y a pas de coef annuel mesure ;</t>
        </is>
      </c>
    </row>
    <row r="24">
      <c r="A24" s="23" t="inlineStr">
        <is>
          <t>(c) les deux reperes sont tires de l'alcool seul, alors que 3,40/3,14/3,05 portent sur la totalite des matieres ; (d) aucun referentiel professionnel externe n'est produit pour un coef global de ~2,30.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2026-10-25T19:13:58Z</dcterms:created>
  <dcterms:modified xmlns:dcterms="http://purl.org/dc/terms/" xmlns:xsi="http://www.w3.org/2001/XMLSchema-instance" xsi:type="dcterms:W3CDTF">2026-10-27T08:08:00Z</dcterms:modified>
</cp:coreProperties>
</file>