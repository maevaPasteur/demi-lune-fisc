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Lisez-moi" sheetId="1" state="visible" r:id="rId3"/>
    <sheet name="Doses" sheetId="2" state="visible" r:id="rId4"/>
    <sheet name="Detail-menus" sheetId="3" state="visible" r:id="rId5"/>
    <sheet name="228L-par-exercice" sheetId="4" state="visible" r:id="rId6"/>
    <sheet name="Sources" sheetId="5" state="visible" r:id="rId7"/>
    <sheet name="Calcul" sheetId="6" state="visible" r:id="rId8"/>
    <sheet name="Euros" sheetId="7" state="visible" r:id="rId9"/>
    <sheet name="Annexes7-service" sheetId="8" state="visible" r:id="rId10"/>
    <sheet name="Annexe6-vs-factures" sheetId="9" state="visible" r:id="rId11"/>
    <sheet name="Ce-qu-il-oppose" sheetId="10" state="visible" r:id="rId12"/>
    <sheet name="Baileys-caisse" sheetId="11" state="visible" r:id="rId13"/>
    <sheet name="Factures" sheetId="12" state="visible" r:id="rId14"/>
    <sheet name="Perimetre" sheetId="13" state="visible" r:id="rId15"/>
    <sheet name="Methode" sheetId="14" state="visible" r:id="rId1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<sst xmlns="http://schemas.openxmlformats.org/spreadsheetml/2006/main" count="1937" uniqueCount="507">
  <si>
    <t xml:space="preserve">R2-alcool-plats-menus.xlsx : alcool cuit dans les plats DES MENUS (point 6 de la reponse du service du 04/09/2026, p. 68-70).</t>
  </si>
  <si>
    <t xml:space="preserve">Piece auto-suffisante et recalculable : toutes les cellules de resultat sont des formules reliees aux onglets de donnees.</t>
  </si>
  <si>
    <t xml:space="preserve">Onglets :</t>
  </si>
  <si>
    <t xml:space="preserve">1. Doses : les 9 doses des plats de menu et la ligne du courriel des dirigeants du 30/03/2026 (proposition p. 37) dont chacune vient.</t>
  </si>
  <si>
    <t xml:space="preserve">2. Detail-menus : 52 lignes = menu x option alcoolisee, par carte-periode (P1..P5). cl = menus factures au prix catalogue x dose x probabilite (formules).</t>
  </si>
  <si>
    <t xml:space="preserve">3. 228L-par-exercice : agregation SUMIFS du detail par alcool et par exercice = les 27 termes du tableau reproduit p. 68.</t>
  </si>
  <si>
    <t xml:space="preserve">4. Sources : volumes menus (ROUND du 3) et volumes deja retranches par le service (reperes D/E/G/Q p. 65-67 ; part desserts des cremes p. 69 ; part cuisine des BIB p. 69).</t>
  </si>
  <si>
    <t xml:space="preserve">5. Calcul : supplement menus = MAX(0 ; menus - deja retranche), exercice par exercice, planche a zero ; marc plafonne a 2,10 L.</t>
  </si>
  <si>
    <t xml:space="preserve">6. Euros : conversion du residu en CA liquides TTC, prix de l annexe B1 (2022-2023) = 2 737 EUR ; variante aux prix des annexes 7-2/7-3 du service.</t>
  </si>
  <si>
    <t xml:space="preserve">7. Annexes7-service : lignes Bailey s, Liqueur Golden 8 et Marc de Bourgogne des annexes 7-1, 7-2, 7-3 de la proposition (partie 3, p. 53, 67, 81), relevees sur les images ; CA recalcule par formule.</t>
  </si>
  <si>
    <t xml:space="preserve">8. Annexe6-vs-factures : annexe n 6 du service (achats, stocks, disponibles) confrontee aux factures par code article.</t>
  </si>
  <si>
    <t xml:space="preserve">9. Ce-qu-il-oppose : les volumes disponibles opposes p. 69-70 et leur origine dans l annexe n 6.</t>
  </si>
  <si>
    <t xml:space="preserve">10. Baileys-caisse : les six termes du service (236 cl, p. 69) et les notres (224 cl).</t>
  </si>
  <si>
    <t xml:space="preserve">11. Factures : les factures du fournisseur pour les alcools du point 6, une a une.</t>
  </si>
  <si>
    <t xml:space="preserve">12. Perimetre : controle d absence de double comptage avec la cuisine a la carte (R2-alcool-cuisine.xlsx).</t>
  </si>
  <si>
    <t xml:space="preserve">13. Methode : etapes et limites.</t>
  </si>
  <si>
    <t xml:space="preserve">Convention : 1 = exercice 2022-2023, 2 = 2023-2024, 3 = 2024-2025. Volumes en centilitres (cl) sauf mention L.</t>
  </si>
  <si>
    <t xml:space="preserve">1. Les neuf doses des plats de menu et la ligne du courriel des dirigeants du 30/03/2026 (proposition p. 37) dont chacune vient. Colonnes K/L/M : probabilite basse / retenue / haute ; J : 1/n.</t>
  </si>
  <si>
    <t xml:space="preserve">Carte</t>
  </si>
  <si>
    <t xml:space="preserve">Période</t>
  </si>
  <si>
    <t xml:space="preserve">Menu</t>
  </si>
  <si>
    <t xml:space="preserve">Service</t>
  </si>
  <si>
    <t xml:space="preserve">Option</t>
  </si>
  <si>
    <t xml:space="preserve">Alcool</t>
  </si>
  <si>
    <t xml:space="preserve">Dose retenue (cl)</t>
  </si>
  <si>
    <t xml:space="preserve">Plat obligatoire du menu</t>
  </si>
  <si>
    <t xml:space="preserve">Options du service</t>
  </si>
  <si>
    <t xml:space="preserve">Probabilité 1/n</t>
  </si>
  <si>
    <t xml:space="preserve">Probabilité retenue (basse)</t>
  </si>
  <si>
    <t xml:space="preserve">Probabilité retenue (moyenne)</t>
  </si>
  <si>
    <t xml:space="preserve">Probabilité retenue (haute)</t>
  </si>
  <si>
    <t xml:space="preserve">Ligne du courriel du 30/03/2026, reproduite p. 37 de la proposition</t>
  </si>
  <si>
    <t xml:space="preserve">Dose que le service retient lui-même</t>
  </si>
  <si>
    <t xml:space="preserve">C</t>
  </si>
  <si>
    <t xml:space="preserve">29/03/2021-22/07/2022</t>
  </si>
  <si>
    <t xml:space="preserve">Demi Lune</t>
  </si>
  <si>
    <t xml:space="preserve">1 cl : repère G, p. 67, « la dose d’un centilitre fournie par les dirigeants lors des opérations sur place »</t>
  </si>
  <si>
    <t xml:space="preserve">Poulet aux morilles</t>
  </si>
  <si>
    <t xml:space="preserve">Porto</t>
  </si>
  <si>
    <t xml:space="preserve">oui</t>
  </si>
  <si>
    <t xml:space="preserve">« Sauce Forestière et Sauce Morilles : 10 cl de Porto pour 1 litre de sauce pour 10 parts = 1 cl de Porto/Pers. »</t>
  </si>
  <si>
    <t xml:space="preserve">Feuilleté forestier</t>
  </si>
  <si>
    <t xml:space="preserve">non</t>
  </si>
  <si>
    <t xml:space="preserve">Dahu</t>
  </si>
  <si>
    <t xml:space="preserve">10 cl : dose du repère E, en-tête du tableau de la p. 66 (« Fondue 10 cl »)</t>
  </si>
  <si>
    <t xml:space="preserve">Fondue jurassienne</t>
  </si>
  <si>
    <t xml:space="preserve">Ravelin</t>
  </si>
  <si>
    <t xml:space="preserve">« Fondue Jurassienne : 9 ou10 cl de vin/Pers. »</t>
  </si>
  <si>
    <t xml:space="preserve">Vegetarien</t>
  </si>
  <si>
    <t xml:space="preserve">4 cl : repère D, en-tête du tableau de la p. 65</t>
  </si>
  <si>
    <t xml:space="preserve">Assiette du père Grégoire</t>
  </si>
  <si>
    <t xml:space="preserve">Calvados</t>
  </si>
  <si>
    <t xml:space="preserve">« Camembert, Assiette Franc-Comtoise et Assiette du Père Grégoire : Ce sont des plats flambés devant les clients, environ 4 à 5 cl d’alcool/Pers. (Macvin ou Calvados) »</t>
  </si>
  <si>
    <t xml:space="preserve">Galette sarrasin forestière</t>
  </si>
  <si>
    <t xml:space="preserve">Bourguignon</t>
  </si>
  <si>
    <t xml:space="preserve">aucune dose propre : le service retranche 10,64 / 11,32 / 11,32 L au titre des desserts (p. 69)</t>
  </si>
  <si>
    <t xml:space="preserve">Coupe Dijonnaise</t>
  </si>
  <si>
    <t xml:space="preserve">Crème de cassis</t>
  </si>
  <si>
    <t xml:space="preserve">« Coupes de glaces alcoolisées : 4 cl d’alcool (Quelque soit l’alcool) »</t>
  </si>
  <si>
    <t xml:space="preserve">aucune dose propre : le service ne discute pas la dose, seulement le volume disponible (p. 70)</t>
  </si>
  <si>
    <t xml:space="preserve">Baba au marc de bourgogne</t>
  </si>
  <si>
    <t xml:space="preserve">Marc de bourgogne</t>
  </si>
  <si>
    <t xml:space="preserve">« Babas : 4 cl d’alcool (Quelque soit l’alcool) »</t>
  </si>
  <si>
    <t xml:space="preserve">Franc-Comtois</t>
  </si>
  <si>
    <t xml:space="preserve">1 cl : repère E, p. 66, et « conformément aux dires des dirigeants »</t>
  </si>
  <si>
    <t xml:space="preserve">Poulet à la jurassienne</t>
  </si>
  <si>
    <t xml:space="preserve">Vin jaune</t>
  </si>
  <si>
    <t xml:space="preserve">« Sauce Jurassienne : 10 cl de vin jaune pour 1 litre de sauce pour 10 parts = 1 cl de vin jaune/Pers. »</t>
  </si>
  <si>
    <t xml:space="preserve">4 cl : repère Q, p. 67 (« 4 cl, pour la préparation des plats/desserts »), 5 cl dans la proposition p. 48</t>
  </si>
  <si>
    <t xml:space="preserve">Assiette franc-comtoise</t>
  </si>
  <si>
    <t xml:space="preserve">Macvin</t>
  </si>
  <si>
    <t xml:space="preserve">« Babas : 4 cl d’alcool (Quelque soit l’alcool) » et « […] environ 4 à 5 cl d’alcool/Pers. (Macvin ou Calvados) »</t>
  </si>
  <si>
    <t xml:space="preserve">Baba au macvin</t>
  </si>
  <si>
    <t xml:space="preserve">B</t>
  </si>
  <si>
    <t xml:space="preserve">23/07/2022-16/04/2023</t>
  </si>
  <si>
    <t xml:space="preserve">Poulet ou truite aux morilles</t>
  </si>
  <si>
    <t xml:space="preserve">A</t>
  </si>
  <si>
    <t xml:space="preserve">17/04/2023-17/07/2025</t>
  </si>
  <si>
    <t xml:space="preserve">aucune dose propre : le service ne discute pas la dose, seulement le volume disponible (p. 69)</t>
  </si>
  <si>
    <t xml:space="preserve">Coupe glacée Ivresse</t>
  </si>
  <si>
    <t xml:space="preserve">Baileys</t>
  </si>
  <si>
    <t xml:space="preserve">« Babas : 4 cl d’alcool (Quelque soit l’alcool) » et « Coupes de glaces alcoolisées : 4 cl d’alcool (Quelque soit l’alcool) »</t>
  </si>
  <si>
    <t xml:space="preserve">Baba liqueur de poire</t>
  </si>
  <si>
    <t xml:space="preserve">Liqueur de poire</t>
  </si>
  <si>
    <t xml:space="preserve">Baba au Baileys</t>
  </si>
  <si>
    <t xml:space="preserve">Aucune dose de ce tableau n’est une dose de la société : chacune est celle du courriel des dirigeants du 30 mars 2026, que le service reproduit page 37 de sa proposition de rectifications et dont il écrit page 68 qu’il « n’a fait que suivre les recommandations des dirigeants ».</t>
  </si>
  <si>
    <t xml:space="preserve">Les deux fourchettes du courriel (« 9 ou10 cl » pour la fondue, « environ 4 à 5 cl » pour les plats flambés) sont converties comme le service les convertit lui-même : 10 cl pour la fondue (en-tête de son tableau du repère E, p. 66), 4 cl pour les plats flambés (en-tête de son tableau du repère D, p. 65, et p. 67 pour le macvin).</t>
  </si>
  <si>
    <t xml:space="preserve">La probabilité de choix n’est pas lue en caisse : un menu se vend au forfait et le plat choisi à l’intérieur du menu ne fait pas l’objet d’une ligne de ticket distincte. C’est une convention uniforme 1/n sur les options du service, encadrée par une borne basse et une borne haute, la valeur moyenne étant retenue. Elle ne joue pas sur le ravelin : la fondue jurassienne est le plat unique du menu Dahu, probabilité 1,00.</t>
  </si>
  <si>
    <t xml:space="preserve">2. Alcool cuit dans les plats des menus : une ligne par menu x option alcoolisee x carte-periode. cl = menus (prix catalogue) x dose x probabilite retenue. Source des comptes de menus : annexes C (detail des tickets), menus factures au prix de carte.</t>
  </si>
  <si>
    <t xml:space="preserve">Periode</t>
  </si>
  <si>
    <t xml:space="preserve">Dates</t>
  </si>
  <si>
    <t xml:space="preserve">Exercice</t>
  </si>
  <si>
    <t xml:space="preserve">Menus factures au prix catalogue</t>
  </si>
  <si>
    <t xml:space="preserve">Option alcoolisee</t>
  </si>
  <si>
    <t xml:space="preserve">Dose (cl) courriel 30/03/2026</t>
  </si>
  <si>
    <t xml:space="preserve">Plat obligatoire</t>
  </si>
  <si>
    <t xml:space="preserve">Proba basse</t>
  </si>
  <si>
    <t xml:space="preserve">Proba haute</t>
  </si>
  <si>
    <t xml:space="preserve">Proba retenue =(basse+haute)/2</t>
  </si>
  <si>
    <t xml:space="preserve">cl retenu =F*J*N</t>
  </si>
  <si>
    <t xml:space="preserve">cl bas =F*J*L</t>
  </si>
  <si>
    <t xml:space="preserve">cl haut =F*J*M</t>
  </si>
  <si>
    <t xml:space="preserve">P1</t>
  </si>
  <si>
    <t xml:space="preserve">01/04/2022-22/07/2022</t>
  </si>
  <si>
    <t xml:space="preserve">2022-2023</t>
  </si>
  <si>
    <t xml:space="preserve">Plat</t>
  </si>
  <si>
    <t xml:space="preserve">Dessert</t>
  </si>
  <si>
    <t xml:space="preserve">Entrée</t>
  </si>
  <si>
    <t xml:space="preserve">P2</t>
  </si>
  <si>
    <t xml:space="preserve">23/07/2022-31/03/2023</t>
  </si>
  <si>
    <t xml:space="preserve">P3</t>
  </si>
  <si>
    <t xml:space="preserve">01/04/2023-16/04/2023</t>
  </si>
  <si>
    <t xml:space="preserve">2023-2024</t>
  </si>
  <si>
    <t xml:space="preserve">P4</t>
  </si>
  <si>
    <t xml:space="preserve">17/04/2023-31/03/2024</t>
  </si>
  <si>
    <t xml:space="preserve">P5</t>
  </si>
  <si>
    <t xml:space="preserve">01/04/2024-31/03/2025</t>
  </si>
  <si>
    <t xml:space="preserve">2024-2025</t>
  </si>
  <si>
    <t xml:space="preserve">TOTAL (cl)</t>
  </si>
  <si>
    <t xml:space="preserve">TOTAL (L)</t>
  </si>
  <si>
    <t xml:space="preserve">Probabilite : 1 pour un plat obligatoire ; sinon convention centree sur 1/n (n options au meme service), encadree par une borne basse et une borne haute, la moyenne etant retenue. Pour les trois alcools du residu (Bailey s, liqueur de poire, marc), la probabilite retenue est exactement 1/n : 1/2 (menu Bourguignon, 2 desserts) ou 1/4 (menu Demi Lune, 4 desserts).</t>
  </si>
  <si>
    <t xml:space="preserve">Le service applique lui-meme une proportion de choix aux plats des menus (proposition p. 42 a 48) : 61,65 % de poulet a la jurassienne et 38,35 % d assiette franc-comtoise dans le menu Franc-Comtois, 35,58 % d assiette du pere Gregoire dans le menu Vegetarien, 47,83 % de feuillete forestier dans le menu Demi-Lune, 48,67 % de baba au macvin (exercice 1).</t>
  </si>
  <si>
    <t xml:space="preserve">3. Les 228 L exercice par exercice : SUMIFS sur l onglet Detail-menus (les 27 termes du tableau reproduit p. 68, que le service reproche d avoir globalises).</t>
  </si>
  <si>
    <t xml:space="preserve">Exercice 1 (L)</t>
  </si>
  <si>
    <t xml:space="preserve">Exercice 2 (L)</t>
  </si>
  <si>
    <t xml:space="preserve">Exercice 3 (L)</t>
  </si>
  <si>
    <t xml:space="preserve">3 exercices (L)</t>
  </si>
  <si>
    <t xml:space="preserve">Arrondi du tableau p. 68</t>
  </si>
  <si>
    <t xml:space="preserve">TOTAL</t>
  </si>
  <si>
    <t xml:space="preserve">Aucun des 27 termes n est negatif : une somme de volumes positifs donne le meme resultat agregee ou exercice par exercice. La globalisation ne permet de compenser aucun exercice par un autre.</t>
  </si>
  <si>
    <t xml:space="preserve">Les neuf arrondis de la colonne F font 229 L ; le tableau p. 68 imprimait 228 L (somme des valeurs exactes 228,31 L) avec Calvados 12 et Porto 10 (troncatures).</t>
  </si>
  <si>
    <t xml:space="preserve">Menus vendus et menus retenus (factures au prix catalogue) ; le service lit les memes comptes : 748 Franc-Comtois, 263 Vegetarien, 153 Demi-Lune sur l exercice 1 (proposition p. 42, 44, 45).</t>
  </si>
  <si>
    <t xml:space="preserve">Vendus ex. 1</t>
  </si>
  <si>
    <t xml:space="preserve">Vendus ex. 2</t>
  </si>
  <si>
    <t xml:space="preserve">Vendus ex. 3</t>
  </si>
  <si>
    <t xml:space="preserve">Retenus ex. 1</t>
  </si>
  <si>
    <t xml:space="preserve">Retenus ex. 2</t>
  </si>
  <si>
    <t xml:space="preserve">Retenus ex. 3</t>
  </si>
  <si>
    <t xml:space="preserve">Menus retenus = somme, par exercice, des menus factures au prix catalogue (une ligne par menu et par periode dans Detail-menus ; formule : une option par menu pour ne compter chaque menu qu une fois). Les 31 menus Dahu ecartes (254+408+368 = 1 030 vendus, 999 retenus) sont ceux factures a un prix hors carte.</t>
  </si>
  <si>
    <t xml:space="preserve">4. Volumes des menus (arrondis a 0,01 L depuis l onglet 228L-par-exercice) et volumes deja retranches par le service, exercice par exercice.</t>
  </si>
  <si>
    <t xml:space="preserve">Menus ex1 (L)</t>
  </si>
  <si>
    <t xml:space="preserve">Menus ex2 (L)</t>
  </si>
  <si>
    <t xml:space="preserve">Menus ex3 (L)</t>
  </si>
  <si>
    <t xml:space="preserve">Deja retranche par le service ex1 (L)</t>
  </si>
  <si>
    <t xml:space="preserve">ex2 (L)</t>
  </si>
  <si>
    <t xml:space="preserve">ex3 (L)</t>
  </si>
  <si>
    <t xml:space="preserve">Plafond stock (L)</t>
  </si>
  <si>
    <t xml:space="preserve">Origine du retranchement du service</t>
  </si>
  <si>
    <t xml:space="preserve">part cuisine du volume unique des vins en BIB, reponse p. 69 ; annexe 7-1 p. 51 : 16 232 cl dont Fondue Jurassienne 372 x 10 cl</t>
  </si>
  <si>
    <t xml:space="preserve">repere Q, reponse p. 67 (7 774 / 8 832 / 7 406 cl), cumul 240 L p. 69</t>
  </si>
  <si>
    <t xml:space="preserve">repere E, reponse p. 66 (3 717 / 3 693 / 3 748 cl), cumul 111 L p. 69</t>
  </si>
  <si>
    <t xml:space="preserve">repere D, reponse p. 65 (3 310 / 3 002 / 3 005 cl), cumul 93 L p. 69</t>
  </si>
  <si>
    <t xml:space="preserve">repere G, reponse p. 67 (398 / 583 / 556 cl), cumul 15 L p. 69</t>
  </si>
  <si>
    <t xml:space="preserve">Creme cassis</t>
  </si>
  <si>
    <t xml:space="preserve">part desserts du volume unique des cremes, reponse p. 69 (repere I de la proposition p. 43)</t>
  </si>
  <si>
    <t xml:space="preserve">Bailey's</t>
  </si>
  <si>
    <t xml:space="preserve">aucun retranchement au titre des menus : le repere C (annexes 7-1/7-2/7-3) ne retranche que 16 + 32 + 44 = 92 cl, soit les 23 coupes Ivresse vendues a la carte</t>
  </si>
  <si>
    <t xml:space="preserve">Marc bourgogne</t>
  </si>
  <si>
    <t xml:space="preserve">aucun retranchement ; plafond 210 cl = 4 bouteilles facturees (code 550252) moins 1 en stock au 31/03/2025</t>
  </si>
  <si>
    <t xml:space="preserve">Liqueur poire</t>
  </si>
  <si>
    <t xml:space="preserve">aucun retranchement (aucune ligne repere C sur Liqueur Golden 8 en annexes 7)</t>
  </si>
  <si>
    <t xml:space="preserve">Les volumes deja retranches sont repris tels que le service les imprime ; la question de savoir s ils se recalculent sur leurs propres colonnes releve de la cuisine a la carte (point 5). Meme pris tels quels, ils depassent chaque exercice le volume cuit dans les menus pour macvin, cassis, calvados, vin jaune, porto et ravelin.</t>
  </si>
  <si>
    <t xml:space="preserve">5. Supplement MENUS par formule, exercice par exercice, planche a zero : =MAX(0 ; menus - deja retranche). Marc plafonne au stock sorti (2,10 L).</t>
  </si>
  <si>
    <t xml:space="preserve">Supplement ex1 (L)</t>
  </si>
  <si>
    <t xml:space="preserve">Supplement 3 ans (L)</t>
  </si>
  <si>
    <t xml:space="preserve">Resultat : Bailey s 14,36 + liqueur de poire 4,07 + marc de Bourgogne 2,10 = 20,53 L. Les six autres alcools ont un supplement nul (ravelin abandonne, le service en retranchant 16 232 cl sur le seul exercice 1 contre 7 670 cl chiffres).</t>
  </si>
  <si>
    <t xml:space="preserve">Marc : le volume cuit (5,30 + 0,28 L) est plafonne par formule au stock sorti sur 3 exercices (2,10 L) ; l excedent, 3,48 L, est abandonne.</t>
  </si>
  <si>
    <t xml:space="preserve">6. Conversion du residu en CA liquides reconstitue TTC. Colonne retenue : prix de vente au verre de l annexe B1 (2022-2023), le plus bas des trois exercices. Variante : prix que le service applique lui-meme en annexes 7-1/7-2/7-3.</t>
  </si>
  <si>
    <t xml:space="preserve">Supplement menus (cl)</t>
  </si>
  <si>
    <t xml:space="preserve">cl par verre</t>
  </si>
  <si>
    <t xml:space="preserve">Prix du verre TTC retenu (B1)</t>
  </si>
  <si>
    <t xml:space="preserve">CA TTC retenu =C/D*E</t>
  </si>
  <si>
    <t xml:space="preserve">Prix du verre annexes 7 du service</t>
  </si>
  <si>
    <t xml:space="preserve">CA TTC variante =C/D*G</t>
  </si>
  <si>
    <t xml:space="preserve">Source du prix variante</t>
  </si>
  <si>
    <t xml:space="preserve">Exercice 2</t>
  </si>
  <si>
    <t xml:space="preserve">annexe 7-2 p. 67 : 254 verres x 5,00 EUR = 1 270,00 EUR</t>
  </si>
  <si>
    <t xml:space="preserve">Exercice 3</t>
  </si>
  <si>
    <t xml:space="preserve">annexe 7-3 p. 81 : 199 verres x 6,50 EUR = 1 293,50 EUR</t>
  </si>
  <si>
    <t xml:space="preserve">annexe 7-2 p. 67 : 175 verres x 5,63 EUR = 985,25 EUR</t>
  </si>
  <si>
    <t xml:space="preserve">annexe 7-3 p. 81 : 227 verres x 6,50 EUR = 1 475,50 EUR</t>
  </si>
  <si>
    <t xml:space="preserve">Marc de Bourgogne</t>
  </si>
  <si>
    <t xml:space="preserve">Exercice 1</t>
  </si>
  <si>
    <t xml:space="preserve">annexe B1 (B3 identique 6,50 EUR) ; en 7-2 la ligne Marc De Bourg est valorisee 0,00 EUR</t>
  </si>
  <si>
    <t xml:space="preserve">Par alcool (retenu)</t>
  </si>
  <si>
    <t xml:space="preserve">Effet au niveau du CA liquides TTC, avant le coefficient liquides/solides (ratios de la caisse 2,936 / 3,024 / 3,105, soit un facteur 3,94 / 4,02 / 4,10 sur le CA total) et avant TVA et IS.</t>
  </si>
  <si>
    <t xml:space="preserve">Ordre de grandeur sur le CA total reconstitue TTC (retenu) : ex1 x 3,94 + ex2 x 4,02 + ex3 x 4,10.</t>
  </si>
  <si>
    <t xml:space="preserve">CA total TTC (ordre de grandeur)</t>
  </si>
  <si>
    <t xml:space="preserve">7. Ce que les annexes 7-1, 7-2 et 7-3 du service font des trois alcools du residu (proposition du 18/05/2026, partie 3, p. 53, 67 et 81, relevees sur les images). CA = verres arrondis x prix : formules.</t>
  </si>
  <si>
    <t xml:space="preserve">Ligne de l annexe</t>
  </si>
  <si>
    <t xml:space="preserve">Page</t>
  </si>
  <si>
    <t xml:space="preserve">Bouteilles disponibles</t>
  </si>
  <si>
    <t xml:space="preserve">Volume disponible (cl)</t>
  </si>
  <si>
    <t xml:space="preserve">Repere C desserts (cl)</t>
  </si>
  <si>
    <t xml:space="preserve">Volume net (cl) =E+F</t>
  </si>
  <si>
    <t xml:space="preserve">Dose verre (cl)</t>
  </si>
  <si>
    <t xml:space="preserve">Verres =INT(G/H)</t>
  </si>
  <si>
    <t xml:space="preserve">Prix de vente moyen retenu (EUR)</t>
  </si>
  <si>
    <t xml:space="preserve">CA reconstitue TTC =I*J</t>
  </si>
  <si>
    <t xml:space="preserve">CA TTC imprime par le service</t>
  </si>
  <si>
    <t xml:space="preserve">Verres reellement vendus en caisse</t>
  </si>
  <si>
    <t xml:space="preserve">Baileys 70 cl</t>
  </si>
  <si>
    <t xml:space="preserve">p. 53</t>
  </si>
  <si>
    <t xml:space="preserve">p. 67</t>
  </si>
  <si>
    <t xml:space="preserve">p. 81</t>
  </si>
  <si>
    <t xml:space="preserve">Liqueur Golden 8 70 cl</t>
  </si>
  <si>
    <t xml:space="preserve">Marc De Bourg 70 cl</t>
  </si>
  <si>
    <t xml:space="preserve">Bailey's, 3 exercices</t>
  </si>
  <si>
    <t xml:space="preserve">Liqueur de poire, 3 exercices</t>
  </si>
  <si>
    <t xml:space="preserve">Lecture : le repere C (desserts a la carte) ne retranche que 92 cl de Bailey s sur 3 ans, soit 23 coupes Ivresse de 4 cl vendues a la carte (7 + 12 + 4 dans nos annexes C). Aucun repere ne retranche le baba au Bailey s du menu Bourguignon ni la coupe Ivresse du menu Demi Lune (carte A, a partir du 17/04/2023), ni le baba a la liqueur de poire, ni le baba au marc.</t>
  </si>
  <si>
    <t xml:space="preserve">Le service reconstitue ainsi 519 verres de Bailey s (2 906,70 EUR TTC) la ou la caisse en enregistre 33, et 467 verres de liqueur de poire (2 798,75 EUR TTC) pour 34 vendus. Les 1 436 cl de Bailey s et 407 cl de liqueur de poire cuits dans les desserts de menu sont, dans cette mecanique, vendus au verre.</t>
  </si>
  <si>
    <t xml:space="preserve">Verres vendus en caisse : annexes B1/B2/B3 (Bailey s 5 / 20 / 8 ; Liqueur de Poire 15 / 9 / 11 selon B1-B3 ; le service lit 14 / 9 / 11) ; marc de Bourgogne selon la reponse p. 70 (8 + 4 + 8 cl).</t>
  </si>
  <si>
    <t xml:space="preserve">8. L annexe n 6 du service (proposition p. 29-30, 35-36, 41-42), relevee sur les images, confrontee aux factures relues par code article</t>
  </si>
  <si>
    <t xml:space="preserve">Ligne de l’annexe n° 6</t>
  </si>
  <si>
    <t xml:space="preserve">Achats FCBS (annexe)</t>
  </si>
  <si>
    <t xml:space="preserve">Stock début (annexe)</t>
  </si>
  <si>
    <t xml:space="preserve">Stock fin (annexe)</t>
  </si>
  <si>
    <t xml:space="preserve">Disponibles (annexe)</t>
  </si>
  <si>
    <t xml:space="preserve">Code article des factures</t>
  </si>
  <si>
    <t xml:space="preserve">Achats facturés (unités)</t>
  </si>
  <si>
    <t xml:space="preserve">Écart achats (annexe - factures)</t>
  </si>
  <si>
    <t xml:space="preserve">Ravelin Blanc 75 cl</t>
  </si>
  <si>
    <t xml:space="preserve">p. 29 et 30</t>
  </si>
  <si>
    <t xml:space="preserve">600867</t>
  </si>
  <si>
    <t xml:space="preserve">p. 35 et 36</t>
  </si>
  <si>
    <t xml:space="preserve">p. 41 et 42</t>
  </si>
  <si>
    <t xml:space="preserve">Ravelin Blanc 99 cl</t>
  </si>
  <si>
    <t xml:space="preserve">600933</t>
  </si>
  <si>
    <t xml:space="preserve">BIB 10 L Ravelin Blanc</t>
  </si>
  <si>
    <t xml:space="preserve">600731</t>
  </si>
  <si>
    <t xml:space="preserve">510133</t>
  </si>
  <si>
    <t xml:space="preserve">Marc Du Jura 70 cl</t>
  </si>
  <si>
    <t xml:space="preserve">520096</t>
  </si>
  <si>
    <t xml:space="preserve">550252</t>
  </si>
  <si>
    <t xml:space="preserve">591050</t>
  </si>
  <si>
    <t xml:space="preserve">Poire 70 cl</t>
  </si>
  <si>
    <t xml:space="preserve">520131+520127</t>
  </si>
  <si>
    <t xml:space="preserve">Lecture : la colonne « Disponibles » du service est la somme des achats et du stock de début, diminuée du stock de fin. Elle se recalcule sur ses propres colonnes pour toutes les lignes relevées.</t>
  </si>
  <si>
    <t xml:space="preserve">Ravelin : 84 bouteilles de 99 cl facturées sur l’exercice 1 (code 600933) ne figurent pas dans la colonne « Achats FCBS » de l’annexe ; les 24 bouteilles de 99 cl de l’exercice 2 y sont portées à la ligne « Ravelin Blanc 75 cl », et le stock de clôture de 12 bouteilles reste à la ligne « 99 cl », qui affiche un volume disponible de moins 12 bouteilles.</t>
  </si>
  <si>
    <t xml:space="preserve">Marc : le fournisseur facture 4 bouteilles de marc de Bourgogne Jacoulot 45° (code 550252) et 10 bouteilles de marc du Jura Tissot 50° (code 520096). L’annexe en porte 2 et 12 : deux bouteilles de Bourgogne sont rangées à la ligne « Marc Du Jura 70 cl ».</t>
  </si>
  <si>
    <t xml:space="preserve">Poire : la ligne « Poire 70 cl » de l’annexe porte 1, 0 puis 1 bouteille achetée, ce qui est exactement le compte des deux eaux-de-vie de poire William facturées (codes 520131 et 520127). La liqueur de poire William, qui entre dans le baba, est la ligne « Liqueur Golden 8 70 cl » : 2, 12 puis 11 bouteilles, soit les 25 bouteilles du code 591050.</t>
  </si>
  <si>
    <t xml:space="preserve">9. Les volumes disponibles que le service oppose p. 69 et 70, et leur origine dans sa propre annexe n 6</t>
  </si>
  <si>
    <t xml:space="preserve">Volume opposé</t>
  </si>
  <si>
    <t xml:space="preserve">Qualification du service</t>
  </si>
  <si>
    <t xml:space="preserve">D’où vient ce chiffre dans l’annexe n° 6</t>
  </si>
  <si>
    <t xml:space="preserve">Colonne « Disponibles » de l’annexe n° 6, 3 exercices (cl)</t>
  </si>
  <si>
    <t xml:space="preserve">Achats facturés, 3 exercices (cl)</t>
  </si>
  <si>
    <t xml:space="preserve">Volume que nous chiffrons (cl)</t>
  </si>
  <si>
    <t xml:space="preserve">Part du disponible de l’annexe</t>
  </si>
  <si>
    <t xml:space="preserve">Bailey’s</t>
  </si>
  <si>
    <t xml:space="preserve">p. 69</t>
  </si>
  <si>
    <t xml:space="preserve">280 + 1 050 + 70 = 1 400 cl</t>
  </si>
  <si>
    <t xml:space="preserve">« la totalité des achats disponibles »</t>
  </si>
  <si>
    <t xml:space="preserve">colonne « Disponibles » de l’annexe n° 6 pour les deux premiers exercices (4 et 15 bouteilles) ; le troisième terme, 70 cl, ne s’y retrouve pas : l’annexe porte 12 bouteilles disponibles</t>
  </si>
  <si>
    <t xml:space="preserve">p. 70</t>
  </si>
  <si>
    <t xml:space="preserve">70 cl</t>
  </si>
  <si>
    <t xml:space="preserve">« près de 6 fois supérieur à celui disponible »</t>
  </si>
  <si>
    <t xml:space="preserve">colonne « Disponibles » de la ligne « Marc De Bourg 70 cl » de l’annexe n° 6 : 0 + 1 + 0 = 1 bouteille ; deux des quatre bouteilles facturées sont portées à la ligne « Marc Du Jura 70 cl »</t>
  </si>
  <si>
    <t xml:space="preserve">140 cl</t>
  </si>
  <si>
    <t xml:space="preserve">« près de 3 fois supérieur à celui disponible »</t>
  </si>
  <si>
    <t xml:space="preserve">colonne « Disponibles » de la ligne « Poire 70 cl » de l’annexe n° 6 (1 + 1 + 0 = 2 bouteilles), dont les achats 1 / 0 / 1 sont ceux des eaux-de-vie de poire William ; la liqueur de poire William est la ligne « Liqueur Golden 8 70 cl », achats 2 / 12 / 11</t>
  </si>
  <si>
    <t xml:space="preserve">Bailey’s : les deux premiers termes du service, 280 et 1 050 cl, sont exactement les 4 et 15 bouteilles de sa colonne « Disponibles ». Le troisième, 70 cl, ne s’y retrouve pas : l’annexe porte 12 bouteilles disponibles sur le troisième exercice, soit 840 cl.</t>
  </si>
  <si>
    <t xml:space="preserve">Marc de Bourgogne : le chiffre du service est fidèle à sa colonne. Rétablies dans leur ligne, les 4 bouteilles facturées et la bouteille inventoriée au 31/03/2025 donnent 3 bouteilles sorties du stock, soit 210 cl : c’est le plafond auquel nous ramenons notre demande.</t>
  </si>
  <si>
    <t xml:space="preserve">Liqueur de poire : le service oppose la ligne « Poire 70 cl », qui est celle des eaux-de-vie de poire William. La liqueur de poire du baba est la ligne « Liqueur Golden 8 70 cl » de la même annexe.</t>
  </si>
  <si>
    <t xml:space="preserve">Colonne H : volume que nous chiffrons au titre des MENUS (cette page) ; le Bailey s de la carte (92 cl) est traite dans R2-alcool-cuisine.xlsx.</t>
  </si>
  <si>
    <t xml:space="preserve">10. Les 236 cl que le service lit en caisse pour le Bailey s (p. 69) et nos six termes hors menus</t>
  </si>
  <si>
    <t xml:space="preserve">Terme</t>
  </si>
  <si>
    <t xml:space="preserve">Articles vendus</t>
  </si>
  <si>
    <t xml:space="preserve">Dose (cl)</t>
  </si>
  <si>
    <t xml:space="preserve">Volume (cl)</t>
  </si>
  <si>
    <t xml:space="preserve">Bailey’s au verre, Exercice 1</t>
  </si>
  <si>
    <t xml:space="preserve">Bailey’s au verre, Exercice 2</t>
  </si>
  <si>
    <t xml:space="preserve">Bailey’s au verre, Exercice 3</t>
  </si>
  <si>
    <t xml:space="preserve">Coupe glacée IVRESSE à la carte, Exercice 1</t>
  </si>
  <si>
    <t xml:space="preserve">Coupe glacée IVRESSE à la carte, Exercice 2</t>
  </si>
  <si>
    <t xml:space="preserve">Coupe glacée IVRESSE à la carte, Exercice 3</t>
  </si>
  <si>
    <t xml:space="preserve">TOTAL, notre chiffrage hors menus</t>
  </si>
  <si>
    <t xml:space="preserve">Les six termes additionnés par le service p. 69 : 20 + 16 + 80 + 32 + 28 + 60 = 236 cl</t>
  </si>
  <si>
    <t xml:space="preserve">Nos six termes, triés : 16, 20, 28, 32, 48, 80 cl</t>
  </si>
  <si>
    <t xml:space="preserve">Cinq des six termes sont identiques. Le sixième diffère de 12 cl, soit trois coupes.</t>
  </si>
  <si>
    <t xml:space="preserve">Ses annexes 7-1, 7-2 et 7-3 portent, pour le Bailey s, verre + repere C : 20 + 16 (ex. 1), 80 + 32 (ex. 2), 32 + 44 (ex. 3) = 224 cl, soit exactement nos six termes ; les 28 + 60 de la page 69 ne se retrouvent pas dans ses annexes.</t>
  </si>
  <si>
    <t xml:space="preserve">11. Les factures du fournisseur Franche-Comte Boissons Services pour les alcools du point 6, une a une</t>
  </si>
  <si>
    <t xml:space="preserve">Produit</t>
  </si>
  <si>
    <t xml:space="preserve">Code article</t>
  </si>
  <si>
    <t xml:space="preserve">Date</t>
  </si>
  <si>
    <t xml:space="preserve">Facture</t>
  </si>
  <si>
    <t xml:space="preserve">Désignation facturée</t>
  </si>
  <si>
    <t xml:space="preserve">Quantité</t>
  </si>
  <si>
    <t xml:space="preserve">Prix unitaire HT</t>
  </si>
  <si>
    <t xml:space="preserve">Montant HT</t>
  </si>
  <si>
    <t xml:space="preserve">Ligne livrée</t>
  </si>
  <si>
    <t xml:space="preserve">Ravelin blanc 75 cl</t>
  </si>
  <si>
    <t xml:space="preserve">08/04/2022</t>
  </si>
  <si>
    <t xml:space="preserve">467442</t>
  </si>
  <si>
    <t xml:space="preserve">RAVELIN BLANC MVPCE 75 CL 13° VINS ANDRE BONNOT</t>
  </si>
  <si>
    <t xml:space="preserve">17/06/2022</t>
  </si>
  <si>
    <t xml:space="preserve">471478</t>
  </si>
  <si>
    <t xml:space="preserve">22/04/2022</t>
  </si>
  <si>
    <t xml:space="preserve">468243</t>
  </si>
  <si>
    <t xml:space="preserve">29/04/2022</t>
  </si>
  <si>
    <t xml:space="preserve">468585</t>
  </si>
  <si>
    <t xml:space="preserve">Ravelin blanc 75 cl : total facturé</t>
  </si>
  <si>
    <t xml:space="preserve">3 exercices</t>
  </si>
  <si>
    <t xml:space="preserve">75 cl l’unité</t>
  </si>
  <si>
    <t xml:space="preserve">2250 cl</t>
  </si>
  <si>
    <t xml:space="preserve">Ravelin blanc 99 cl</t>
  </si>
  <si>
    <t xml:space="preserve">09/09/2022</t>
  </si>
  <si>
    <t xml:space="preserve">476165</t>
  </si>
  <si>
    <t xml:space="preserve">RAVELIN BLANC MVPCE 13° 99 CL VINS ANDRE BONNOT</t>
  </si>
  <si>
    <t xml:space="preserve">10/11/2022</t>
  </si>
  <si>
    <t xml:space="preserve">479497</t>
  </si>
  <si>
    <t xml:space="preserve">12/08/2022</t>
  </si>
  <si>
    <t xml:space="preserve">474748</t>
  </si>
  <si>
    <t xml:space="preserve">14/10/2022</t>
  </si>
  <si>
    <t xml:space="preserve">478141</t>
  </si>
  <si>
    <t xml:space="preserve">16/11/2022</t>
  </si>
  <si>
    <t xml:space="preserve">479873</t>
  </si>
  <si>
    <t xml:space="preserve">RAVELIN BLANC MVPCE 13° 99 CL VINS ANDRE BONNOT ******************************************************** * LE BEAUJOLAIS NOUVEAU EST DISPONIBLE A LA LIVRAISON * * NE PAS METTRE A LA CONSOMMATION * * AVANT LE JEUDI 17 NOVEMBRE 2022 * ********************************************************</t>
  </si>
  <si>
    <t xml:space="preserve">18/11/2022</t>
  </si>
  <si>
    <t xml:space="preserve">479995</t>
  </si>
  <si>
    <t xml:space="preserve">22/07/2022</t>
  </si>
  <si>
    <t xml:space="preserve">473648</t>
  </si>
  <si>
    <t xml:space="preserve">30/12/2022</t>
  </si>
  <si>
    <t xml:space="preserve">482138</t>
  </si>
  <si>
    <t xml:space="preserve">04/08/2023</t>
  </si>
  <si>
    <t xml:space="preserve">494377</t>
  </si>
  <si>
    <t xml:space="preserve">14/04/2023</t>
  </si>
  <si>
    <t xml:space="preserve">487761</t>
  </si>
  <si>
    <t xml:space="preserve">RAVELIN BLANC MVPCE 13° 99 CL</t>
  </si>
  <si>
    <t xml:space="preserve">Ravelin blanc 99 cl : total facturé</t>
  </si>
  <si>
    <t xml:space="preserve">99 cl l’unité</t>
  </si>
  <si>
    <t xml:space="preserve">10692 cl</t>
  </si>
  <si>
    <t xml:space="preserve">Ravelin BIB 10 L</t>
  </si>
  <si>
    <t xml:space="preserve">02/06/2023</t>
  </si>
  <si>
    <t xml:space="preserve">490503</t>
  </si>
  <si>
    <t xml:space="preserve">BIB BLANC 10 L RAVELIN 13° VINS ANDRE BONNOT</t>
  </si>
  <si>
    <t xml:space="preserve">03/11/2023</t>
  </si>
  <si>
    <t xml:space="preserve">499305</t>
  </si>
  <si>
    <t xml:space="preserve">08/03/2024</t>
  </si>
  <si>
    <t xml:space="preserve">508263</t>
  </si>
  <si>
    <t xml:space="preserve">08/09/2023</t>
  </si>
  <si>
    <t xml:space="preserve">496227</t>
  </si>
  <si>
    <t xml:space="preserve">08/12/2023</t>
  </si>
  <si>
    <t xml:space="preserve">501307</t>
  </si>
  <si>
    <t xml:space="preserve">10/11/2023</t>
  </si>
  <si>
    <t xml:space="preserve">499765</t>
  </si>
  <si>
    <t xml:space="preserve">18/08/2023</t>
  </si>
  <si>
    <t xml:space="preserve">495026</t>
  </si>
  <si>
    <t xml:space="preserve">21/04/2023</t>
  </si>
  <si>
    <t xml:space="preserve">488099</t>
  </si>
  <si>
    <t xml:space="preserve">22/12/2023</t>
  </si>
  <si>
    <t xml:space="preserve">502092</t>
  </si>
  <si>
    <t xml:space="preserve">29/03/2024</t>
  </si>
  <si>
    <t xml:space="preserve">510153</t>
  </si>
  <si>
    <t xml:space="preserve">04/10/2024</t>
  </si>
  <si>
    <t xml:space="preserve">527214</t>
  </si>
  <si>
    <t xml:space="preserve">08/11/2024</t>
  </si>
  <si>
    <t xml:space="preserve">530116</t>
  </si>
  <si>
    <t xml:space="preserve">12/07/2024</t>
  </si>
  <si>
    <t xml:space="preserve">519775</t>
  </si>
  <si>
    <t xml:space="preserve">13/12/2024</t>
  </si>
  <si>
    <t xml:space="preserve">533074</t>
  </si>
  <si>
    <t xml:space="preserve">17/05/2024</t>
  </si>
  <si>
    <t xml:space="preserve">514460</t>
  </si>
  <si>
    <t xml:space="preserve">22/11/2024</t>
  </si>
  <si>
    <t xml:space="preserve">531287</t>
  </si>
  <si>
    <t xml:space="preserve">23/08/2024</t>
  </si>
  <si>
    <t xml:space="preserve">523597</t>
  </si>
  <si>
    <t xml:space="preserve">25/10/2024</t>
  </si>
  <si>
    <t xml:space="preserve">528998</t>
  </si>
  <si>
    <t xml:space="preserve">29/11/2024</t>
  </si>
  <si>
    <t xml:space="preserve">531879</t>
  </si>
  <si>
    <t xml:space="preserve">Ravelin BIB 10 L : total facturé</t>
  </si>
  <si>
    <t xml:space="preserve">1000 cl l’unité</t>
  </si>
  <si>
    <t xml:space="preserve">19000 cl</t>
  </si>
  <si>
    <t xml:space="preserve">Bailey's 70 cl</t>
  </si>
  <si>
    <t xml:space="preserve">02/09/2022</t>
  </si>
  <si>
    <t xml:space="preserve">475798</t>
  </si>
  <si>
    <t xml:space="preserve">BAILEY'S 70 CL 17°</t>
  </si>
  <si>
    <t xml:space="preserve">15/07/2022</t>
  </si>
  <si>
    <t xml:space="preserve">473086</t>
  </si>
  <si>
    <t xml:space="preserve">26/08/2022</t>
  </si>
  <si>
    <t xml:space="preserve">475411</t>
  </si>
  <si>
    <t xml:space="preserve">non (non livrée)</t>
  </si>
  <si>
    <t xml:space="preserve">29/08/2022</t>
  </si>
  <si>
    <t xml:space="preserve">475502</t>
  </si>
  <si>
    <t xml:space="preserve">01/03/2024</t>
  </si>
  <si>
    <t xml:space="preserve">507607</t>
  </si>
  <si>
    <t xml:space="preserve">01/09/2023</t>
  </si>
  <si>
    <t xml:space="preserve">495823</t>
  </si>
  <si>
    <t xml:space="preserve">01/12/2023</t>
  </si>
  <si>
    <t xml:space="preserve">500921</t>
  </si>
  <si>
    <t xml:space="preserve">05/05/2023</t>
  </si>
  <si>
    <t xml:space="preserve">488880</t>
  </si>
  <si>
    <t xml:space="preserve">07/04/2023</t>
  </si>
  <si>
    <t xml:space="preserve">487459</t>
  </si>
  <si>
    <t xml:space="preserve">12/05/2023</t>
  </si>
  <si>
    <t xml:space="preserve">489316</t>
  </si>
  <si>
    <t xml:space="preserve">13/10/2023</t>
  </si>
  <si>
    <t xml:space="preserve">498271</t>
  </si>
  <si>
    <t xml:space="preserve">15/03/2024</t>
  </si>
  <si>
    <t xml:space="preserve">508974</t>
  </si>
  <si>
    <t xml:space="preserve">21/07/2023</t>
  </si>
  <si>
    <t xml:space="preserve">493675</t>
  </si>
  <si>
    <t xml:space="preserve">22/03/2024</t>
  </si>
  <si>
    <t xml:space="preserve">509634</t>
  </si>
  <si>
    <t xml:space="preserve">26/05/2023</t>
  </si>
  <si>
    <t xml:space="preserve">490050</t>
  </si>
  <si>
    <t xml:space="preserve">27/10/2023</t>
  </si>
  <si>
    <t xml:space="preserve">499033</t>
  </si>
  <si>
    <t xml:space="preserve">29/09/2023</t>
  </si>
  <si>
    <t xml:space="preserve">497461</t>
  </si>
  <si>
    <t xml:space="preserve">02/08/2024</t>
  </si>
  <si>
    <t xml:space="preserve">522013</t>
  </si>
  <si>
    <t xml:space="preserve">10/05/2024</t>
  </si>
  <si>
    <t xml:space="preserve">513723</t>
  </si>
  <si>
    <t xml:space="preserve">13/09/2024</t>
  </si>
  <si>
    <t xml:space="preserve">525292</t>
  </si>
  <si>
    <t xml:space="preserve">14/06/2024</t>
  </si>
  <si>
    <t xml:space="preserve">517185</t>
  </si>
  <si>
    <t xml:space="preserve">18/10/2024</t>
  </si>
  <si>
    <t xml:space="preserve">528432</t>
  </si>
  <si>
    <t xml:space="preserve">26/04/2024</t>
  </si>
  <si>
    <t xml:space="preserve">512569</t>
  </si>
  <si>
    <t xml:space="preserve">31/05/2024</t>
  </si>
  <si>
    <t xml:space="preserve">515824</t>
  </si>
  <si>
    <t xml:space="preserve">Bailey's 70 cl : total facturé</t>
  </si>
  <si>
    <t xml:space="preserve">70 cl l’unité</t>
  </si>
  <si>
    <t xml:space="preserve">2240 cl</t>
  </si>
  <si>
    <t xml:space="preserve">Marc de Bourgogne Jacoulot 45° 70 cl</t>
  </si>
  <si>
    <t xml:space="preserve">MARC DE BOURGOGNE 70 CL 45° EXTRA EGRAPPE MAISON JACOULOT</t>
  </si>
  <si>
    <t xml:space="preserve">15/09/2023</t>
  </si>
  <si>
    <t xml:space="preserve">496642</t>
  </si>
  <si>
    <t xml:space="preserve">05/04/2024</t>
  </si>
  <si>
    <t xml:space="preserve">510640</t>
  </si>
  <si>
    <t xml:space="preserve">Marc de Bourgogne Jacoulot 45° 70 cl : total facturé</t>
  </si>
  <si>
    <t xml:space="preserve">280 cl</t>
  </si>
  <si>
    <t xml:space="preserve">Marc du Jura Tissot 50° 70 cl</t>
  </si>
  <si>
    <t xml:space="preserve">01/07/2022</t>
  </si>
  <si>
    <t xml:space="preserve">472318</t>
  </si>
  <si>
    <t xml:space="preserve">MARC DU JURA TISSOT 70CL MICHEL TISSOT</t>
  </si>
  <si>
    <t xml:space="preserve">23/02/2023</t>
  </si>
  <si>
    <t xml:space="preserve">485076</t>
  </si>
  <si>
    <t xml:space="preserve">MARC DU JURA TISSOT 70 CL MICHEL TISSOT</t>
  </si>
  <si>
    <t xml:space="preserve">28/05/2022</t>
  </si>
  <si>
    <t xml:space="preserve">470317</t>
  </si>
  <si>
    <t xml:space="preserve">09/06/2023</t>
  </si>
  <si>
    <t xml:space="preserve">490996</t>
  </si>
  <si>
    <t xml:space="preserve">MARC DU JURA TISSOT 70 CL</t>
  </si>
  <si>
    <t xml:space="preserve">Marc du Jura Tissot 50° 70 cl : total facturé</t>
  </si>
  <si>
    <t xml:space="preserve">700 cl</t>
  </si>
  <si>
    <t xml:space="preserve">Liqueur Golden Eight poire William 70 cl</t>
  </si>
  <si>
    <t xml:space="preserve">05/08/2022</t>
  </si>
  <si>
    <t xml:space="preserve">474405</t>
  </si>
  <si>
    <t xml:space="preserve">LIQUEUR GOLDEN EIGHT 70 CL 25° LIQUEUR DE POIRE WILLIAM</t>
  </si>
  <si>
    <t xml:space="preserve">30/09/2022</t>
  </si>
  <si>
    <t xml:space="preserve">477349</t>
  </si>
  <si>
    <t xml:space="preserve">LIQUEUR GOLDEN EIGHT 70 CL 25° Ci-dessous Déconsigne du jour sur facture suivante :</t>
  </si>
  <si>
    <t xml:space="preserve">LIQUEUR GOLDEN EIGHT 70 CL 25°</t>
  </si>
  <si>
    <t xml:space="preserve">15/07/2023</t>
  </si>
  <si>
    <t xml:space="preserve">493295</t>
  </si>
  <si>
    <t xml:space="preserve">20/10/2023</t>
  </si>
  <si>
    <t xml:space="preserve">498668</t>
  </si>
  <si>
    <t xml:space="preserve">488182</t>
  </si>
  <si>
    <t xml:space="preserve">30/06/2023</t>
  </si>
  <si>
    <t xml:space="preserve">492330</t>
  </si>
  <si>
    <t xml:space="preserve">05/07/2024</t>
  </si>
  <si>
    <t xml:space="preserve">519036</t>
  </si>
  <si>
    <t xml:space="preserve">11/10/2024</t>
  </si>
  <si>
    <t xml:space="preserve">527859</t>
  </si>
  <si>
    <t xml:space="preserve">20/12/2024</t>
  </si>
  <si>
    <t xml:space="preserve">533616</t>
  </si>
  <si>
    <t xml:space="preserve">28/02/2025</t>
  </si>
  <si>
    <t xml:space="preserve">538271</t>
  </si>
  <si>
    <t xml:space="preserve">28/06/2024</t>
  </si>
  <si>
    <t xml:space="preserve">518436</t>
  </si>
  <si>
    <t xml:space="preserve">Liqueur Golden Eight poire William 70 cl : total facturé</t>
  </si>
  <si>
    <t xml:space="preserve">1750 cl</t>
  </si>
  <si>
    <t xml:space="preserve">Eau-de-vie poire William Massenez 40° 70 cl</t>
  </si>
  <si>
    <t xml:space="preserve">520131</t>
  </si>
  <si>
    <t xml:space="preserve">10/06/2022</t>
  </si>
  <si>
    <t xml:space="preserve">471031</t>
  </si>
  <si>
    <t xml:space="preserve">POIRE WILLIAM 70 CL 40° MASSENEZ DISTILLERIE PEUREUX</t>
  </si>
  <si>
    <t xml:space="preserve">24/04/2023</t>
  </si>
  <si>
    <t xml:space="preserve">488994</t>
  </si>
  <si>
    <t xml:space="preserve">Eau-de-vie poire William Massenez 40° 70 cl : total facturé</t>
  </si>
  <si>
    <t xml:space="preserve">Eau-de-vie poire William Grande Reserve 42° 70 cl</t>
  </si>
  <si>
    <t xml:space="preserve">520127</t>
  </si>
  <si>
    <t xml:space="preserve">21/03/2025</t>
  </si>
  <si>
    <t xml:space="preserve">539839</t>
  </si>
  <si>
    <t xml:space="preserve">POIRE WILLIAM 70 CL 42° GRANDE RESERVE 1811 DISTILLERIE LEMERCIER Ci-dessous Déconsigne du jour sur facture suivante :</t>
  </si>
  <si>
    <t xml:space="preserve">Eau-de-vie poire William Grande Reserve 42° 70 cl : total facturé</t>
  </si>
  <si>
    <t xml:space="preserve">12. Controle d absence de double comptage entre la cuisine a la carte (R2-alcool-cuisine.xlsx) et les plats des menus (cette piece).</t>
  </si>
  <si>
    <t xml:space="preserve">A la carte (R2-alcool-cuisine) L</t>
  </si>
  <si>
    <t xml:space="preserve">Dans les menus (cette piece) L</t>
  </si>
  <si>
    <t xml:space="preserve">Total L</t>
  </si>
  <si>
    <t xml:space="preserve">Grand Marnier</t>
  </si>
  <si>
    <t xml:space="preserve">Les deux colonnes sont disjointes : aucun litre n apparait a la fois en carte et en menus. Le Bailey s figure dans les deux pour des portions distinctes (0,92 L = 23 coupes Ivresse vendues a la carte ; 14,36 L = desserts servis dans les menus). Total 72,68 L (carte) + 20,53 L (menus) = 93,21 L.</t>
  </si>
  <si>
    <t xml:space="preserve">13. METHODE</t>
  </si>
  <si>
    <t xml:space="preserve">PERIMETRE. Cette piece ne porte que l alcool cuit dans les plats servis a l interieur d un menu au forfait. L alcool cuit dans les plats vendus a la carte est traite dans R2-alcool-cuisine.xlsx (72,68 L). Perimetres disjoints, additifs (onglet Perimetre).</t>
  </si>
  <si>
    <t xml:space="preserve">ETAPE 1 (Detail-menus) : pour chaque menu, chaque option alcoolisee et chaque carte-periode : menus factures au prix catalogue x dose du courriel du 30/03/2026 x probabilite de choix. Probabilite = 1 pour un plat obligatoire ; convention centree sur 1/n sinon (bornes basse/haute, moyenne retenue). Le service applique la meme logique avec une proportion lue a la carte (proposition p. 42 a 48).</t>
  </si>
  <si>
    <t xml:space="preserve">ETAPE 2 (228L-par-exercice) : agregation par alcool et par exercice (SUMIFS) = les 27 termes ; total 228,31 L.</t>
  </si>
  <si>
    <t xml:space="preserve">ETAPE 3 (Sources, Calcul) : supplement menus = MAX(0 ; menus - deja retranche par le service), exercice par exercice, planche a zero. Marc de Bourgogne plafonne a 2,10 L (stock sorti).</t>
  </si>
  <si>
    <t xml:space="preserve">ETAPE 4 (Euros) : conversion du residu au prix du verre de l annexe B1 (retenu : 2 737 EUR) ; variante aux prix des annexes 7 du service (3 039 EUR).</t>
  </si>
  <si>
    <t xml:space="preserve">RESULTAT : Bailey s 14,36 + liqueur de poire 4,07 + marc 2,10 = 20,53 L.</t>
  </si>
  <si>
    <t xml:space="preserve">RAVELIN ABANDONNE : annexe 7-1 (p. 51) : le service retranche 16 232 cl de ravelin sur le seul exercice 1 (dont Fondue Jurassienne 372 x 10 cl = 3 720), contre 7 670 cl chiffres (cuisine a la carte + menus) : supplement nul sur les 3 exercices.</t>
  </si>
  <si>
    <t xml:space="preserve">LIMITES : (1) la probabilite de choix est une convention, non une donnee de caisse (un menu se vend au forfait) ; pour le residu elle vaut exactement 1/n. (2) Le residu (surtout Bailey s 14,36 L) est etaye par les doses et les achats, pas par une trace de caisse, qui n existe pas par construction pour un dessert de menu. (3) Les volumes deja retranches sont pris tels que le service les imprime. (4) L extraction des comptes de menus par carte-periode (annexes C) n est pas jointe ligne a ligne ; les comptes de menus retenus sont ceux de l onglet 228L-par-exercice, coherents avec ceux que le service lit lui-meme (748 / 263 / 153 sur l exercice 1).</t>
  </si>
</sst>
</file>

<file path=xl/styles.xml><?xml version="1.0" encoding="utf-8"?>
<styleSheet xmlns="http://schemas.openxmlformats.org/spreadsheetml/2006/main">
  <numFmts count="2">
    <numFmt numFmtId="164" formatCode="General"/>
    <numFmt numFmtId="165" formatCode="General"/>
  </numFmts>
  <fonts count="7">
    <font>
      <sz val="11"/>
      <color theme="1"/>
      <name val="Calibri"/>
      <family val="2"/>
      <charset val="1"/>
    </font>
    <font>
      <sz val="10"/>
      <name val="Arial"/>
      <family val="0"/>
    </font>
    <font>
      <sz val="10"/>
      <name val="Arial"/>
      <family val="0"/>
    </font>
    <font>
      <sz val="10"/>
      <name val="Arial"/>
      <family val="0"/>
    </font>
    <font>
      <b val="true"/>
      <sz val="12"/>
      <name val="Cambria"/>
      <family val="0"/>
      <charset val="1"/>
    </font>
    <font>
      <b val="true"/>
      <sz val="11"/>
      <name val="Cambria"/>
      <family val="0"/>
      <charset val="1"/>
    </font>
    <font>
      <i val="true"/>
      <sz val="11"/>
      <color rgb="FF555555"/>
      <name val="Cambria"/>
      <family val="0"/>
      <charset val="1"/>
    </font>
  </fonts>
  <fills count="3">
    <fill>
      <patternFill patternType="none"/>
    </fill>
    <fill>
      <patternFill patternType="gray125"/>
    </fill>
    <fill>
      <patternFill patternType="solid">
        <fgColor rgb="FFF7EFD9"/>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EFD9"/>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0"/>
  </cols>
  <sheetData>
    <row r="1" customFormat="false" ht="15" hidden="false" customHeight="false" outlineLevel="0" collapsed="false">
      <c r="A1" s="1" t="s">
        <v>0</v>
      </c>
    </row>
    <row r="2" customFormat="false" ht="15" hidden="false" customHeight="false" outlineLevel="0" collapsed="false">
      <c r="A2" s="0" t="s">
        <v>1</v>
      </c>
    </row>
    <row r="4" customFormat="false" ht="15" hidden="false" customHeight="false" outlineLevel="0" collapsed="false">
      <c r="A4" s="0" t="s">
        <v>2</v>
      </c>
    </row>
    <row r="5" customFormat="false" ht="15" hidden="false" customHeight="false" outlineLevel="0" collapsed="false">
      <c r="A5" s="0" t="s">
        <v>3</v>
      </c>
    </row>
    <row r="6" customFormat="false" ht="15" hidden="false" customHeight="false" outlineLevel="0" collapsed="false">
      <c r="A6" s="0" t="s">
        <v>4</v>
      </c>
    </row>
    <row r="7" customFormat="false" ht="15" hidden="false" customHeight="false" outlineLevel="0" collapsed="false">
      <c r="A7" s="0" t="s">
        <v>5</v>
      </c>
    </row>
    <row r="8" customFormat="false" ht="15" hidden="false" customHeight="false" outlineLevel="0" collapsed="false">
      <c r="A8" s="0" t="s">
        <v>6</v>
      </c>
    </row>
    <row r="9" customFormat="false" ht="15" hidden="false" customHeight="false" outlineLevel="0" collapsed="false">
      <c r="A9" s="0" t="s">
        <v>7</v>
      </c>
    </row>
    <row r="10" customFormat="false" ht="15" hidden="false" customHeight="false" outlineLevel="0" collapsed="false">
      <c r="A10" s="0" t="s">
        <v>8</v>
      </c>
    </row>
    <row r="11" customFormat="false" ht="15" hidden="false" customHeight="false" outlineLevel="0" collapsed="false">
      <c r="A11" s="0" t="s">
        <v>9</v>
      </c>
    </row>
    <row r="12" customFormat="false" ht="15" hidden="false" customHeight="false" outlineLevel="0" collapsed="false">
      <c r="A12" s="0" t="s">
        <v>10</v>
      </c>
    </row>
    <row r="13" customFormat="false" ht="15" hidden="false" customHeight="false" outlineLevel="0" collapsed="false">
      <c r="A13" s="0" t="s">
        <v>11</v>
      </c>
    </row>
    <row r="14" customFormat="false" ht="15" hidden="false" customHeight="false" outlineLevel="0" collapsed="false">
      <c r="A14" s="0" t="s">
        <v>12</v>
      </c>
    </row>
    <row r="15" customFormat="false" ht="15" hidden="false" customHeight="false" outlineLevel="0" collapsed="false">
      <c r="A15" s="0" t="s">
        <v>13</v>
      </c>
    </row>
    <row r="16" customFormat="false" ht="15" hidden="false" customHeight="false" outlineLevel="0" collapsed="false">
      <c r="A16" s="0" t="s">
        <v>14</v>
      </c>
    </row>
    <row r="17" customFormat="false" ht="15" hidden="false" customHeight="false" outlineLevel="0" collapsed="false">
      <c r="A17" s="0" t="s">
        <v>15</v>
      </c>
    </row>
    <row r="19" customFormat="false" ht="15" hidden="false" customHeight="false" outlineLevel="0" collapsed="false">
      <c r="A19" s="0"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0"/>
    <col collapsed="false" customWidth="true" hidden="false" outlineLevel="0" max="3" min="3" style="0" width="15"/>
    <col collapsed="false" customWidth="true" hidden="false" outlineLevel="0" max="4" min="4" style="0" width="9"/>
    <col collapsed="false" customWidth="true" hidden="false" outlineLevel="0" max="5" min="5" style="0" width="28"/>
    <col collapsed="false" customWidth="true" hidden="false" outlineLevel="0" max="6" min="6" style="0" width="17"/>
    <col collapsed="false" customWidth="true" hidden="false" outlineLevel="0" max="7" min="7" style="0" width="9"/>
    <col collapsed="false" customWidth="true" hidden="false" outlineLevel="0" max="8" min="8" style="0" width="11"/>
    <col collapsed="false" customWidth="true" hidden="false" outlineLevel="0" max="10" min="9" style="0" width="10"/>
    <col collapsed="false" customWidth="true" hidden="false" outlineLevel="0" max="11" min="11" style="0" width="11"/>
    <col collapsed="false" customWidth="true" hidden="false" outlineLevel="0" max="12" min="12" style="0" width="12"/>
    <col collapsed="false" customWidth="true" hidden="false" outlineLevel="0" max="13" min="13" style="0" width="11"/>
    <col collapsed="false" customWidth="true" hidden="false" outlineLevel="0" max="14" min="14" style="0" width="62"/>
    <col collapsed="false" customWidth="true" hidden="false" outlineLevel="0" max="15" min="15" style="0" width="50"/>
  </cols>
  <sheetData>
    <row r="1" customFormat="false" ht="15" hidden="false" customHeight="false" outlineLevel="0" collapsed="false">
      <c r="A1" s="1" t="s">
        <v>17</v>
      </c>
    </row>
    <row r="3" customFormat="false" ht="15" hidden="false" customHeight="false" outlineLevel="0" collapsed="false">
      <c r="A3" s="2" t="s">
        <v>18</v>
      </c>
      <c r="B3" s="2" t="s">
        <v>19</v>
      </c>
      <c r="C3" s="2" t="s">
        <v>20</v>
      </c>
      <c r="D3" s="2" t="s">
        <v>21</v>
      </c>
      <c r="E3" s="2" t="s">
        <v>22</v>
      </c>
      <c r="F3" s="2" t="s">
        <v>23</v>
      </c>
      <c r="G3" s="2" t="s">
        <v>24</v>
      </c>
      <c r="H3" s="2" t="s">
        <v>25</v>
      </c>
      <c r="I3" s="2" t="s">
        <v>26</v>
      </c>
      <c r="J3" s="2" t="s">
        <v>27</v>
      </c>
      <c r="K3" s="2" t="s">
        <v>28</v>
      </c>
      <c r="L3" s="2" t="s">
        <v>29</v>
      </c>
      <c r="M3" s="2" t="s">
        <v>30</v>
      </c>
      <c r="N3" s="2" t="s">
        <v>31</v>
      </c>
      <c r="O3" s="2" t="s">
        <v>32</v>
      </c>
    </row>
    <row r="4" customFormat="false" ht="15" hidden="false" customHeight="false" outlineLevel="0" collapsed="false">
      <c r="A4" s="0" t="s">
        <v>33</v>
      </c>
      <c r="B4" s="0" t="s">
        <v>34</v>
      </c>
      <c r="C4" s="0" t="s">
        <v>35</v>
      </c>
      <c r="D4" s="0" t="s">
        <v>36</v>
      </c>
      <c r="E4" s="0" t="s">
        <v>37</v>
      </c>
      <c r="F4" s="0" t="s">
        <v>38</v>
      </c>
      <c r="G4" s="0" t="n">
        <v>1</v>
      </c>
      <c r="H4" s="0" t="s">
        <v>39</v>
      </c>
      <c r="I4" s="0" t="n">
        <v>1</v>
      </c>
      <c r="J4" s="0" t="n">
        <v>1</v>
      </c>
      <c r="K4" s="0" t="n">
        <v>1</v>
      </c>
      <c r="L4" s="0" t="n">
        <v>1</v>
      </c>
      <c r="M4" s="0" t="n">
        <v>1</v>
      </c>
      <c r="N4" s="0" t="s">
        <v>40</v>
      </c>
      <c r="O4" s="0" t="s">
        <v>36</v>
      </c>
    </row>
    <row r="5" customFormat="false" ht="15" hidden="false" customHeight="false" outlineLevel="0" collapsed="false">
      <c r="A5" s="0" t="s">
        <v>33</v>
      </c>
      <c r="B5" s="0" t="s">
        <v>34</v>
      </c>
      <c r="C5" s="0" t="s">
        <v>35</v>
      </c>
      <c r="D5" s="0" t="s">
        <v>36</v>
      </c>
      <c r="E5" s="0" t="s">
        <v>41</v>
      </c>
      <c r="F5" s="0" t="s">
        <v>38</v>
      </c>
      <c r="G5" s="0" t="n">
        <v>1</v>
      </c>
      <c r="H5" s="0" t="s">
        <v>42</v>
      </c>
      <c r="I5" s="0" t="n">
        <v>2</v>
      </c>
      <c r="J5" s="0" t="n">
        <v>0.5</v>
      </c>
      <c r="K5" s="0" t="n">
        <v>0.4</v>
      </c>
      <c r="L5" s="0" t="n">
        <v>0.525</v>
      </c>
      <c r="M5" s="0" t="n">
        <v>0.65</v>
      </c>
      <c r="N5" s="0" t="s">
        <v>40</v>
      </c>
      <c r="O5" s="0" t="s">
        <v>36</v>
      </c>
    </row>
    <row r="6" customFormat="false" ht="15" hidden="false" customHeight="false" outlineLevel="0" collapsed="false">
      <c r="A6" s="0" t="s">
        <v>33</v>
      </c>
      <c r="B6" s="0" t="s">
        <v>34</v>
      </c>
      <c r="C6" s="0" t="s">
        <v>43</v>
      </c>
      <c r="D6" s="0" t="s">
        <v>44</v>
      </c>
      <c r="E6" s="0" t="s">
        <v>45</v>
      </c>
      <c r="F6" s="0" t="s">
        <v>46</v>
      </c>
      <c r="G6" s="0" t="n">
        <v>10</v>
      </c>
      <c r="H6" s="0" t="s">
        <v>39</v>
      </c>
      <c r="I6" s="0" t="n">
        <v>1</v>
      </c>
      <c r="J6" s="0" t="n">
        <v>1</v>
      </c>
      <c r="K6" s="0" t="n">
        <v>1</v>
      </c>
      <c r="L6" s="0" t="n">
        <v>1</v>
      </c>
      <c r="M6" s="0" t="n">
        <v>1</v>
      </c>
      <c r="N6" s="0" t="s">
        <v>47</v>
      </c>
      <c r="O6" s="0" t="s">
        <v>44</v>
      </c>
    </row>
    <row r="7" customFormat="false" ht="15" hidden="false" customHeight="false" outlineLevel="0" collapsed="false">
      <c r="A7" s="0" t="s">
        <v>33</v>
      </c>
      <c r="B7" s="0" t="s">
        <v>34</v>
      </c>
      <c r="C7" s="0" t="s">
        <v>48</v>
      </c>
      <c r="D7" s="0" t="s">
        <v>49</v>
      </c>
      <c r="E7" s="0" t="s">
        <v>50</v>
      </c>
      <c r="F7" s="0" t="s">
        <v>51</v>
      </c>
      <c r="G7" s="0" t="n">
        <v>4</v>
      </c>
      <c r="H7" s="0" t="s">
        <v>42</v>
      </c>
      <c r="I7" s="0" t="n">
        <v>2</v>
      </c>
      <c r="J7" s="0" t="n">
        <v>0.5</v>
      </c>
      <c r="K7" s="0" t="n">
        <v>0.35</v>
      </c>
      <c r="L7" s="0" t="n">
        <v>0.5</v>
      </c>
      <c r="M7" s="0" t="n">
        <v>0.65</v>
      </c>
      <c r="N7" s="0" t="s">
        <v>52</v>
      </c>
      <c r="O7" s="0" t="s">
        <v>49</v>
      </c>
    </row>
    <row r="8" customFormat="false" ht="15" hidden="false" customHeight="false" outlineLevel="0" collapsed="false">
      <c r="A8" s="0" t="s">
        <v>33</v>
      </c>
      <c r="B8" s="0" t="s">
        <v>34</v>
      </c>
      <c r="C8" s="0" t="s">
        <v>48</v>
      </c>
      <c r="D8" s="0" t="s">
        <v>36</v>
      </c>
      <c r="E8" s="0" t="s">
        <v>53</v>
      </c>
      <c r="F8" s="0" t="s">
        <v>38</v>
      </c>
      <c r="G8" s="0" t="n">
        <v>1</v>
      </c>
      <c r="H8" s="0" t="s">
        <v>42</v>
      </c>
      <c r="I8" s="0" t="n">
        <v>2</v>
      </c>
      <c r="J8" s="0" t="n">
        <v>0.5</v>
      </c>
      <c r="K8" s="0" t="n">
        <v>0.35</v>
      </c>
      <c r="L8" s="0" t="n">
        <v>0.5</v>
      </c>
      <c r="M8" s="0" t="n">
        <v>0.65</v>
      </c>
      <c r="N8" s="0" t="s">
        <v>40</v>
      </c>
      <c r="O8" s="0" t="s">
        <v>36</v>
      </c>
    </row>
    <row r="9" customFormat="false" ht="15" hidden="false" customHeight="false" outlineLevel="0" collapsed="false">
      <c r="A9" s="0" t="s">
        <v>33</v>
      </c>
      <c r="B9" s="0" t="s">
        <v>34</v>
      </c>
      <c r="C9" s="0" t="s">
        <v>54</v>
      </c>
      <c r="D9" s="0" t="s">
        <v>55</v>
      </c>
      <c r="E9" s="0" t="s">
        <v>56</v>
      </c>
      <c r="F9" s="0" t="s">
        <v>57</v>
      </c>
      <c r="G9" s="0" t="n">
        <v>4</v>
      </c>
      <c r="H9" s="0" t="s">
        <v>42</v>
      </c>
      <c r="I9" s="0" t="n">
        <v>2</v>
      </c>
      <c r="J9" s="0" t="n">
        <v>0.5</v>
      </c>
      <c r="K9" s="0" t="n">
        <v>0.35</v>
      </c>
      <c r="L9" s="0" t="n">
        <v>0.5</v>
      </c>
      <c r="M9" s="0" t="n">
        <v>0.65</v>
      </c>
      <c r="N9" s="0" t="s">
        <v>58</v>
      </c>
      <c r="O9" s="0" t="s">
        <v>55</v>
      </c>
    </row>
    <row r="10" customFormat="false" ht="15" hidden="false" customHeight="false" outlineLevel="0" collapsed="false">
      <c r="A10" s="0" t="s">
        <v>33</v>
      </c>
      <c r="B10" s="0" t="s">
        <v>34</v>
      </c>
      <c r="C10" s="0" t="s">
        <v>54</v>
      </c>
      <c r="D10" s="0" t="s">
        <v>59</v>
      </c>
      <c r="E10" s="0" t="s">
        <v>60</v>
      </c>
      <c r="F10" s="0" t="s">
        <v>61</v>
      </c>
      <c r="G10" s="0" t="n">
        <v>4</v>
      </c>
      <c r="H10" s="0" t="s">
        <v>42</v>
      </c>
      <c r="I10" s="0" t="n">
        <v>2</v>
      </c>
      <c r="J10" s="0" t="n">
        <v>0.5</v>
      </c>
      <c r="K10" s="0" t="n">
        <v>0.35</v>
      </c>
      <c r="L10" s="0" t="n">
        <v>0.5</v>
      </c>
      <c r="M10" s="0" t="n">
        <v>0.65</v>
      </c>
      <c r="N10" s="0" t="s">
        <v>62</v>
      </c>
      <c r="O10" s="0" t="s">
        <v>59</v>
      </c>
    </row>
    <row r="11" customFormat="false" ht="15" hidden="false" customHeight="false" outlineLevel="0" collapsed="false">
      <c r="A11" s="0" t="s">
        <v>33</v>
      </c>
      <c r="B11" s="0" t="s">
        <v>34</v>
      </c>
      <c r="C11" s="0" t="s">
        <v>63</v>
      </c>
      <c r="D11" s="0" t="s">
        <v>64</v>
      </c>
      <c r="E11" s="0" t="s">
        <v>65</v>
      </c>
      <c r="F11" s="0" t="s">
        <v>66</v>
      </c>
      <c r="G11" s="0" t="n">
        <v>1</v>
      </c>
      <c r="H11" s="0" t="s">
        <v>42</v>
      </c>
      <c r="I11" s="0" t="n">
        <v>2</v>
      </c>
      <c r="J11" s="0" t="n">
        <v>0.5</v>
      </c>
      <c r="K11" s="0" t="n">
        <v>0.35</v>
      </c>
      <c r="L11" s="0" t="n">
        <v>0.5</v>
      </c>
      <c r="M11" s="0" t="n">
        <v>0.65</v>
      </c>
      <c r="N11" s="0" t="s">
        <v>67</v>
      </c>
      <c r="O11" s="0" t="s">
        <v>64</v>
      </c>
    </row>
    <row r="12" customFormat="false" ht="15" hidden="false" customHeight="false" outlineLevel="0" collapsed="false">
      <c r="A12" s="0" t="s">
        <v>33</v>
      </c>
      <c r="B12" s="0" t="s">
        <v>34</v>
      </c>
      <c r="C12" s="0" t="s">
        <v>63</v>
      </c>
      <c r="D12" s="0" t="s">
        <v>68</v>
      </c>
      <c r="E12" s="0" t="s">
        <v>69</v>
      </c>
      <c r="F12" s="0" t="s">
        <v>70</v>
      </c>
      <c r="G12" s="0" t="n">
        <v>4</v>
      </c>
      <c r="H12" s="0" t="s">
        <v>42</v>
      </c>
      <c r="I12" s="0" t="n">
        <v>2</v>
      </c>
      <c r="J12" s="0" t="n">
        <v>0.5</v>
      </c>
      <c r="K12" s="0" t="n">
        <v>0.35</v>
      </c>
      <c r="L12" s="0" t="n">
        <v>0.5</v>
      </c>
      <c r="M12" s="0" t="n">
        <v>0.65</v>
      </c>
      <c r="N12" s="0" t="s">
        <v>71</v>
      </c>
      <c r="O12" s="0" t="s">
        <v>68</v>
      </c>
    </row>
    <row r="13" customFormat="false" ht="15" hidden="false" customHeight="false" outlineLevel="0" collapsed="false">
      <c r="A13" s="0" t="s">
        <v>33</v>
      </c>
      <c r="B13" s="0" t="s">
        <v>34</v>
      </c>
      <c r="C13" s="0" t="s">
        <v>63</v>
      </c>
      <c r="D13" s="0" t="s">
        <v>68</v>
      </c>
      <c r="E13" s="0" t="s">
        <v>72</v>
      </c>
      <c r="F13" s="0" t="s">
        <v>70</v>
      </c>
      <c r="G13" s="0" t="n">
        <v>4</v>
      </c>
      <c r="H13" s="0" t="s">
        <v>42</v>
      </c>
      <c r="I13" s="0" t="n">
        <v>3</v>
      </c>
      <c r="J13" s="0" t="n">
        <v>0.3333</v>
      </c>
      <c r="K13" s="0" t="n">
        <v>0.2</v>
      </c>
      <c r="L13" s="0" t="n">
        <v>0.325</v>
      </c>
      <c r="M13" s="0" t="n">
        <v>0.45</v>
      </c>
      <c r="N13" s="0" t="s">
        <v>71</v>
      </c>
      <c r="O13" s="0" t="s">
        <v>68</v>
      </c>
    </row>
    <row r="14" customFormat="false" ht="15" hidden="false" customHeight="false" outlineLevel="0" collapsed="false">
      <c r="A14" s="0" t="s">
        <v>73</v>
      </c>
      <c r="B14" s="0" t="s">
        <v>74</v>
      </c>
      <c r="C14" s="0" t="s">
        <v>35</v>
      </c>
      <c r="D14" s="0" t="s">
        <v>36</v>
      </c>
      <c r="E14" s="0" t="s">
        <v>75</v>
      </c>
      <c r="F14" s="0" t="s">
        <v>38</v>
      </c>
      <c r="G14" s="0" t="n">
        <v>1</v>
      </c>
      <c r="H14" s="0" t="s">
        <v>39</v>
      </c>
      <c r="I14" s="0" t="n">
        <v>2</v>
      </c>
      <c r="J14" s="0" t="n">
        <v>0.5</v>
      </c>
      <c r="K14" s="0" t="n">
        <v>1</v>
      </c>
      <c r="L14" s="0" t="n">
        <v>1</v>
      </c>
      <c r="M14" s="0" t="n">
        <v>1</v>
      </c>
      <c r="N14" s="0" t="s">
        <v>40</v>
      </c>
      <c r="O14" s="0" t="s">
        <v>36</v>
      </c>
    </row>
    <row r="15" customFormat="false" ht="15" hidden="false" customHeight="false" outlineLevel="0" collapsed="false">
      <c r="A15" s="0" t="s">
        <v>73</v>
      </c>
      <c r="B15" s="0" t="s">
        <v>74</v>
      </c>
      <c r="C15" s="0" t="s">
        <v>35</v>
      </c>
      <c r="D15" s="0" t="s">
        <v>36</v>
      </c>
      <c r="E15" s="0" t="s">
        <v>41</v>
      </c>
      <c r="F15" s="0" t="s">
        <v>38</v>
      </c>
      <c r="G15" s="0" t="n">
        <v>1</v>
      </c>
      <c r="H15" s="0" t="s">
        <v>42</v>
      </c>
      <c r="I15" s="0" t="n">
        <v>3</v>
      </c>
      <c r="J15" s="0" t="n">
        <v>0.3333</v>
      </c>
      <c r="K15" s="0" t="n">
        <v>0.33</v>
      </c>
      <c r="L15" s="0" t="n">
        <v>0.465</v>
      </c>
      <c r="M15" s="0" t="n">
        <v>0.6</v>
      </c>
      <c r="N15" s="0" t="s">
        <v>40</v>
      </c>
      <c r="O15" s="0" t="s">
        <v>36</v>
      </c>
    </row>
    <row r="16" customFormat="false" ht="15" hidden="false" customHeight="false" outlineLevel="0" collapsed="false">
      <c r="A16" s="0" t="s">
        <v>73</v>
      </c>
      <c r="B16" s="0" t="s">
        <v>74</v>
      </c>
      <c r="C16" s="0" t="s">
        <v>43</v>
      </c>
      <c r="D16" s="0" t="s">
        <v>44</v>
      </c>
      <c r="E16" s="0" t="s">
        <v>45</v>
      </c>
      <c r="F16" s="0" t="s">
        <v>46</v>
      </c>
      <c r="G16" s="0" t="n">
        <v>10</v>
      </c>
      <c r="H16" s="0" t="s">
        <v>39</v>
      </c>
      <c r="I16" s="0" t="n">
        <v>1</v>
      </c>
      <c r="J16" s="0" t="n">
        <v>1</v>
      </c>
      <c r="K16" s="0" t="n">
        <v>1</v>
      </c>
      <c r="L16" s="0" t="n">
        <v>1</v>
      </c>
      <c r="M16" s="0" t="n">
        <v>1</v>
      </c>
      <c r="N16" s="0" t="s">
        <v>47</v>
      </c>
      <c r="O16" s="0" t="s">
        <v>44</v>
      </c>
    </row>
    <row r="17" customFormat="false" ht="15" hidden="false" customHeight="false" outlineLevel="0" collapsed="false">
      <c r="A17" s="0" t="s">
        <v>73</v>
      </c>
      <c r="B17" s="0" t="s">
        <v>74</v>
      </c>
      <c r="C17" s="0" t="s">
        <v>48</v>
      </c>
      <c r="D17" s="0" t="s">
        <v>49</v>
      </c>
      <c r="E17" s="0" t="s">
        <v>50</v>
      </c>
      <c r="F17" s="0" t="s">
        <v>51</v>
      </c>
      <c r="G17" s="0" t="n">
        <v>4</v>
      </c>
      <c r="H17" s="0" t="s">
        <v>42</v>
      </c>
      <c r="I17" s="0" t="n">
        <v>2</v>
      </c>
      <c r="J17" s="0" t="n">
        <v>0.5</v>
      </c>
      <c r="K17" s="0" t="n">
        <v>0.35</v>
      </c>
      <c r="L17" s="0" t="n">
        <v>0.5</v>
      </c>
      <c r="M17" s="0" t="n">
        <v>0.65</v>
      </c>
      <c r="N17" s="0" t="s">
        <v>52</v>
      </c>
      <c r="O17" s="0" t="s">
        <v>49</v>
      </c>
    </row>
    <row r="18" customFormat="false" ht="15" hidden="false" customHeight="false" outlineLevel="0" collapsed="false">
      <c r="A18" s="0" t="s">
        <v>73</v>
      </c>
      <c r="B18" s="0" t="s">
        <v>74</v>
      </c>
      <c r="C18" s="0" t="s">
        <v>48</v>
      </c>
      <c r="D18" s="0" t="s">
        <v>36</v>
      </c>
      <c r="E18" s="0" t="s">
        <v>53</v>
      </c>
      <c r="F18" s="0" t="s">
        <v>38</v>
      </c>
      <c r="G18" s="0" t="n">
        <v>1</v>
      </c>
      <c r="H18" s="0" t="s">
        <v>42</v>
      </c>
      <c r="I18" s="0" t="n">
        <v>2</v>
      </c>
      <c r="J18" s="0" t="n">
        <v>0.5</v>
      </c>
      <c r="K18" s="0" t="n">
        <v>0.35</v>
      </c>
      <c r="L18" s="0" t="n">
        <v>0.5</v>
      </c>
      <c r="M18" s="0" t="n">
        <v>0.65</v>
      </c>
      <c r="N18" s="0" t="s">
        <v>40</v>
      </c>
      <c r="O18" s="0" t="s">
        <v>36</v>
      </c>
    </row>
    <row r="19" customFormat="false" ht="15" hidden="false" customHeight="false" outlineLevel="0" collapsed="false">
      <c r="A19" s="0" t="s">
        <v>73</v>
      </c>
      <c r="B19" s="0" t="s">
        <v>74</v>
      </c>
      <c r="C19" s="0" t="s">
        <v>54</v>
      </c>
      <c r="D19" s="0" t="s">
        <v>55</v>
      </c>
      <c r="E19" s="0" t="s">
        <v>56</v>
      </c>
      <c r="F19" s="0" t="s">
        <v>57</v>
      </c>
      <c r="G19" s="0" t="n">
        <v>4</v>
      </c>
      <c r="H19" s="0" t="s">
        <v>42</v>
      </c>
      <c r="I19" s="0" t="n">
        <v>2</v>
      </c>
      <c r="J19" s="0" t="n">
        <v>0.5</v>
      </c>
      <c r="K19" s="0" t="n">
        <v>0.35</v>
      </c>
      <c r="L19" s="0" t="n">
        <v>0.5</v>
      </c>
      <c r="M19" s="0" t="n">
        <v>0.65</v>
      </c>
      <c r="N19" s="0" t="s">
        <v>58</v>
      </c>
      <c r="O19" s="0" t="s">
        <v>55</v>
      </c>
    </row>
    <row r="20" customFormat="false" ht="15" hidden="false" customHeight="false" outlineLevel="0" collapsed="false">
      <c r="A20" s="0" t="s">
        <v>73</v>
      </c>
      <c r="B20" s="0" t="s">
        <v>74</v>
      </c>
      <c r="C20" s="0" t="s">
        <v>54</v>
      </c>
      <c r="D20" s="0" t="s">
        <v>59</v>
      </c>
      <c r="E20" s="0" t="s">
        <v>60</v>
      </c>
      <c r="F20" s="0" t="s">
        <v>61</v>
      </c>
      <c r="G20" s="0" t="n">
        <v>4</v>
      </c>
      <c r="H20" s="0" t="s">
        <v>42</v>
      </c>
      <c r="I20" s="0" t="n">
        <v>2</v>
      </c>
      <c r="J20" s="0" t="n">
        <v>0.5</v>
      </c>
      <c r="K20" s="0" t="n">
        <v>0.35</v>
      </c>
      <c r="L20" s="0" t="n">
        <v>0.5</v>
      </c>
      <c r="M20" s="0" t="n">
        <v>0.65</v>
      </c>
      <c r="N20" s="0" t="s">
        <v>62</v>
      </c>
      <c r="O20" s="0" t="s">
        <v>59</v>
      </c>
    </row>
    <row r="21" customFormat="false" ht="15" hidden="false" customHeight="false" outlineLevel="0" collapsed="false">
      <c r="A21" s="0" t="s">
        <v>73</v>
      </c>
      <c r="B21" s="0" t="s">
        <v>74</v>
      </c>
      <c r="C21" s="0" t="s">
        <v>63</v>
      </c>
      <c r="D21" s="0" t="s">
        <v>64</v>
      </c>
      <c r="E21" s="0" t="s">
        <v>65</v>
      </c>
      <c r="F21" s="0" t="s">
        <v>66</v>
      </c>
      <c r="G21" s="0" t="n">
        <v>1</v>
      </c>
      <c r="H21" s="0" t="s">
        <v>42</v>
      </c>
      <c r="I21" s="0" t="n">
        <v>2</v>
      </c>
      <c r="J21" s="0" t="n">
        <v>0.5</v>
      </c>
      <c r="K21" s="0" t="n">
        <v>0.35</v>
      </c>
      <c r="L21" s="0" t="n">
        <v>0.5</v>
      </c>
      <c r="M21" s="0" t="n">
        <v>0.65</v>
      </c>
      <c r="N21" s="0" t="s">
        <v>67</v>
      </c>
      <c r="O21" s="0" t="s">
        <v>64</v>
      </c>
    </row>
    <row r="22" customFormat="false" ht="15" hidden="false" customHeight="false" outlineLevel="0" collapsed="false">
      <c r="A22" s="0" t="s">
        <v>73</v>
      </c>
      <c r="B22" s="0" t="s">
        <v>74</v>
      </c>
      <c r="C22" s="0" t="s">
        <v>63</v>
      </c>
      <c r="D22" s="0" t="s">
        <v>68</v>
      </c>
      <c r="E22" s="0" t="s">
        <v>69</v>
      </c>
      <c r="F22" s="0" t="s">
        <v>70</v>
      </c>
      <c r="G22" s="0" t="n">
        <v>4</v>
      </c>
      <c r="H22" s="0" t="s">
        <v>42</v>
      </c>
      <c r="I22" s="0" t="n">
        <v>2</v>
      </c>
      <c r="J22" s="0" t="n">
        <v>0.5</v>
      </c>
      <c r="K22" s="0" t="n">
        <v>0.35</v>
      </c>
      <c r="L22" s="0" t="n">
        <v>0.5</v>
      </c>
      <c r="M22" s="0" t="n">
        <v>0.65</v>
      </c>
      <c r="N22" s="0" t="s">
        <v>71</v>
      </c>
      <c r="O22" s="0" t="s">
        <v>68</v>
      </c>
    </row>
    <row r="23" customFormat="false" ht="15" hidden="false" customHeight="false" outlineLevel="0" collapsed="false">
      <c r="A23" s="0" t="s">
        <v>73</v>
      </c>
      <c r="B23" s="0" t="s">
        <v>74</v>
      </c>
      <c r="C23" s="0" t="s">
        <v>63</v>
      </c>
      <c r="D23" s="0" t="s">
        <v>68</v>
      </c>
      <c r="E23" s="0" t="s">
        <v>72</v>
      </c>
      <c r="F23" s="0" t="s">
        <v>70</v>
      </c>
      <c r="G23" s="0" t="n">
        <v>4</v>
      </c>
      <c r="H23" s="0" t="s">
        <v>42</v>
      </c>
      <c r="I23" s="0" t="n">
        <v>3</v>
      </c>
      <c r="J23" s="0" t="n">
        <v>0.3333</v>
      </c>
      <c r="K23" s="0" t="n">
        <v>0.2</v>
      </c>
      <c r="L23" s="0" t="n">
        <v>0.325</v>
      </c>
      <c r="M23" s="0" t="n">
        <v>0.45</v>
      </c>
      <c r="N23" s="0" t="s">
        <v>71</v>
      </c>
      <c r="O23" s="0" t="s">
        <v>68</v>
      </c>
    </row>
    <row r="24" customFormat="false" ht="15" hidden="false" customHeight="false" outlineLevel="0" collapsed="false">
      <c r="A24" s="0" t="s">
        <v>76</v>
      </c>
      <c r="B24" s="0" t="s">
        <v>77</v>
      </c>
      <c r="C24" s="0" t="s">
        <v>35</v>
      </c>
      <c r="D24" s="0" t="s">
        <v>36</v>
      </c>
      <c r="E24" s="0" t="s">
        <v>75</v>
      </c>
      <c r="F24" s="0" t="s">
        <v>38</v>
      </c>
      <c r="G24" s="0" t="n">
        <v>1</v>
      </c>
      <c r="H24" s="0" t="s">
        <v>39</v>
      </c>
      <c r="I24" s="0" t="n">
        <v>2</v>
      </c>
      <c r="J24" s="0" t="n">
        <v>0.5</v>
      </c>
      <c r="K24" s="0" t="n">
        <v>1</v>
      </c>
      <c r="L24" s="0" t="n">
        <v>1</v>
      </c>
      <c r="M24" s="0" t="n">
        <v>1</v>
      </c>
      <c r="N24" s="0" t="s">
        <v>40</v>
      </c>
      <c r="O24" s="0" t="s">
        <v>36</v>
      </c>
    </row>
    <row r="25" customFormat="false" ht="15" hidden="false" customHeight="false" outlineLevel="0" collapsed="false">
      <c r="A25" s="0" t="s">
        <v>76</v>
      </c>
      <c r="B25" s="0" t="s">
        <v>77</v>
      </c>
      <c r="C25" s="0" t="s">
        <v>35</v>
      </c>
      <c r="D25" s="0" t="s">
        <v>36</v>
      </c>
      <c r="E25" s="0" t="s">
        <v>41</v>
      </c>
      <c r="F25" s="0" t="s">
        <v>38</v>
      </c>
      <c r="G25" s="0" t="n">
        <v>1</v>
      </c>
      <c r="H25" s="0" t="s">
        <v>42</v>
      </c>
      <c r="I25" s="0" t="n">
        <v>3</v>
      </c>
      <c r="J25" s="0" t="n">
        <v>0.3333</v>
      </c>
      <c r="K25" s="0" t="n">
        <v>0.33</v>
      </c>
      <c r="L25" s="0" t="n">
        <v>0.465</v>
      </c>
      <c r="M25" s="0" t="n">
        <v>0.6</v>
      </c>
      <c r="N25" s="0" t="s">
        <v>40</v>
      </c>
      <c r="O25" s="0" t="s">
        <v>36</v>
      </c>
    </row>
    <row r="26" customFormat="false" ht="15" hidden="false" customHeight="false" outlineLevel="0" collapsed="false">
      <c r="A26" s="0" t="s">
        <v>76</v>
      </c>
      <c r="B26" s="0" t="s">
        <v>77</v>
      </c>
      <c r="C26" s="0" t="s">
        <v>35</v>
      </c>
      <c r="D26" s="0" t="s">
        <v>78</v>
      </c>
      <c r="E26" s="0" t="s">
        <v>79</v>
      </c>
      <c r="F26" s="0" t="s">
        <v>80</v>
      </c>
      <c r="G26" s="0" t="n">
        <v>4</v>
      </c>
      <c r="H26" s="0" t="s">
        <v>42</v>
      </c>
      <c r="I26" s="0" t="n">
        <v>4</v>
      </c>
      <c r="J26" s="0" t="n">
        <v>0.25</v>
      </c>
      <c r="K26" s="0" t="n">
        <v>0.15</v>
      </c>
      <c r="L26" s="0" t="n">
        <v>0.25</v>
      </c>
      <c r="M26" s="0" t="n">
        <v>0.35</v>
      </c>
      <c r="N26" s="0" t="s">
        <v>81</v>
      </c>
      <c r="O26" s="0" t="s">
        <v>78</v>
      </c>
    </row>
    <row r="27" customFormat="false" ht="15" hidden="false" customHeight="false" outlineLevel="0" collapsed="false">
      <c r="A27" s="0" t="s">
        <v>76</v>
      </c>
      <c r="B27" s="0" t="s">
        <v>77</v>
      </c>
      <c r="C27" s="0" t="s">
        <v>35</v>
      </c>
      <c r="D27" s="0" t="s">
        <v>59</v>
      </c>
      <c r="E27" s="0" t="s">
        <v>82</v>
      </c>
      <c r="F27" s="0" t="s">
        <v>83</v>
      </c>
      <c r="G27" s="0" t="n">
        <v>4</v>
      </c>
      <c r="H27" s="0" t="s">
        <v>42</v>
      </c>
      <c r="I27" s="0" t="n">
        <v>4</v>
      </c>
      <c r="J27" s="0" t="n">
        <v>0.25</v>
      </c>
      <c r="K27" s="0" t="n">
        <v>0.15</v>
      </c>
      <c r="L27" s="0" t="n">
        <v>0.25</v>
      </c>
      <c r="M27" s="0" t="n">
        <v>0.35</v>
      </c>
      <c r="N27" s="0" t="s">
        <v>62</v>
      </c>
      <c r="O27" s="0" t="s">
        <v>59</v>
      </c>
    </row>
    <row r="28" customFormat="false" ht="15" hidden="false" customHeight="false" outlineLevel="0" collapsed="false">
      <c r="A28" s="0" t="s">
        <v>76</v>
      </c>
      <c r="B28" s="0" t="s">
        <v>77</v>
      </c>
      <c r="C28" s="0" t="s">
        <v>43</v>
      </c>
      <c r="D28" s="0" t="s">
        <v>44</v>
      </c>
      <c r="E28" s="0" t="s">
        <v>45</v>
      </c>
      <c r="F28" s="0" t="s">
        <v>46</v>
      </c>
      <c r="G28" s="0" t="n">
        <v>10</v>
      </c>
      <c r="H28" s="0" t="s">
        <v>39</v>
      </c>
      <c r="I28" s="0" t="n">
        <v>1</v>
      </c>
      <c r="J28" s="0" t="n">
        <v>1</v>
      </c>
      <c r="K28" s="0" t="n">
        <v>1</v>
      </c>
      <c r="L28" s="0" t="n">
        <v>1</v>
      </c>
      <c r="M28" s="0" t="n">
        <v>1</v>
      </c>
      <c r="N28" s="0" t="s">
        <v>47</v>
      </c>
      <c r="O28" s="0" t="s">
        <v>44</v>
      </c>
    </row>
    <row r="29" customFormat="false" ht="15" hidden="false" customHeight="false" outlineLevel="0" collapsed="false">
      <c r="A29" s="0" t="s">
        <v>76</v>
      </c>
      <c r="B29" s="0" t="s">
        <v>77</v>
      </c>
      <c r="C29" s="0" t="s">
        <v>48</v>
      </c>
      <c r="D29" s="0" t="s">
        <v>49</v>
      </c>
      <c r="E29" s="0" t="s">
        <v>50</v>
      </c>
      <c r="F29" s="0" t="s">
        <v>51</v>
      </c>
      <c r="G29" s="0" t="n">
        <v>4</v>
      </c>
      <c r="H29" s="0" t="s">
        <v>42</v>
      </c>
      <c r="I29" s="0" t="n">
        <v>2</v>
      </c>
      <c r="J29" s="0" t="n">
        <v>0.5</v>
      </c>
      <c r="K29" s="0" t="n">
        <v>0.35</v>
      </c>
      <c r="L29" s="0" t="n">
        <v>0.5</v>
      </c>
      <c r="M29" s="0" t="n">
        <v>0.65</v>
      </c>
      <c r="N29" s="0" t="s">
        <v>52</v>
      </c>
      <c r="O29" s="0" t="s">
        <v>49</v>
      </c>
    </row>
    <row r="30" customFormat="false" ht="15" hidden="false" customHeight="false" outlineLevel="0" collapsed="false">
      <c r="A30" s="0" t="s">
        <v>76</v>
      </c>
      <c r="B30" s="0" t="s">
        <v>77</v>
      </c>
      <c r="C30" s="0" t="s">
        <v>48</v>
      </c>
      <c r="D30" s="0" t="s">
        <v>36</v>
      </c>
      <c r="E30" s="0" t="s">
        <v>53</v>
      </c>
      <c r="F30" s="0" t="s">
        <v>38</v>
      </c>
      <c r="G30" s="0" t="n">
        <v>1</v>
      </c>
      <c r="H30" s="0" t="s">
        <v>42</v>
      </c>
      <c r="I30" s="0" t="n">
        <v>2</v>
      </c>
      <c r="J30" s="0" t="n">
        <v>0.5</v>
      </c>
      <c r="K30" s="0" t="n">
        <v>0.35</v>
      </c>
      <c r="L30" s="0" t="n">
        <v>0.5</v>
      </c>
      <c r="M30" s="0" t="n">
        <v>0.65</v>
      </c>
      <c r="N30" s="0" t="s">
        <v>40</v>
      </c>
      <c r="O30" s="0" t="s">
        <v>36</v>
      </c>
    </row>
    <row r="31" customFormat="false" ht="15" hidden="false" customHeight="false" outlineLevel="0" collapsed="false">
      <c r="A31" s="0" t="s">
        <v>76</v>
      </c>
      <c r="B31" s="0" t="s">
        <v>77</v>
      </c>
      <c r="C31" s="0" t="s">
        <v>54</v>
      </c>
      <c r="D31" s="0" t="s">
        <v>55</v>
      </c>
      <c r="E31" s="0" t="s">
        <v>56</v>
      </c>
      <c r="F31" s="0" t="s">
        <v>57</v>
      </c>
      <c r="G31" s="0" t="n">
        <v>4</v>
      </c>
      <c r="H31" s="0" t="s">
        <v>42</v>
      </c>
      <c r="I31" s="0" t="n">
        <v>2</v>
      </c>
      <c r="J31" s="0" t="n">
        <v>0.5</v>
      </c>
      <c r="K31" s="0" t="n">
        <v>0.35</v>
      </c>
      <c r="L31" s="0" t="n">
        <v>0.5</v>
      </c>
      <c r="M31" s="0" t="n">
        <v>0.65</v>
      </c>
      <c r="N31" s="0" t="s">
        <v>58</v>
      </c>
      <c r="O31" s="0" t="s">
        <v>55</v>
      </c>
    </row>
    <row r="32" customFormat="false" ht="15" hidden="false" customHeight="false" outlineLevel="0" collapsed="false">
      <c r="A32" s="0" t="s">
        <v>76</v>
      </c>
      <c r="B32" s="0" t="s">
        <v>77</v>
      </c>
      <c r="C32" s="0" t="s">
        <v>54</v>
      </c>
      <c r="D32" s="0" t="s">
        <v>78</v>
      </c>
      <c r="E32" s="0" t="s">
        <v>84</v>
      </c>
      <c r="F32" s="0" t="s">
        <v>80</v>
      </c>
      <c r="G32" s="0" t="n">
        <v>4</v>
      </c>
      <c r="H32" s="0" t="s">
        <v>42</v>
      </c>
      <c r="I32" s="0" t="n">
        <v>2</v>
      </c>
      <c r="J32" s="0" t="n">
        <v>0.5</v>
      </c>
      <c r="K32" s="0" t="n">
        <v>0.35</v>
      </c>
      <c r="L32" s="0" t="n">
        <v>0.5</v>
      </c>
      <c r="M32" s="0" t="n">
        <v>0.65</v>
      </c>
      <c r="N32" s="0" t="s">
        <v>81</v>
      </c>
      <c r="O32" s="0" t="s">
        <v>78</v>
      </c>
    </row>
    <row r="33" customFormat="false" ht="15" hidden="false" customHeight="false" outlineLevel="0" collapsed="false">
      <c r="A33" s="0" t="s">
        <v>76</v>
      </c>
      <c r="B33" s="0" t="s">
        <v>77</v>
      </c>
      <c r="C33" s="0" t="s">
        <v>63</v>
      </c>
      <c r="D33" s="0" t="s">
        <v>64</v>
      </c>
      <c r="E33" s="0" t="s">
        <v>65</v>
      </c>
      <c r="F33" s="0" t="s">
        <v>66</v>
      </c>
      <c r="G33" s="0" t="n">
        <v>1</v>
      </c>
      <c r="H33" s="0" t="s">
        <v>42</v>
      </c>
      <c r="I33" s="0" t="n">
        <v>2</v>
      </c>
      <c r="J33" s="0" t="n">
        <v>0.5</v>
      </c>
      <c r="K33" s="0" t="n">
        <v>0.35</v>
      </c>
      <c r="L33" s="0" t="n">
        <v>0.5</v>
      </c>
      <c r="M33" s="0" t="n">
        <v>0.65</v>
      </c>
      <c r="N33" s="0" t="s">
        <v>67</v>
      </c>
      <c r="O33" s="0" t="s">
        <v>64</v>
      </c>
    </row>
    <row r="34" customFormat="false" ht="15" hidden="false" customHeight="false" outlineLevel="0" collapsed="false">
      <c r="A34" s="0" t="s">
        <v>76</v>
      </c>
      <c r="B34" s="0" t="s">
        <v>77</v>
      </c>
      <c r="C34" s="0" t="s">
        <v>63</v>
      </c>
      <c r="D34" s="0" t="s">
        <v>68</v>
      </c>
      <c r="E34" s="0" t="s">
        <v>69</v>
      </c>
      <c r="F34" s="0" t="s">
        <v>70</v>
      </c>
      <c r="G34" s="0" t="n">
        <v>4</v>
      </c>
      <c r="H34" s="0" t="s">
        <v>42</v>
      </c>
      <c r="I34" s="0" t="n">
        <v>2</v>
      </c>
      <c r="J34" s="0" t="n">
        <v>0.5</v>
      </c>
      <c r="K34" s="0" t="n">
        <v>0.35</v>
      </c>
      <c r="L34" s="0" t="n">
        <v>0.5</v>
      </c>
      <c r="M34" s="0" t="n">
        <v>0.65</v>
      </c>
      <c r="N34" s="0" t="s">
        <v>71</v>
      </c>
      <c r="O34" s="0" t="s">
        <v>68</v>
      </c>
    </row>
    <row r="36" customFormat="false" ht="15" hidden="false" customHeight="false" outlineLevel="0" collapsed="false">
      <c r="A36" s="0" t="s">
        <v>85</v>
      </c>
    </row>
    <row r="37" customFormat="false" ht="15" hidden="false" customHeight="false" outlineLevel="0" collapsed="false">
      <c r="A37" s="0" t="s">
        <v>86</v>
      </c>
    </row>
    <row r="38" customFormat="false" ht="15" hidden="false" customHeight="false" outlineLevel="0" collapsed="false">
      <c r="A38" s="0" t="s">
        <v>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6"/>
    <col collapsed="false" customWidth="true" hidden="false" outlineLevel="0" max="4" min="4" style="0" width="11"/>
    <col collapsed="false" customWidth="true" hidden="false" outlineLevel="0" max="5" min="5" style="0" width="14"/>
    <col collapsed="false" customWidth="true" hidden="false" outlineLevel="0" max="6" min="6" style="0" width="12"/>
    <col collapsed="false" customWidth="true" hidden="false" outlineLevel="0" max="7" min="7" style="0" width="9"/>
    <col collapsed="false" customWidth="true" hidden="false" outlineLevel="0" max="8" min="8" style="0" width="28"/>
    <col collapsed="false" customWidth="true" hidden="false" outlineLevel="0" max="9" min="9" style="0" width="16"/>
    <col collapsed="false" customWidth="true" hidden="false" outlineLevel="0" max="10" min="10" style="0" width="10"/>
    <col collapsed="false" customWidth="true" hidden="false" outlineLevel="0" max="13" min="11" style="0" width="9"/>
    <col collapsed="false" customWidth="true" hidden="false" outlineLevel="0" max="15" min="14" style="0" width="12"/>
    <col collapsed="false" customWidth="true" hidden="false" outlineLevel="0" max="17" min="16" style="0" width="10"/>
  </cols>
  <sheetData>
    <row r="1" customFormat="false" ht="15" hidden="false" customHeight="false" outlineLevel="0" collapsed="false">
      <c r="A1" s="1" t="s">
        <v>88</v>
      </c>
    </row>
    <row r="3" customFormat="false" ht="55.2" hidden="false" customHeight="false" outlineLevel="0" collapsed="false">
      <c r="A3" s="3" t="s">
        <v>89</v>
      </c>
      <c r="B3" s="3" t="s">
        <v>90</v>
      </c>
      <c r="C3" s="3" t="s">
        <v>18</v>
      </c>
      <c r="D3" s="3" t="s">
        <v>91</v>
      </c>
      <c r="E3" s="3" t="s">
        <v>20</v>
      </c>
      <c r="F3" s="3" t="s">
        <v>92</v>
      </c>
      <c r="G3" s="3" t="s">
        <v>21</v>
      </c>
      <c r="H3" s="3" t="s">
        <v>93</v>
      </c>
      <c r="I3" s="3" t="s">
        <v>23</v>
      </c>
      <c r="J3" s="3" t="s">
        <v>94</v>
      </c>
      <c r="K3" s="3" t="s">
        <v>95</v>
      </c>
      <c r="L3" s="3" t="s">
        <v>96</v>
      </c>
      <c r="M3" s="3" t="s">
        <v>97</v>
      </c>
      <c r="N3" s="3" t="s">
        <v>98</v>
      </c>
      <c r="O3" s="3" t="s">
        <v>99</v>
      </c>
      <c r="P3" s="3" t="s">
        <v>100</v>
      </c>
      <c r="Q3" s="3" t="s">
        <v>101</v>
      </c>
    </row>
    <row r="4" customFormat="false" ht="15" hidden="false" customHeight="false" outlineLevel="0" collapsed="false">
      <c r="A4" s="0" t="s">
        <v>102</v>
      </c>
      <c r="B4" s="0" t="s">
        <v>103</v>
      </c>
      <c r="C4" s="0" t="s">
        <v>33</v>
      </c>
      <c r="D4" s="0" t="s">
        <v>104</v>
      </c>
      <c r="E4" s="0" t="s">
        <v>48</v>
      </c>
      <c r="F4" s="0" t="n">
        <v>101.5</v>
      </c>
      <c r="G4" s="0" t="s">
        <v>105</v>
      </c>
      <c r="H4" s="0" t="s">
        <v>50</v>
      </c>
      <c r="I4" s="0" t="s">
        <v>51</v>
      </c>
      <c r="J4" s="0" t="n">
        <v>4</v>
      </c>
      <c r="K4" s="0" t="s">
        <v>42</v>
      </c>
      <c r="L4" s="0" t="n">
        <v>0.35</v>
      </c>
      <c r="M4" s="0" t="n">
        <v>0.65</v>
      </c>
      <c r="N4" s="0" t="n">
        <f aca="false">(L4+M4)/2</f>
        <v>0.5</v>
      </c>
      <c r="O4" s="0" t="n">
        <f aca="false">F4*J4*N4</f>
        <v>203</v>
      </c>
      <c r="P4" s="0" t="n">
        <f aca="false">F4*J4*L4</f>
        <v>142.1</v>
      </c>
      <c r="Q4" s="0" t="n">
        <f aca="false">F4*J4*M4</f>
        <v>263.9</v>
      </c>
    </row>
    <row r="5" customFormat="false" ht="15" hidden="false" customHeight="false" outlineLevel="0" collapsed="false">
      <c r="A5" s="0" t="s">
        <v>102</v>
      </c>
      <c r="B5" s="0" t="s">
        <v>103</v>
      </c>
      <c r="C5" s="0" t="s">
        <v>33</v>
      </c>
      <c r="D5" s="0" t="s">
        <v>104</v>
      </c>
      <c r="E5" s="0" t="s">
        <v>48</v>
      </c>
      <c r="F5" s="0" t="n">
        <v>101.5</v>
      </c>
      <c r="G5" s="0" t="s">
        <v>105</v>
      </c>
      <c r="H5" s="0" t="s">
        <v>53</v>
      </c>
      <c r="I5" s="0" t="s">
        <v>38</v>
      </c>
      <c r="J5" s="0" t="n">
        <v>1</v>
      </c>
      <c r="K5" s="0" t="s">
        <v>42</v>
      </c>
      <c r="L5" s="0" t="n">
        <v>0.35</v>
      </c>
      <c r="M5" s="0" t="n">
        <v>0.65</v>
      </c>
      <c r="N5" s="0" t="n">
        <f aca="false">(L5+M5)/2</f>
        <v>0.5</v>
      </c>
      <c r="O5" s="0" t="n">
        <f aca="false">F5*J5*N5</f>
        <v>50.75</v>
      </c>
      <c r="P5" s="0" t="n">
        <f aca="false">F5*J5*L5</f>
        <v>35.525</v>
      </c>
      <c r="Q5" s="0" t="n">
        <f aca="false">F5*J5*M5</f>
        <v>65.975</v>
      </c>
    </row>
    <row r="6" customFormat="false" ht="15" hidden="false" customHeight="false" outlineLevel="0" collapsed="false">
      <c r="A6" s="0" t="s">
        <v>102</v>
      </c>
      <c r="B6" s="0" t="s">
        <v>103</v>
      </c>
      <c r="C6" s="0" t="s">
        <v>33</v>
      </c>
      <c r="D6" s="0" t="s">
        <v>104</v>
      </c>
      <c r="E6" s="0" t="s">
        <v>54</v>
      </c>
      <c r="F6" s="0" t="n">
        <v>116</v>
      </c>
      <c r="G6" s="0" t="s">
        <v>106</v>
      </c>
      <c r="H6" s="0" t="s">
        <v>56</v>
      </c>
      <c r="I6" s="0" t="s">
        <v>57</v>
      </c>
      <c r="J6" s="0" t="n">
        <v>4</v>
      </c>
      <c r="K6" s="0" t="s">
        <v>42</v>
      </c>
      <c r="L6" s="0" t="n">
        <v>0.35</v>
      </c>
      <c r="M6" s="0" t="n">
        <v>0.65</v>
      </c>
      <c r="N6" s="0" t="n">
        <f aca="false">(L6+M6)/2</f>
        <v>0.5</v>
      </c>
      <c r="O6" s="0" t="n">
        <f aca="false">F6*J6*N6</f>
        <v>232</v>
      </c>
      <c r="P6" s="0" t="n">
        <f aca="false">F6*J6*L6</f>
        <v>162.4</v>
      </c>
      <c r="Q6" s="0" t="n">
        <f aca="false">F6*J6*M6</f>
        <v>301.6</v>
      </c>
    </row>
    <row r="7" customFormat="false" ht="15" hidden="false" customHeight="false" outlineLevel="0" collapsed="false">
      <c r="A7" s="0" t="s">
        <v>102</v>
      </c>
      <c r="B7" s="0" t="s">
        <v>103</v>
      </c>
      <c r="C7" s="0" t="s">
        <v>33</v>
      </c>
      <c r="D7" s="0" t="s">
        <v>104</v>
      </c>
      <c r="E7" s="0" t="s">
        <v>54</v>
      </c>
      <c r="F7" s="0" t="n">
        <v>116</v>
      </c>
      <c r="G7" s="0" t="s">
        <v>106</v>
      </c>
      <c r="H7" s="0" t="s">
        <v>60</v>
      </c>
      <c r="I7" s="0" t="s">
        <v>61</v>
      </c>
      <c r="J7" s="0" t="n">
        <v>4</v>
      </c>
      <c r="K7" s="0" t="s">
        <v>42</v>
      </c>
      <c r="L7" s="0" t="n">
        <v>0.35</v>
      </c>
      <c r="M7" s="0" t="n">
        <v>0.65</v>
      </c>
      <c r="N7" s="0" t="n">
        <f aca="false">(L7+M7)/2</f>
        <v>0.5</v>
      </c>
      <c r="O7" s="0" t="n">
        <f aca="false">F7*J7*N7</f>
        <v>232</v>
      </c>
      <c r="P7" s="0" t="n">
        <f aca="false">F7*J7*L7</f>
        <v>162.4</v>
      </c>
      <c r="Q7" s="0" t="n">
        <f aca="false">F7*J7*M7</f>
        <v>301.6</v>
      </c>
    </row>
    <row r="8" customFormat="false" ht="15" hidden="false" customHeight="false" outlineLevel="0" collapsed="false">
      <c r="A8" s="0" t="s">
        <v>102</v>
      </c>
      <c r="B8" s="0" t="s">
        <v>103</v>
      </c>
      <c r="C8" s="0" t="s">
        <v>33</v>
      </c>
      <c r="D8" s="0" t="s">
        <v>104</v>
      </c>
      <c r="E8" s="0" t="s">
        <v>35</v>
      </c>
      <c r="F8" s="0" t="n">
        <v>41</v>
      </c>
      <c r="G8" s="0" t="s">
        <v>105</v>
      </c>
      <c r="H8" s="0" t="s">
        <v>37</v>
      </c>
      <c r="I8" s="0" t="s">
        <v>38</v>
      </c>
      <c r="J8" s="0" t="n">
        <v>1</v>
      </c>
      <c r="K8" s="0" t="s">
        <v>39</v>
      </c>
      <c r="L8" s="0" t="n">
        <v>1</v>
      </c>
      <c r="M8" s="0" t="n">
        <v>1</v>
      </c>
      <c r="N8" s="0" t="n">
        <f aca="false">(L8+M8)/2</f>
        <v>1</v>
      </c>
      <c r="O8" s="0" t="n">
        <f aca="false">F8*J8*N8</f>
        <v>41</v>
      </c>
      <c r="P8" s="0" t="n">
        <f aca="false">F8*J8*L8</f>
        <v>41</v>
      </c>
      <c r="Q8" s="0" t="n">
        <f aca="false">F8*J8*M8</f>
        <v>41</v>
      </c>
    </row>
    <row r="9" customFormat="false" ht="15" hidden="false" customHeight="false" outlineLevel="0" collapsed="false">
      <c r="A9" s="0" t="s">
        <v>102</v>
      </c>
      <c r="B9" s="0" t="s">
        <v>103</v>
      </c>
      <c r="C9" s="0" t="s">
        <v>33</v>
      </c>
      <c r="D9" s="0" t="s">
        <v>104</v>
      </c>
      <c r="E9" s="0" t="s">
        <v>35</v>
      </c>
      <c r="F9" s="0" t="n">
        <v>41</v>
      </c>
      <c r="G9" s="0" t="s">
        <v>107</v>
      </c>
      <c r="H9" s="0" t="s">
        <v>41</v>
      </c>
      <c r="I9" s="0" t="s">
        <v>38</v>
      </c>
      <c r="J9" s="0" t="n">
        <v>1</v>
      </c>
      <c r="K9" s="0" t="s">
        <v>42</v>
      </c>
      <c r="L9" s="0" t="n">
        <v>0.4</v>
      </c>
      <c r="M9" s="0" t="n">
        <v>0.65</v>
      </c>
      <c r="N9" s="0" t="n">
        <f aca="false">(L9+M9)/2</f>
        <v>0.525</v>
      </c>
      <c r="O9" s="0" t="n">
        <f aca="false">F9*J9*N9</f>
        <v>21.525</v>
      </c>
      <c r="P9" s="0" t="n">
        <f aca="false">F9*J9*L9</f>
        <v>16.4</v>
      </c>
      <c r="Q9" s="0" t="n">
        <f aca="false">F9*J9*M9</f>
        <v>26.65</v>
      </c>
    </row>
    <row r="10" customFormat="false" ht="15" hidden="false" customHeight="false" outlineLevel="0" collapsed="false">
      <c r="A10" s="0" t="s">
        <v>102</v>
      </c>
      <c r="B10" s="0" t="s">
        <v>103</v>
      </c>
      <c r="C10" s="0" t="s">
        <v>33</v>
      </c>
      <c r="D10" s="0" t="s">
        <v>104</v>
      </c>
      <c r="E10" s="0" t="s">
        <v>63</v>
      </c>
      <c r="F10" s="0" t="n">
        <v>303</v>
      </c>
      <c r="G10" s="0" t="s">
        <v>105</v>
      </c>
      <c r="H10" s="0" t="s">
        <v>65</v>
      </c>
      <c r="I10" s="0" t="s">
        <v>66</v>
      </c>
      <c r="J10" s="0" t="n">
        <v>1</v>
      </c>
      <c r="K10" s="0" t="s">
        <v>42</v>
      </c>
      <c r="L10" s="0" t="n">
        <v>0.35</v>
      </c>
      <c r="M10" s="0" t="n">
        <v>0.65</v>
      </c>
      <c r="N10" s="0" t="n">
        <f aca="false">(L10+M10)/2</f>
        <v>0.5</v>
      </c>
      <c r="O10" s="0" t="n">
        <f aca="false">F10*J10*N10</f>
        <v>151.5</v>
      </c>
      <c r="P10" s="0" t="n">
        <f aca="false">F10*J10*L10</f>
        <v>106.05</v>
      </c>
      <c r="Q10" s="0" t="n">
        <f aca="false">F10*J10*M10</f>
        <v>196.95</v>
      </c>
    </row>
    <row r="11" customFormat="false" ht="15" hidden="false" customHeight="false" outlineLevel="0" collapsed="false">
      <c r="A11" s="0" t="s">
        <v>102</v>
      </c>
      <c r="B11" s="0" t="s">
        <v>103</v>
      </c>
      <c r="C11" s="0" t="s">
        <v>33</v>
      </c>
      <c r="D11" s="0" t="s">
        <v>104</v>
      </c>
      <c r="E11" s="0" t="s">
        <v>63</v>
      </c>
      <c r="F11" s="0" t="n">
        <v>303</v>
      </c>
      <c r="G11" s="0" t="s">
        <v>105</v>
      </c>
      <c r="H11" s="0" t="s">
        <v>69</v>
      </c>
      <c r="I11" s="0" t="s">
        <v>70</v>
      </c>
      <c r="J11" s="0" t="n">
        <v>4</v>
      </c>
      <c r="K11" s="0" t="s">
        <v>42</v>
      </c>
      <c r="L11" s="0" t="n">
        <v>0.35</v>
      </c>
      <c r="M11" s="0" t="n">
        <v>0.65</v>
      </c>
      <c r="N11" s="0" t="n">
        <f aca="false">(L11+M11)/2</f>
        <v>0.5</v>
      </c>
      <c r="O11" s="0" t="n">
        <f aca="false">F11*J11*N11</f>
        <v>606</v>
      </c>
      <c r="P11" s="0" t="n">
        <f aca="false">F11*J11*L11</f>
        <v>424.2</v>
      </c>
      <c r="Q11" s="0" t="n">
        <f aca="false">F11*J11*M11</f>
        <v>787.8</v>
      </c>
    </row>
    <row r="12" customFormat="false" ht="15" hidden="false" customHeight="false" outlineLevel="0" collapsed="false">
      <c r="A12" s="0" t="s">
        <v>102</v>
      </c>
      <c r="B12" s="0" t="s">
        <v>103</v>
      </c>
      <c r="C12" s="0" t="s">
        <v>33</v>
      </c>
      <c r="D12" s="0" t="s">
        <v>104</v>
      </c>
      <c r="E12" s="0" t="s">
        <v>63</v>
      </c>
      <c r="F12" s="0" t="n">
        <v>303</v>
      </c>
      <c r="G12" s="0" t="s">
        <v>106</v>
      </c>
      <c r="H12" s="0" t="s">
        <v>72</v>
      </c>
      <c r="I12" s="0" t="s">
        <v>70</v>
      </c>
      <c r="J12" s="0" t="n">
        <v>4</v>
      </c>
      <c r="K12" s="0" t="s">
        <v>42</v>
      </c>
      <c r="L12" s="0" t="n">
        <v>0.2</v>
      </c>
      <c r="M12" s="0" t="n">
        <v>0.45</v>
      </c>
      <c r="N12" s="0" t="n">
        <f aca="false">(L12+M12)/2</f>
        <v>0.325</v>
      </c>
      <c r="O12" s="0" t="n">
        <f aca="false">F12*J12*N12</f>
        <v>393.9</v>
      </c>
      <c r="P12" s="0" t="n">
        <f aca="false">F12*J12*L12</f>
        <v>242.4</v>
      </c>
      <c r="Q12" s="0" t="n">
        <f aca="false">F12*J12*M12</f>
        <v>545.4</v>
      </c>
    </row>
    <row r="13" customFormat="false" ht="15" hidden="false" customHeight="false" outlineLevel="0" collapsed="false">
      <c r="A13" s="0" t="s">
        <v>102</v>
      </c>
      <c r="B13" s="0" t="s">
        <v>103</v>
      </c>
      <c r="C13" s="0" t="s">
        <v>33</v>
      </c>
      <c r="D13" s="0" t="s">
        <v>104</v>
      </c>
      <c r="E13" s="0" t="s">
        <v>43</v>
      </c>
      <c r="F13" s="0" t="n">
        <v>55</v>
      </c>
      <c r="G13" s="0" t="s">
        <v>105</v>
      </c>
      <c r="H13" s="0" t="s">
        <v>45</v>
      </c>
      <c r="I13" s="0" t="s">
        <v>46</v>
      </c>
      <c r="J13" s="0" t="n">
        <v>10</v>
      </c>
      <c r="K13" s="0" t="s">
        <v>39</v>
      </c>
      <c r="L13" s="0" t="n">
        <v>1</v>
      </c>
      <c r="M13" s="0" t="n">
        <v>1</v>
      </c>
      <c r="N13" s="0" t="n">
        <f aca="false">(L13+M13)/2</f>
        <v>1</v>
      </c>
      <c r="O13" s="0" t="n">
        <f aca="false">F13*J13*N13</f>
        <v>550</v>
      </c>
      <c r="P13" s="0" t="n">
        <f aca="false">F13*J13*L13</f>
        <v>550</v>
      </c>
      <c r="Q13" s="0" t="n">
        <f aca="false">F13*J13*M13</f>
        <v>550</v>
      </c>
    </row>
    <row r="14" customFormat="false" ht="15" hidden="false" customHeight="false" outlineLevel="0" collapsed="false">
      <c r="A14" s="0" t="s">
        <v>108</v>
      </c>
      <c r="B14" s="0" t="s">
        <v>109</v>
      </c>
      <c r="C14" s="0" t="s">
        <v>73</v>
      </c>
      <c r="D14" s="0" t="s">
        <v>104</v>
      </c>
      <c r="E14" s="0" t="s">
        <v>48</v>
      </c>
      <c r="F14" s="0" t="n">
        <v>162</v>
      </c>
      <c r="G14" s="0" t="s">
        <v>105</v>
      </c>
      <c r="H14" s="0" t="s">
        <v>50</v>
      </c>
      <c r="I14" s="0" t="s">
        <v>51</v>
      </c>
      <c r="J14" s="0" t="n">
        <v>4</v>
      </c>
      <c r="K14" s="0" t="s">
        <v>42</v>
      </c>
      <c r="L14" s="0" t="n">
        <v>0.35</v>
      </c>
      <c r="M14" s="0" t="n">
        <v>0.65</v>
      </c>
      <c r="N14" s="0" t="n">
        <f aca="false">(L14+M14)/2</f>
        <v>0.5</v>
      </c>
      <c r="O14" s="0" t="n">
        <f aca="false">F14*J14*N14</f>
        <v>324</v>
      </c>
      <c r="P14" s="0" t="n">
        <f aca="false">F14*J14*L14</f>
        <v>226.8</v>
      </c>
      <c r="Q14" s="0" t="n">
        <f aca="false">F14*J14*M14</f>
        <v>421.2</v>
      </c>
    </row>
    <row r="15" customFormat="false" ht="15" hidden="false" customHeight="false" outlineLevel="0" collapsed="false">
      <c r="A15" s="0" t="s">
        <v>108</v>
      </c>
      <c r="B15" s="0" t="s">
        <v>109</v>
      </c>
      <c r="C15" s="0" t="s">
        <v>73</v>
      </c>
      <c r="D15" s="0" t="s">
        <v>104</v>
      </c>
      <c r="E15" s="0" t="s">
        <v>48</v>
      </c>
      <c r="F15" s="0" t="n">
        <v>162</v>
      </c>
      <c r="G15" s="0" t="s">
        <v>105</v>
      </c>
      <c r="H15" s="0" t="s">
        <v>53</v>
      </c>
      <c r="I15" s="0" t="s">
        <v>38</v>
      </c>
      <c r="J15" s="0" t="n">
        <v>1</v>
      </c>
      <c r="K15" s="0" t="s">
        <v>42</v>
      </c>
      <c r="L15" s="0" t="n">
        <v>0.35</v>
      </c>
      <c r="M15" s="0" t="n">
        <v>0.65</v>
      </c>
      <c r="N15" s="0" t="n">
        <f aca="false">(L15+M15)/2</f>
        <v>0.5</v>
      </c>
      <c r="O15" s="0" t="n">
        <f aca="false">F15*J15*N15</f>
        <v>81</v>
      </c>
      <c r="P15" s="0" t="n">
        <f aca="false">F15*J15*L15</f>
        <v>56.7</v>
      </c>
      <c r="Q15" s="0" t="n">
        <f aca="false">F15*J15*M15</f>
        <v>105.3</v>
      </c>
    </row>
    <row r="16" customFormat="false" ht="15" hidden="false" customHeight="false" outlineLevel="0" collapsed="false">
      <c r="A16" s="0" t="s">
        <v>108</v>
      </c>
      <c r="B16" s="0" t="s">
        <v>109</v>
      </c>
      <c r="C16" s="0" t="s">
        <v>73</v>
      </c>
      <c r="D16" s="0" t="s">
        <v>104</v>
      </c>
      <c r="E16" s="0" t="s">
        <v>54</v>
      </c>
      <c r="F16" s="0" t="n">
        <v>149</v>
      </c>
      <c r="G16" s="0" t="s">
        <v>106</v>
      </c>
      <c r="H16" s="0" t="s">
        <v>56</v>
      </c>
      <c r="I16" s="0" t="s">
        <v>57</v>
      </c>
      <c r="J16" s="0" t="n">
        <v>4</v>
      </c>
      <c r="K16" s="0" t="s">
        <v>42</v>
      </c>
      <c r="L16" s="0" t="n">
        <v>0.35</v>
      </c>
      <c r="M16" s="0" t="n">
        <v>0.65</v>
      </c>
      <c r="N16" s="0" t="n">
        <f aca="false">(L16+M16)/2</f>
        <v>0.5</v>
      </c>
      <c r="O16" s="0" t="n">
        <f aca="false">F16*J16*N16</f>
        <v>298</v>
      </c>
      <c r="P16" s="0" t="n">
        <f aca="false">F16*J16*L16</f>
        <v>208.6</v>
      </c>
      <c r="Q16" s="0" t="n">
        <f aca="false">F16*J16*M16</f>
        <v>387.4</v>
      </c>
    </row>
    <row r="17" customFormat="false" ht="15" hidden="false" customHeight="false" outlineLevel="0" collapsed="false">
      <c r="A17" s="0" t="s">
        <v>108</v>
      </c>
      <c r="B17" s="0" t="s">
        <v>109</v>
      </c>
      <c r="C17" s="0" t="s">
        <v>73</v>
      </c>
      <c r="D17" s="0" t="s">
        <v>104</v>
      </c>
      <c r="E17" s="0" t="s">
        <v>54</v>
      </c>
      <c r="F17" s="0" t="n">
        <v>149</v>
      </c>
      <c r="G17" s="0" t="s">
        <v>106</v>
      </c>
      <c r="H17" s="0" t="s">
        <v>60</v>
      </c>
      <c r="I17" s="0" t="s">
        <v>61</v>
      </c>
      <c r="J17" s="0" t="n">
        <v>4</v>
      </c>
      <c r="K17" s="0" t="s">
        <v>42</v>
      </c>
      <c r="L17" s="0" t="n">
        <v>0.35</v>
      </c>
      <c r="M17" s="0" t="n">
        <v>0.65</v>
      </c>
      <c r="N17" s="0" t="n">
        <f aca="false">(L17+M17)/2</f>
        <v>0.5</v>
      </c>
      <c r="O17" s="0" t="n">
        <f aca="false">F17*J17*N17</f>
        <v>298</v>
      </c>
      <c r="P17" s="0" t="n">
        <f aca="false">F17*J17*L17</f>
        <v>208.6</v>
      </c>
      <c r="Q17" s="0" t="n">
        <f aca="false">F17*J17*M17</f>
        <v>387.4</v>
      </c>
    </row>
    <row r="18" customFormat="false" ht="15" hidden="false" customHeight="false" outlineLevel="0" collapsed="false">
      <c r="A18" s="0" t="s">
        <v>108</v>
      </c>
      <c r="B18" s="0" t="s">
        <v>109</v>
      </c>
      <c r="C18" s="0" t="s">
        <v>73</v>
      </c>
      <c r="D18" s="0" t="s">
        <v>104</v>
      </c>
      <c r="E18" s="0" t="s">
        <v>35</v>
      </c>
      <c r="F18" s="0" t="n">
        <v>48</v>
      </c>
      <c r="G18" s="0" t="s">
        <v>105</v>
      </c>
      <c r="H18" s="0" t="s">
        <v>75</v>
      </c>
      <c r="I18" s="0" t="s">
        <v>38</v>
      </c>
      <c r="J18" s="0" t="n">
        <v>1</v>
      </c>
      <c r="K18" s="0" t="s">
        <v>39</v>
      </c>
      <c r="L18" s="0" t="n">
        <v>1</v>
      </c>
      <c r="M18" s="0" t="n">
        <v>1</v>
      </c>
      <c r="N18" s="0" t="n">
        <f aca="false">(L18+M18)/2</f>
        <v>1</v>
      </c>
      <c r="O18" s="0" t="n">
        <f aca="false">F18*J18*N18</f>
        <v>48</v>
      </c>
      <c r="P18" s="0" t="n">
        <f aca="false">F18*J18*L18</f>
        <v>48</v>
      </c>
      <c r="Q18" s="0" t="n">
        <f aca="false">F18*J18*M18</f>
        <v>48</v>
      </c>
    </row>
    <row r="19" customFormat="false" ht="15" hidden="false" customHeight="false" outlineLevel="0" collapsed="false">
      <c r="A19" s="0" t="s">
        <v>108</v>
      </c>
      <c r="B19" s="0" t="s">
        <v>109</v>
      </c>
      <c r="C19" s="0" t="s">
        <v>73</v>
      </c>
      <c r="D19" s="0" t="s">
        <v>104</v>
      </c>
      <c r="E19" s="0" t="s">
        <v>35</v>
      </c>
      <c r="F19" s="0" t="n">
        <v>48</v>
      </c>
      <c r="G19" s="0" t="s">
        <v>107</v>
      </c>
      <c r="H19" s="0" t="s">
        <v>41</v>
      </c>
      <c r="I19" s="0" t="s">
        <v>38</v>
      </c>
      <c r="J19" s="0" t="n">
        <v>1</v>
      </c>
      <c r="K19" s="0" t="s">
        <v>42</v>
      </c>
      <c r="L19" s="0" t="n">
        <v>0.33</v>
      </c>
      <c r="M19" s="0" t="n">
        <v>0.6</v>
      </c>
      <c r="N19" s="0" t="n">
        <f aca="false">(L19+M19)/2</f>
        <v>0.465</v>
      </c>
      <c r="O19" s="0" t="n">
        <f aca="false">F19*J19*N19</f>
        <v>22.32</v>
      </c>
      <c r="P19" s="0" t="n">
        <f aca="false">F19*J19*L19</f>
        <v>15.84</v>
      </c>
      <c r="Q19" s="0" t="n">
        <f aca="false">F19*J19*M19</f>
        <v>28.8</v>
      </c>
    </row>
    <row r="20" customFormat="false" ht="15" hidden="false" customHeight="false" outlineLevel="0" collapsed="false">
      <c r="A20" s="0" t="s">
        <v>108</v>
      </c>
      <c r="B20" s="0" t="s">
        <v>109</v>
      </c>
      <c r="C20" s="0" t="s">
        <v>73</v>
      </c>
      <c r="D20" s="0" t="s">
        <v>104</v>
      </c>
      <c r="E20" s="0" t="s">
        <v>63</v>
      </c>
      <c r="F20" s="0" t="n">
        <v>444</v>
      </c>
      <c r="G20" s="0" t="s">
        <v>105</v>
      </c>
      <c r="H20" s="0" t="s">
        <v>65</v>
      </c>
      <c r="I20" s="0" t="s">
        <v>66</v>
      </c>
      <c r="J20" s="0" t="n">
        <v>1</v>
      </c>
      <c r="K20" s="0" t="s">
        <v>42</v>
      </c>
      <c r="L20" s="0" t="n">
        <v>0.35</v>
      </c>
      <c r="M20" s="0" t="n">
        <v>0.65</v>
      </c>
      <c r="N20" s="0" t="n">
        <f aca="false">(L20+M20)/2</f>
        <v>0.5</v>
      </c>
      <c r="O20" s="0" t="n">
        <f aca="false">F20*J20*N20</f>
        <v>222</v>
      </c>
      <c r="P20" s="0" t="n">
        <f aca="false">F20*J20*L20</f>
        <v>155.4</v>
      </c>
      <c r="Q20" s="0" t="n">
        <f aca="false">F20*J20*M20</f>
        <v>288.6</v>
      </c>
    </row>
    <row r="21" customFormat="false" ht="15" hidden="false" customHeight="false" outlineLevel="0" collapsed="false">
      <c r="A21" s="0" t="s">
        <v>108</v>
      </c>
      <c r="B21" s="0" t="s">
        <v>109</v>
      </c>
      <c r="C21" s="0" t="s">
        <v>73</v>
      </c>
      <c r="D21" s="0" t="s">
        <v>104</v>
      </c>
      <c r="E21" s="0" t="s">
        <v>63</v>
      </c>
      <c r="F21" s="0" t="n">
        <v>444</v>
      </c>
      <c r="G21" s="0" t="s">
        <v>105</v>
      </c>
      <c r="H21" s="0" t="s">
        <v>69</v>
      </c>
      <c r="I21" s="0" t="s">
        <v>70</v>
      </c>
      <c r="J21" s="0" t="n">
        <v>4</v>
      </c>
      <c r="K21" s="0" t="s">
        <v>42</v>
      </c>
      <c r="L21" s="0" t="n">
        <v>0.35</v>
      </c>
      <c r="M21" s="0" t="n">
        <v>0.65</v>
      </c>
      <c r="N21" s="0" t="n">
        <f aca="false">(L21+M21)/2</f>
        <v>0.5</v>
      </c>
      <c r="O21" s="0" t="n">
        <f aca="false">F21*J21*N21</f>
        <v>888</v>
      </c>
      <c r="P21" s="0" t="n">
        <f aca="false">F21*J21*L21</f>
        <v>621.6</v>
      </c>
      <c r="Q21" s="0" t="n">
        <f aca="false">F21*J21*M21</f>
        <v>1154.4</v>
      </c>
    </row>
    <row r="22" customFormat="false" ht="15" hidden="false" customHeight="false" outlineLevel="0" collapsed="false">
      <c r="A22" s="0" t="s">
        <v>108</v>
      </c>
      <c r="B22" s="0" t="s">
        <v>109</v>
      </c>
      <c r="C22" s="0" t="s">
        <v>73</v>
      </c>
      <c r="D22" s="0" t="s">
        <v>104</v>
      </c>
      <c r="E22" s="0" t="s">
        <v>63</v>
      </c>
      <c r="F22" s="0" t="n">
        <v>444</v>
      </c>
      <c r="G22" s="0" t="s">
        <v>106</v>
      </c>
      <c r="H22" s="0" t="s">
        <v>72</v>
      </c>
      <c r="I22" s="0" t="s">
        <v>70</v>
      </c>
      <c r="J22" s="0" t="n">
        <v>4</v>
      </c>
      <c r="K22" s="0" t="s">
        <v>42</v>
      </c>
      <c r="L22" s="0" t="n">
        <v>0.2</v>
      </c>
      <c r="M22" s="0" t="n">
        <v>0.45</v>
      </c>
      <c r="N22" s="0" t="n">
        <f aca="false">(L22+M22)/2</f>
        <v>0.325</v>
      </c>
      <c r="O22" s="0" t="n">
        <f aca="false">F22*J22*N22</f>
        <v>577.2</v>
      </c>
      <c r="P22" s="0" t="n">
        <f aca="false">F22*J22*L22</f>
        <v>355.2</v>
      </c>
      <c r="Q22" s="0" t="n">
        <f aca="false">F22*J22*M22</f>
        <v>799.2</v>
      </c>
    </row>
    <row r="23" customFormat="false" ht="15" hidden="false" customHeight="false" outlineLevel="0" collapsed="false">
      <c r="A23" s="0" t="s">
        <v>108</v>
      </c>
      <c r="B23" s="0" t="s">
        <v>109</v>
      </c>
      <c r="C23" s="0" t="s">
        <v>73</v>
      </c>
      <c r="D23" s="0" t="s">
        <v>104</v>
      </c>
      <c r="E23" s="0" t="s">
        <v>43</v>
      </c>
      <c r="F23" s="0" t="n">
        <v>195</v>
      </c>
      <c r="G23" s="0" t="s">
        <v>105</v>
      </c>
      <c r="H23" s="0" t="s">
        <v>45</v>
      </c>
      <c r="I23" s="0" t="s">
        <v>46</v>
      </c>
      <c r="J23" s="0" t="n">
        <v>10</v>
      </c>
      <c r="K23" s="0" t="s">
        <v>39</v>
      </c>
      <c r="L23" s="0" t="n">
        <v>1</v>
      </c>
      <c r="M23" s="0" t="n">
        <v>1</v>
      </c>
      <c r="N23" s="0" t="n">
        <f aca="false">(L23+M23)/2</f>
        <v>1</v>
      </c>
      <c r="O23" s="0" t="n">
        <f aca="false">F23*J23*N23</f>
        <v>1950</v>
      </c>
      <c r="P23" s="0" t="n">
        <f aca="false">F23*J23*L23</f>
        <v>1950</v>
      </c>
      <c r="Q23" s="0" t="n">
        <f aca="false">F23*J23*M23</f>
        <v>1950</v>
      </c>
    </row>
    <row r="24" customFormat="false" ht="15" hidden="false" customHeight="false" outlineLevel="0" collapsed="false">
      <c r="A24" s="0" t="s">
        <v>110</v>
      </c>
      <c r="B24" s="0" t="s">
        <v>111</v>
      </c>
      <c r="C24" s="0" t="s">
        <v>73</v>
      </c>
      <c r="D24" s="0" t="s">
        <v>112</v>
      </c>
      <c r="E24" s="0" t="s">
        <v>48</v>
      </c>
      <c r="F24" s="0" t="n">
        <v>13</v>
      </c>
      <c r="G24" s="0" t="s">
        <v>105</v>
      </c>
      <c r="H24" s="0" t="s">
        <v>50</v>
      </c>
      <c r="I24" s="0" t="s">
        <v>51</v>
      </c>
      <c r="J24" s="0" t="n">
        <v>4</v>
      </c>
      <c r="K24" s="0" t="s">
        <v>42</v>
      </c>
      <c r="L24" s="0" t="n">
        <v>0.35</v>
      </c>
      <c r="M24" s="0" t="n">
        <v>0.65</v>
      </c>
      <c r="N24" s="0" t="n">
        <f aca="false">(L24+M24)/2</f>
        <v>0.5</v>
      </c>
      <c r="O24" s="0" t="n">
        <f aca="false">F24*J24*N24</f>
        <v>26</v>
      </c>
      <c r="P24" s="0" t="n">
        <f aca="false">F24*J24*L24</f>
        <v>18.2</v>
      </c>
      <c r="Q24" s="0" t="n">
        <f aca="false">F24*J24*M24</f>
        <v>33.8</v>
      </c>
    </row>
    <row r="25" customFormat="false" ht="15" hidden="false" customHeight="false" outlineLevel="0" collapsed="false">
      <c r="A25" s="0" t="s">
        <v>110</v>
      </c>
      <c r="B25" s="0" t="s">
        <v>111</v>
      </c>
      <c r="C25" s="0" t="s">
        <v>73</v>
      </c>
      <c r="D25" s="0" t="s">
        <v>112</v>
      </c>
      <c r="E25" s="0" t="s">
        <v>48</v>
      </c>
      <c r="F25" s="0" t="n">
        <v>13</v>
      </c>
      <c r="G25" s="0" t="s">
        <v>105</v>
      </c>
      <c r="H25" s="0" t="s">
        <v>53</v>
      </c>
      <c r="I25" s="0" t="s">
        <v>38</v>
      </c>
      <c r="J25" s="0" t="n">
        <v>1</v>
      </c>
      <c r="K25" s="0" t="s">
        <v>42</v>
      </c>
      <c r="L25" s="0" t="n">
        <v>0.35</v>
      </c>
      <c r="M25" s="0" t="n">
        <v>0.65</v>
      </c>
      <c r="N25" s="0" t="n">
        <f aca="false">(L25+M25)/2</f>
        <v>0.5</v>
      </c>
      <c r="O25" s="0" t="n">
        <f aca="false">F25*J25*N25</f>
        <v>6.5</v>
      </c>
      <c r="P25" s="0" t="n">
        <f aca="false">F25*J25*L25</f>
        <v>4.55</v>
      </c>
      <c r="Q25" s="0" t="n">
        <f aca="false">F25*J25*M25</f>
        <v>8.45</v>
      </c>
    </row>
    <row r="26" customFormat="false" ht="15" hidden="false" customHeight="false" outlineLevel="0" collapsed="false">
      <c r="A26" s="0" t="s">
        <v>110</v>
      </c>
      <c r="B26" s="0" t="s">
        <v>111</v>
      </c>
      <c r="C26" s="0" t="s">
        <v>73</v>
      </c>
      <c r="D26" s="0" t="s">
        <v>112</v>
      </c>
      <c r="E26" s="0" t="s">
        <v>54</v>
      </c>
      <c r="F26" s="0" t="n">
        <v>14</v>
      </c>
      <c r="G26" s="0" t="s">
        <v>106</v>
      </c>
      <c r="H26" s="0" t="s">
        <v>56</v>
      </c>
      <c r="I26" s="0" t="s">
        <v>57</v>
      </c>
      <c r="J26" s="0" t="n">
        <v>4</v>
      </c>
      <c r="K26" s="0" t="s">
        <v>42</v>
      </c>
      <c r="L26" s="0" t="n">
        <v>0.35</v>
      </c>
      <c r="M26" s="0" t="n">
        <v>0.65</v>
      </c>
      <c r="N26" s="0" t="n">
        <f aca="false">(L26+M26)/2</f>
        <v>0.5</v>
      </c>
      <c r="O26" s="0" t="n">
        <f aca="false">F26*J26*N26</f>
        <v>28</v>
      </c>
      <c r="P26" s="0" t="n">
        <f aca="false">F26*J26*L26</f>
        <v>19.6</v>
      </c>
      <c r="Q26" s="0" t="n">
        <f aca="false">F26*J26*M26</f>
        <v>36.4</v>
      </c>
    </row>
    <row r="27" customFormat="false" ht="15" hidden="false" customHeight="false" outlineLevel="0" collapsed="false">
      <c r="A27" s="0" t="s">
        <v>110</v>
      </c>
      <c r="B27" s="0" t="s">
        <v>111</v>
      </c>
      <c r="C27" s="0" t="s">
        <v>73</v>
      </c>
      <c r="D27" s="0" t="s">
        <v>112</v>
      </c>
      <c r="E27" s="0" t="s">
        <v>54</v>
      </c>
      <c r="F27" s="0" t="n">
        <v>14</v>
      </c>
      <c r="G27" s="0" t="s">
        <v>106</v>
      </c>
      <c r="H27" s="0" t="s">
        <v>60</v>
      </c>
      <c r="I27" s="0" t="s">
        <v>61</v>
      </c>
      <c r="J27" s="0" t="n">
        <v>4</v>
      </c>
      <c r="K27" s="0" t="s">
        <v>42</v>
      </c>
      <c r="L27" s="0" t="n">
        <v>0.35</v>
      </c>
      <c r="M27" s="0" t="n">
        <v>0.65</v>
      </c>
      <c r="N27" s="0" t="n">
        <f aca="false">(L27+M27)/2</f>
        <v>0.5</v>
      </c>
      <c r="O27" s="0" t="n">
        <f aca="false">F27*J27*N27</f>
        <v>28</v>
      </c>
      <c r="P27" s="0" t="n">
        <f aca="false">F27*J27*L27</f>
        <v>19.6</v>
      </c>
      <c r="Q27" s="0" t="n">
        <f aca="false">F27*J27*M27</f>
        <v>36.4</v>
      </c>
    </row>
    <row r="28" customFormat="false" ht="15" hidden="false" customHeight="false" outlineLevel="0" collapsed="false">
      <c r="A28" s="0" t="s">
        <v>110</v>
      </c>
      <c r="B28" s="0" t="s">
        <v>111</v>
      </c>
      <c r="C28" s="0" t="s">
        <v>73</v>
      </c>
      <c r="D28" s="0" t="s">
        <v>112</v>
      </c>
      <c r="E28" s="0" t="s">
        <v>35</v>
      </c>
      <c r="F28" s="0" t="n">
        <v>12</v>
      </c>
      <c r="G28" s="0" t="s">
        <v>105</v>
      </c>
      <c r="H28" s="0" t="s">
        <v>75</v>
      </c>
      <c r="I28" s="0" t="s">
        <v>38</v>
      </c>
      <c r="J28" s="0" t="n">
        <v>1</v>
      </c>
      <c r="K28" s="0" t="s">
        <v>39</v>
      </c>
      <c r="L28" s="0" t="n">
        <v>1</v>
      </c>
      <c r="M28" s="0" t="n">
        <v>1</v>
      </c>
      <c r="N28" s="0" t="n">
        <f aca="false">(L28+M28)/2</f>
        <v>1</v>
      </c>
      <c r="O28" s="0" t="n">
        <f aca="false">F28*J28*N28</f>
        <v>12</v>
      </c>
      <c r="P28" s="0" t="n">
        <f aca="false">F28*J28*L28</f>
        <v>12</v>
      </c>
      <c r="Q28" s="0" t="n">
        <f aca="false">F28*J28*M28</f>
        <v>12</v>
      </c>
    </row>
    <row r="29" customFormat="false" ht="15" hidden="false" customHeight="false" outlineLevel="0" collapsed="false">
      <c r="A29" s="0" t="s">
        <v>110</v>
      </c>
      <c r="B29" s="0" t="s">
        <v>111</v>
      </c>
      <c r="C29" s="0" t="s">
        <v>73</v>
      </c>
      <c r="D29" s="0" t="s">
        <v>112</v>
      </c>
      <c r="E29" s="0" t="s">
        <v>35</v>
      </c>
      <c r="F29" s="0" t="n">
        <v>12</v>
      </c>
      <c r="G29" s="0" t="s">
        <v>107</v>
      </c>
      <c r="H29" s="0" t="s">
        <v>41</v>
      </c>
      <c r="I29" s="0" t="s">
        <v>38</v>
      </c>
      <c r="J29" s="0" t="n">
        <v>1</v>
      </c>
      <c r="K29" s="0" t="s">
        <v>42</v>
      </c>
      <c r="L29" s="0" t="n">
        <v>0.33</v>
      </c>
      <c r="M29" s="0" t="n">
        <v>0.6</v>
      </c>
      <c r="N29" s="0" t="n">
        <f aca="false">(L29+M29)/2</f>
        <v>0.465</v>
      </c>
      <c r="O29" s="0" t="n">
        <f aca="false">F29*J29*N29</f>
        <v>5.58</v>
      </c>
      <c r="P29" s="0" t="n">
        <f aca="false">F29*J29*L29</f>
        <v>3.96</v>
      </c>
      <c r="Q29" s="0" t="n">
        <f aca="false">F29*J29*M29</f>
        <v>7.2</v>
      </c>
    </row>
    <row r="30" customFormat="false" ht="15" hidden="false" customHeight="false" outlineLevel="0" collapsed="false">
      <c r="A30" s="0" t="s">
        <v>110</v>
      </c>
      <c r="B30" s="0" t="s">
        <v>111</v>
      </c>
      <c r="C30" s="0" t="s">
        <v>73</v>
      </c>
      <c r="D30" s="0" t="s">
        <v>112</v>
      </c>
      <c r="E30" s="0" t="s">
        <v>63</v>
      </c>
      <c r="F30" s="0" t="n">
        <v>30</v>
      </c>
      <c r="G30" s="0" t="s">
        <v>105</v>
      </c>
      <c r="H30" s="0" t="s">
        <v>65</v>
      </c>
      <c r="I30" s="0" t="s">
        <v>66</v>
      </c>
      <c r="J30" s="0" t="n">
        <v>1</v>
      </c>
      <c r="K30" s="0" t="s">
        <v>42</v>
      </c>
      <c r="L30" s="0" t="n">
        <v>0.35</v>
      </c>
      <c r="M30" s="0" t="n">
        <v>0.65</v>
      </c>
      <c r="N30" s="0" t="n">
        <f aca="false">(L30+M30)/2</f>
        <v>0.5</v>
      </c>
      <c r="O30" s="0" t="n">
        <f aca="false">F30*J30*N30</f>
        <v>15</v>
      </c>
      <c r="P30" s="0" t="n">
        <f aca="false">F30*J30*L30</f>
        <v>10.5</v>
      </c>
      <c r="Q30" s="0" t="n">
        <f aca="false">F30*J30*M30</f>
        <v>19.5</v>
      </c>
    </row>
    <row r="31" customFormat="false" ht="15" hidden="false" customHeight="false" outlineLevel="0" collapsed="false">
      <c r="A31" s="0" t="s">
        <v>110</v>
      </c>
      <c r="B31" s="0" t="s">
        <v>111</v>
      </c>
      <c r="C31" s="0" t="s">
        <v>73</v>
      </c>
      <c r="D31" s="0" t="s">
        <v>112</v>
      </c>
      <c r="E31" s="0" t="s">
        <v>63</v>
      </c>
      <c r="F31" s="0" t="n">
        <v>30</v>
      </c>
      <c r="G31" s="0" t="s">
        <v>105</v>
      </c>
      <c r="H31" s="0" t="s">
        <v>69</v>
      </c>
      <c r="I31" s="0" t="s">
        <v>70</v>
      </c>
      <c r="J31" s="0" t="n">
        <v>4</v>
      </c>
      <c r="K31" s="0" t="s">
        <v>42</v>
      </c>
      <c r="L31" s="0" t="n">
        <v>0.35</v>
      </c>
      <c r="M31" s="0" t="n">
        <v>0.65</v>
      </c>
      <c r="N31" s="0" t="n">
        <f aca="false">(L31+M31)/2</f>
        <v>0.5</v>
      </c>
      <c r="O31" s="0" t="n">
        <f aca="false">F31*J31*N31</f>
        <v>60</v>
      </c>
      <c r="P31" s="0" t="n">
        <f aca="false">F31*J31*L31</f>
        <v>42</v>
      </c>
      <c r="Q31" s="0" t="n">
        <f aca="false">F31*J31*M31</f>
        <v>78</v>
      </c>
    </row>
    <row r="32" customFormat="false" ht="15" hidden="false" customHeight="false" outlineLevel="0" collapsed="false">
      <c r="A32" s="0" t="s">
        <v>110</v>
      </c>
      <c r="B32" s="0" t="s">
        <v>111</v>
      </c>
      <c r="C32" s="0" t="s">
        <v>73</v>
      </c>
      <c r="D32" s="0" t="s">
        <v>112</v>
      </c>
      <c r="E32" s="0" t="s">
        <v>63</v>
      </c>
      <c r="F32" s="0" t="n">
        <v>30</v>
      </c>
      <c r="G32" s="0" t="s">
        <v>106</v>
      </c>
      <c r="H32" s="0" t="s">
        <v>72</v>
      </c>
      <c r="I32" s="0" t="s">
        <v>70</v>
      </c>
      <c r="J32" s="0" t="n">
        <v>4</v>
      </c>
      <c r="K32" s="0" t="s">
        <v>42</v>
      </c>
      <c r="L32" s="0" t="n">
        <v>0.2</v>
      </c>
      <c r="M32" s="0" t="n">
        <v>0.45</v>
      </c>
      <c r="N32" s="0" t="n">
        <f aca="false">(L32+M32)/2</f>
        <v>0.325</v>
      </c>
      <c r="O32" s="0" t="n">
        <f aca="false">F32*J32*N32</f>
        <v>39</v>
      </c>
      <c r="P32" s="0" t="n">
        <f aca="false">F32*J32*L32</f>
        <v>24</v>
      </c>
      <c r="Q32" s="0" t="n">
        <f aca="false">F32*J32*M32</f>
        <v>54</v>
      </c>
    </row>
    <row r="33" customFormat="false" ht="15" hidden="false" customHeight="false" outlineLevel="0" collapsed="false">
      <c r="A33" s="0" t="s">
        <v>110</v>
      </c>
      <c r="B33" s="0" t="s">
        <v>111</v>
      </c>
      <c r="C33" s="0" t="s">
        <v>73</v>
      </c>
      <c r="D33" s="0" t="s">
        <v>112</v>
      </c>
      <c r="E33" s="0" t="s">
        <v>43</v>
      </c>
      <c r="F33" s="0" t="n">
        <v>23</v>
      </c>
      <c r="G33" s="0" t="s">
        <v>105</v>
      </c>
      <c r="H33" s="0" t="s">
        <v>45</v>
      </c>
      <c r="I33" s="0" t="s">
        <v>46</v>
      </c>
      <c r="J33" s="0" t="n">
        <v>10</v>
      </c>
      <c r="K33" s="0" t="s">
        <v>39</v>
      </c>
      <c r="L33" s="0" t="n">
        <v>1</v>
      </c>
      <c r="M33" s="0" t="n">
        <v>1</v>
      </c>
      <c r="N33" s="0" t="n">
        <f aca="false">(L33+M33)/2</f>
        <v>1</v>
      </c>
      <c r="O33" s="0" t="n">
        <f aca="false">F33*J33*N33</f>
        <v>230</v>
      </c>
      <c r="P33" s="0" t="n">
        <f aca="false">F33*J33*L33</f>
        <v>230</v>
      </c>
      <c r="Q33" s="0" t="n">
        <f aca="false">F33*J33*M33</f>
        <v>230</v>
      </c>
    </row>
    <row r="34" customFormat="false" ht="15" hidden="false" customHeight="false" outlineLevel="0" collapsed="false">
      <c r="A34" s="0" t="s">
        <v>113</v>
      </c>
      <c r="B34" s="0" t="s">
        <v>114</v>
      </c>
      <c r="C34" s="0" t="s">
        <v>76</v>
      </c>
      <c r="D34" s="0" t="s">
        <v>112</v>
      </c>
      <c r="E34" s="0" t="s">
        <v>48</v>
      </c>
      <c r="F34" s="0" t="n">
        <v>179</v>
      </c>
      <c r="G34" s="0" t="s">
        <v>105</v>
      </c>
      <c r="H34" s="0" t="s">
        <v>50</v>
      </c>
      <c r="I34" s="0" t="s">
        <v>51</v>
      </c>
      <c r="J34" s="0" t="n">
        <v>4</v>
      </c>
      <c r="K34" s="0" t="s">
        <v>42</v>
      </c>
      <c r="L34" s="0" t="n">
        <v>0.35</v>
      </c>
      <c r="M34" s="0" t="n">
        <v>0.65</v>
      </c>
      <c r="N34" s="0" t="n">
        <f aca="false">(L34+M34)/2</f>
        <v>0.5</v>
      </c>
      <c r="O34" s="0" t="n">
        <f aca="false">F34*J34*N34</f>
        <v>358</v>
      </c>
      <c r="P34" s="0" t="n">
        <f aca="false">F34*J34*L34</f>
        <v>250.6</v>
      </c>
      <c r="Q34" s="0" t="n">
        <f aca="false">F34*J34*M34</f>
        <v>465.4</v>
      </c>
    </row>
    <row r="35" customFormat="false" ht="15" hidden="false" customHeight="false" outlineLevel="0" collapsed="false">
      <c r="A35" s="0" t="s">
        <v>113</v>
      </c>
      <c r="B35" s="0" t="s">
        <v>114</v>
      </c>
      <c r="C35" s="0" t="s">
        <v>76</v>
      </c>
      <c r="D35" s="0" t="s">
        <v>112</v>
      </c>
      <c r="E35" s="0" t="s">
        <v>48</v>
      </c>
      <c r="F35" s="0" t="n">
        <v>179</v>
      </c>
      <c r="G35" s="0" t="s">
        <v>105</v>
      </c>
      <c r="H35" s="0" t="s">
        <v>53</v>
      </c>
      <c r="I35" s="0" t="s">
        <v>38</v>
      </c>
      <c r="J35" s="0" t="n">
        <v>1</v>
      </c>
      <c r="K35" s="0" t="s">
        <v>42</v>
      </c>
      <c r="L35" s="0" t="n">
        <v>0.35</v>
      </c>
      <c r="M35" s="0" t="n">
        <v>0.65</v>
      </c>
      <c r="N35" s="0" t="n">
        <f aca="false">(L35+M35)/2</f>
        <v>0.5</v>
      </c>
      <c r="O35" s="0" t="n">
        <f aca="false">F35*J35*N35</f>
        <v>89.5</v>
      </c>
      <c r="P35" s="0" t="n">
        <f aca="false">F35*J35*L35</f>
        <v>62.65</v>
      </c>
      <c r="Q35" s="0" t="n">
        <f aca="false">F35*J35*M35</f>
        <v>116.35</v>
      </c>
    </row>
    <row r="36" customFormat="false" ht="15" hidden="false" customHeight="false" outlineLevel="0" collapsed="false">
      <c r="A36" s="0" t="s">
        <v>113</v>
      </c>
      <c r="B36" s="0" t="s">
        <v>114</v>
      </c>
      <c r="C36" s="0" t="s">
        <v>76</v>
      </c>
      <c r="D36" s="0" t="s">
        <v>112</v>
      </c>
      <c r="E36" s="0" t="s">
        <v>54</v>
      </c>
      <c r="F36" s="0" t="n">
        <v>255.5</v>
      </c>
      <c r="G36" s="0" t="s">
        <v>106</v>
      </c>
      <c r="H36" s="0" t="s">
        <v>56</v>
      </c>
      <c r="I36" s="0" t="s">
        <v>57</v>
      </c>
      <c r="J36" s="0" t="n">
        <v>4</v>
      </c>
      <c r="K36" s="0" t="s">
        <v>42</v>
      </c>
      <c r="L36" s="0" t="n">
        <v>0.35</v>
      </c>
      <c r="M36" s="0" t="n">
        <v>0.65</v>
      </c>
      <c r="N36" s="0" t="n">
        <f aca="false">(L36+M36)/2</f>
        <v>0.5</v>
      </c>
      <c r="O36" s="0" t="n">
        <f aca="false">F36*J36*N36</f>
        <v>511</v>
      </c>
      <c r="P36" s="0" t="n">
        <f aca="false">F36*J36*L36</f>
        <v>357.7</v>
      </c>
      <c r="Q36" s="0" t="n">
        <f aca="false">F36*J36*M36</f>
        <v>664.3</v>
      </c>
    </row>
    <row r="37" customFormat="false" ht="15" hidden="false" customHeight="false" outlineLevel="0" collapsed="false">
      <c r="A37" s="0" t="s">
        <v>113</v>
      </c>
      <c r="B37" s="0" t="s">
        <v>114</v>
      </c>
      <c r="C37" s="0" t="s">
        <v>76</v>
      </c>
      <c r="D37" s="0" t="s">
        <v>112</v>
      </c>
      <c r="E37" s="0" t="s">
        <v>54</v>
      </c>
      <c r="F37" s="0" t="n">
        <v>255.5</v>
      </c>
      <c r="G37" s="0" t="s">
        <v>106</v>
      </c>
      <c r="H37" s="0" t="s">
        <v>84</v>
      </c>
      <c r="I37" s="0" t="s">
        <v>80</v>
      </c>
      <c r="J37" s="0" t="n">
        <v>4</v>
      </c>
      <c r="K37" s="0" t="s">
        <v>42</v>
      </c>
      <c r="L37" s="0" t="n">
        <v>0.35</v>
      </c>
      <c r="M37" s="0" t="n">
        <v>0.65</v>
      </c>
      <c r="N37" s="0" t="n">
        <f aca="false">(L37+M37)/2</f>
        <v>0.5</v>
      </c>
      <c r="O37" s="0" t="n">
        <f aca="false">F37*J37*N37</f>
        <v>511</v>
      </c>
      <c r="P37" s="0" t="n">
        <f aca="false">F37*J37*L37</f>
        <v>357.7</v>
      </c>
      <c r="Q37" s="0" t="n">
        <f aca="false">F37*J37*M37</f>
        <v>664.3</v>
      </c>
    </row>
    <row r="38" customFormat="false" ht="15" hidden="false" customHeight="false" outlineLevel="0" collapsed="false">
      <c r="A38" s="0" t="s">
        <v>113</v>
      </c>
      <c r="B38" s="0" t="s">
        <v>114</v>
      </c>
      <c r="C38" s="0" t="s">
        <v>76</v>
      </c>
      <c r="D38" s="0" t="s">
        <v>112</v>
      </c>
      <c r="E38" s="0" t="s">
        <v>35</v>
      </c>
      <c r="F38" s="0" t="n">
        <v>174.5</v>
      </c>
      <c r="G38" s="0" t="s">
        <v>105</v>
      </c>
      <c r="H38" s="0" t="s">
        <v>75</v>
      </c>
      <c r="I38" s="0" t="s">
        <v>38</v>
      </c>
      <c r="J38" s="0" t="n">
        <v>1</v>
      </c>
      <c r="K38" s="0" t="s">
        <v>39</v>
      </c>
      <c r="L38" s="0" t="n">
        <v>1</v>
      </c>
      <c r="M38" s="0" t="n">
        <v>1</v>
      </c>
      <c r="N38" s="0" t="n">
        <f aca="false">(L38+M38)/2</f>
        <v>1</v>
      </c>
      <c r="O38" s="0" t="n">
        <f aca="false">F38*J38*N38</f>
        <v>174.5</v>
      </c>
      <c r="P38" s="0" t="n">
        <f aca="false">F38*J38*L38</f>
        <v>174.5</v>
      </c>
      <c r="Q38" s="0" t="n">
        <f aca="false">F38*J38*M38</f>
        <v>174.5</v>
      </c>
    </row>
    <row r="39" customFormat="false" ht="15" hidden="false" customHeight="false" outlineLevel="0" collapsed="false">
      <c r="A39" s="0" t="s">
        <v>113</v>
      </c>
      <c r="B39" s="0" t="s">
        <v>114</v>
      </c>
      <c r="C39" s="0" t="s">
        <v>76</v>
      </c>
      <c r="D39" s="0" t="s">
        <v>112</v>
      </c>
      <c r="E39" s="0" t="s">
        <v>35</v>
      </c>
      <c r="F39" s="0" t="n">
        <v>174.5</v>
      </c>
      <c r="G39" s="0" t="s">
        <v>107</v>
      </c>
      <c r="H39" s="0" t="s">
        <v>41</v>
      </c>
      <c r="I39" s="0" t="s">
        <v>38</v>
      </c>
      <c r="J39" s="0" t="n">
        <v>1</v>
      </c>
      <c r="K39" s="0" t="s">
        <v>42</v>
      </c>
      <c r="L39" s="0" t="n">
        <v>0.33</v>
      </c>
      <c r="M39" s="0" t="n">
        <v>0.6</v>
      </c>
      <c r="N39" s="0" t="n">
        <f aca="false">(L39+M39)/2</f>
        <v>0.465</v>
      </c>
      <c r="O39" s="0" t="n">
        <f aca="false">F39*J39*N39</f>
        <v>81.1425</v>
      </c>
      <c r="P39" s="0" t="n">
        <f aca="false">F39*J39*L39</f>
        <v>57.585</v>
      </c>
      <c r="Q39" s="0" t="n">
        <f aca="false">F39*J39*M39</f>
        <v>104.7</v>
      </c>
    </row>
    <row r="40" customFormat="false" ht="15" hidden="false" customHeight="false" outlineLevel="0" collapsed="false">
      <c r="A40" s="0" t="s">
        <v>113</v>
      </c>
      <c r="B40" s="0" t="s">
        <v>114</v>
      </c>
      <c r="C40" s="0" t="s">
        <v>76</v>
      </c>
      <c r="D40" s="0" t="s">
        <v>112</v>
      </c>
      <c r="E40" s="0" t="s">
        <v>35</v>
      </c>
      <c r="F40" s="0" t="n">
        <v>174.5</v>
      </c>
      <c r="G40" s="0" t="s">
        <v>106</v>
      </c>
      <c r="H40" s="0" t="s">
        <v>79</v>
      </c>
      <c r="I40" s="0" t="s">
        <v>80</v>
      </c>
      <c r="J40" s="0" t="n">
        <v>4</v>
      </c>
      <c r="K40" s="0" t="s">
        <v>42</v>
      </c>
      <c r="L40" s="0" t="n">
        <v>0.15</v>
      </c>
      <c r="M40" s="0" t="n">
        <v>0.35</v>
      </c>
      <c r="N40" s="0" t="n">
        <f aca="false">(L40+M40)/2</f>
        <v>0.25</v>
      </c>
      <c r="O40" s="0" t="n">
        <f aca="false">F40*J40*N40</f>
        <v>174.5</v>
      </c>
      <c r="P40" s="0" t="n">
        <f aca="false">F40*J40*L40</f>
        <v>104.7</v>
      </c>
      <c r="Q40" s="0" t="n">
        <f aca="false">F40*J40*M40</f>
        <v>244.3</v>
      </c>
    </row>
    <row r="41" customFormat="false" ht="15" hidden="false" customHeight="false" outlineLevel="0" collapsed="false">
      <c r="A41" s="0" t="s">
        <v>113</v>
      </c>
      <c r="B41" s="0" t="s">
        <v>114</v>
      </c>
      <c r="C41" s="0" t="s">
        <v>76</v>
      </c>
      <c r="D41" s="0" t="s">
        <v>112</v>
      </c>
      <c r="E41" s="0" t="s">
        <v>35</v>
      </c>
      <c r="F41" s="0" t="n">
        <v>174.5</v>
      </c>
      <c r="G41" s="0" t="s">
        <v>106</v>
      </c>
      <c r="H41" s="0" t="s">
        <v>82</v>
      </c>
      <c r="I41" s="0" t="s">
        <v>83</v>
      </c>
      <c r="J41" s="0" t="n">
        <v>4</v>
      </c>
      <c r="K41" s="0" t="s">
        <v>42</v>
      </c>
      <c r="L41" s="0" t="n">
        <v>0.15</v>
      </c>
      <c r="M41" s="0" t="n">
        <v>0.35</v>
      </c>
      <c r="N41" s="0" t="n">
        <f aca="false">(L41+M41)/2</f>
        <v>0.25</v>
      </c>
      <c r="O41" s="0" t="n">
        <f aca="false">F41*J41*N41</f>
        <v>174.5</v>
      </c>
      <c r="P41" s="0" t="n">
        <f aca="false">F41*J41*L41</f>
        <v>104.7</v>
      </c>
      <c r="Q41" s="0" t="n">
        <f aca="false">F41*J41*M41</f>
        <v>244.3</v>
      </c>
    </row>
    <row r="42" customFormat="false" ht="15" hidden="false" customHeight="false" outlineLevel="0" collapsed="false">
      <c r="A42" s="0" t="s">
        <v>113</v>
      </c>
      <c r="B42" s="0" t="s">
        <v>114</v>
      </c>
      <c r="C42" s="0" t="s">
        <v>76</v>
      </c>
      <c r="D42" s="0" t="s">
        <v>112</v>
      </c>
      <c r="E42" s="0" t="s">
        <v>63</v>
      </c>
      <c r="F42" s="0" t="n">
        <v>669.5</v>
      </c>
      <c r="G42" s="0" t="s">
        <v>105</v>
      </c>
      <c r="H42" s="0" t="s">
        <v>65</v>
      </c>
      <c r="I42" s="0" t="s">
        <v>66</v>
      </c>
      <c r="J42" s="0" t="n">
        <v>1</v>
      </c>
      <c r="K42" s="0" t="s">
        <v>42</v>
      </c>
      <c r="L42" s="0" t="n">
        <v>0.35</v>
      </c>
      <c r="M42" s="0" t="n">
        <v>0.65</v>
      </c>
      <c r="N42" s="0" t="n">
        <f aca="false">(L42+M42)/2</f>
        <v>0.5</v>
      </c>
      <c r="O42" s="0" t="n">
        <f aca="false">F42*J42*N42</f>
        <v>334.75</v>
      </c>
      <c r="P42" s="0" t="n">
        <f aca="false">F42*J42*L42</f>
        <v>234.325</v>
      </c>
      <c r="Q42" s="0" t="n">
        <f aca="false">F42*J42*M42</f>
        <v>435.175</v>
      </c>
    </row>
    <row r="43" customFormat="false" ht="15" hidden="false" customHeight="false" outlineLevel="0" collapsed="false">
      <c r="A43" s="0" t="s">
        <v>113</v>
      </c>
      <c r="B43" s="0" t="s">
        <v>114</v>
      </c>
      <c r="C43" s="0" t="s">
        <v>76</v>
      </c>
      <c r="D43" s="0" t="s">
        <v>112</v>
      </c>
      <c r="E43" s="0" t="s">
        <v>63</v>
      </c>
      <c r="F43" s="0" t="n">
        <v>669.5</v>
      </c>
      <c r="G43" s="0" t="s">
        <v>105</v>
      </c>
      <c r="H43" s="0" t="s">
        <v>69</v>
      </c>
      <c r="I43" s="0" t="s">
        <v>70</v>
      </c>
      <c r="J43" s="0" t="n">
        <v>4</v>
      </c>
      <c r="K43" s="0" t="s">
        <v>42</v>
      </c>
      <c r="L43" s="0" t="n">
        <v>0.35</v>
      </c>
      <c r="M43" s="0" t="n">
        <v>0.65</v>
      </c>
      <c r="N43" s="0" t="n">
        <f aca="false">(L43+M43)/2</f>
        <v>0.5</v>
      </c>
      <c r="O43" s="0" t="n">
        <f aca="false">F43*J43*N43</f>
        <v>1339</v>
      </c>
      <c r="P43" s="0" t="n">
        <f aca="false">F43*J43*L43</f>
        <v>937.3</v>
      </c>
      <c r="Q43" s="0" t="n">
        <f aca="false">F43*J43*M43</f>
        <v>1740.7</v>
      </c>
    </row>
    <row r="44" customFormat="false" ht="15" hidden="false" customHeight="false" outlineLevel="0" collapsed="false">
      <c r="A44" s="0" t="s">
        <v>113</v>
      </c>
      <c r="B44" s="0" t="s">
        <v>114</v>
      </c>
      <c r="C44" s="0" t="s">
        <v>76</v>
      </c>
      <c r="D44" s="0" t="s">
        <v>112</v>
      </c>
      <c r="E44" s="0" t="s">
        <v>43</v>
      </c>
      <c r="F44" s="0" t="n">
        <v>375</v>
      </c>
      <c r="G44" s="0" t="s">
        <v>105</v>
      </c>
      <c r="H44" s="0" t="s">
        <v>45</v>
      </c>
      <c r="I44" s="0" t="s">
        <v>46</v>
      </c>
      <c r="J44" s="0" t="n">
        <v>10</v>
      </c>
      <c r="K44" s="0" t="s">
        <v>39</v>
      </c>
      <c r="L44" s="0" t="n">
        <v>1</v>
      </c>
      <c r="M44" s="0" t="n">
        <v>1</v>
      </c>
      <c r="N44" s="0" t="n">
        <f aca="false">(L44+M44)/2</f>
        <v>1</v>
      </c>
      <c r="O44" s="0" t="n">
        <f aca="false">F44*J44*N44</f>
        <v>3750</v>
      </c>
      <c r="P44" s="0" t="n">
        <f aca="false">F44*J44*L44</f>
        <v>3750</v>
      </c>
      <c r="Q44" s="0" t="n">
        <f aca="false">F44*J44*M44</f>
        <v>3750</v>
      </c>
    </row>
    <row r="45" customFormat="false" ht="15" hidden="false" customHeight="false" outlineLevel="0" collapsed="false">
      <c r="A45" s="0" t="s">
        <v>115</v>
      </c>
      <c r="B45" s="0" t="s">
        <v>116</v>
      </c>
      <c r="C45" s="0" t="s">
        <v>76</v>
      </c>
      <c r="D45" s="0" t="s">
        <v>117</v>
      </c>
      <c r="E45" s="0" t="s">
        <v>48</v>
      </c>
      <c r="F45" s="0" t="n">
        <v>171</v>
      </c>
      <c r="G45" s="0" t="s">
        <v>105</v>
      </c>
      <c r="H45" s="0" t="s">
        <v>50</v>
      </c>
      <c r="I45" s="0" t="s">
        <v>51</v>
      </c>
      <c r="J45" s="0" t="n">
        <v>4</v>
      </c>
      <c r="K45" s="0" t="s">
        <v>42</v>
      </c>
      <c r="L45" s="0" t="n">
        <v>0.35</v>
      </c>
      <c r="M45" s="0" t="n">
        <v>0.65</v>
      </c>
      <c r="N45" s="0" t="n">
        <f aca="false">(L45+M45)/2</f>
        <v>0.5</v>
      </c>
      <c r="O45" s="0" t="n">
        <f aca="false">F45*J45*N45</f>
        <v>342</v>
      </c>
      <c r="P45" s="0" t="n">
        <f aca="false">F45*J45*L45</f>
        <v>239.4</v>
      </c>
      <c r="Q45" s="0" t="n">
        <f aca="false">F45*J45*M45</f>
        <v>444.6</v>
      </c>
    </row>
    <row r="46" customFormat="false" ht="15" hidden="false" customHeight="false" outlineLevel="0" collapsed="false">
      <c r="A46" s="0" t="s">
        <v>115</v>
      </c>
      <c r="B46" s="0" t="s">
        <v>116</v>
      </c>
      <c r="C46" s="0" t="s">
        <v>76</v>
      </c>
      <c r="D46" s="0" t="s">
        <v>117</v>
      </c>
      <c r="E46" s="0" t="s">
        <v>48</v>
      </c>
      <c r="F46" s="0" t="n">
        <v>171</v>
      </c>
      <c r="G46" s="0" t="s">
        <v>105</v>
      </c>
      <c r="H46" s="0" t="s">
        <v>53</v>
      </c>
      <c r="I46" s="0" t="s">
        <v>38</v>
      </c>
      <c r="J46" s="0" t="n">
        <v>1</v>
      </c>
      <c r="K46" s="0" t="s">
        <v>42</v>
      </c>
      <c r="L46" s="0" t="n">
        <v>0.35</v>
      </c>
      <c r="M46" s="0" t="n">
        <v>0.65</v>
      </c>
      <c r="N46" s="0" t="n">
        <f aca="false">(L46+M46)/2</f>
        <v>0.5</v>
      </c>
      <c r="O46" s="0" t="n">
        <f aca="false">F46*J46*N46</f>
        <v>85.5</v>
      </c>
      <c r="P46" s="0" t="n">
        <f aca="false">F46*J46*L46</f>
        <v>59.85</v>
      </c>
      <c r="Q46" s="0" t="n">
        <f aca="false">F46*J46*M46</f>
        <v>111.15</v>
      </c>
    </row>
    <row r="47" customFormat="false" ht="15" hidden="false" customHeight="false" outlineLevel="0" collapsed="false">
      <c r="A47" s="0" t="s">
        <v>115</v>
      </c>
      <c r="B47" s="0" t="s">
        <v>116</v>
      </c>
      <c r="C47" s="0" t="s">
        <v>76</v>
      </c>
      <c r="D47" s="0" t="s">
        <v>117</v>
      </c>
      <c r="E47" s="0" t="s">
        <v>54</v>
      </c>
      <c r="F47" s="0" t="n">
        <v>259</v>
      </c>
      <c r="G47" s="0" t="s">
        <v>106</v>
      </c>
      <c r="H47" s="0" t="s">
        <v>56</v>
      </c>
      <c r="I47" s="0" t="s">
        <v>57</v>
      </c>
      <c r="J47" s="0" t="n">
        <v>4</v>
      </c>
      <c r="K47" s="0" t="s">
        <v>42</v>
      </c>
      <c r="L47" s="0" t="n">
        <v>0.35</v>
      </c>
      <c r="M47" s="0" t="n">
        <v>0.65</v>
      </c>
      <c r="N47" s="0" t="n">
        <f aca="false">(L47+M47)/2</f>
        <v>0.5</v>
      </c>
      <c r="O47" s="0" t="n">
        <f aca="false">F47*J47*N47</f>
        <v>518</v>
      </c>
      <c r="P47" s="0" t="n">
        <f aca="false">F47*J47*L47</f>
        <v>362.6</v>
      </c>
      <c r="Q47" s="0" t="n">
        <f aca="false">F47*J47*M47</f>
        <v>673.4</v>
      </c>
    </row>
    <row r="48" customFormat="false" ht="15" hidden="false" customHeight="false" outlineLevel="0" collapsed="false">
      <c r="A48" s="0" t="s">
        <v>115</v>
      </c>
      <c r="B48" s="0" t="s">
        <v>116</v>
      </c>
      <c r="C48" s="0" t="s">
        <v>76</v>
      </c>
      <c r="D48" s="0" t="s">
        <v>117</v>
      </c>
      <c r="E48" s="0" t="s">
        <v>54</v>
      </c>
      <c r="F48" s="0" t="n">
        <v>259</v>
      </c>
      <c r="G48" s="0" t="s">
        <v>106</v>
      </c>
      <c r="H48" s="0" t="s">
        <v>84</v>
      </c>
      <c r="I48" s="0" t="s">
        <v>80</v>
      </c>
      <c r="J48" s="0" t="n">
        <v>4</v>
      </c>
      <c r="K48" s="0" t="s">
        <v>42</v>
      </c>
      <c r="L48" s="0" t="n">
        <v>0.35</v>
      </c>
      <c r="M48" s="0" t="n">
        <v>0.65</v>
      </c>
      <c r="N48" s="0" t="n">
        <f aca="false">(L48+M48)/2</f>
        <v>0.5</v>
      </c>
      <c r="O48" s="0" t="n">
        <f aca="false">F48*J48*N48</f>
        <v>518</v>
      </c>
      <c r="P48" s="0" t="n">
        <f aca="false">F48*J48*L48</f>
        <v>362.6</v>
      </c>
      <c r="Q48" s="0" t="n">
        <f aca="false">F48*J48*M48</f>
        <v>673.4</v>
      </c>
    </row>
    <row r="49" customFormat="false" ht="15" hidden="false" customHeight="false" outlineLevel="0" collapsed="false">
      <c r="A49" s="0" t="s">
        <v>115</v>
      </c>
      <c r="B49" s="0" t="s">
        <v>116</v>
      </c>
      <c r="C49" s="0" t="s">
        <v>76</v>
      </c>
      <c r="D49" s="0" t="s">
        <v>117</v>
      </c>
      <c r="E49" s="0" t="s">
        <v>35</v>
      </c>
      <c r="F49" s="0" t="n">
        <v>232</v>
      </c>
      <c r="G49" s="0" t="s">
        <v>105</v>
      </c>
      <c r="H49" s="0" t="s">
        <v>75</v>
      </c>
      <c r="I49" s="0" t="s">
        <v>38</v>
      </c>
      <c r="J49" s="0" t="n">
        <v>1</v>
      </c>
      <c r="K49" s="0" t="s">
        <v>39</v>
      </c>
      <c r="L49" s="0" t="n">
        <v>1</v>
      </c>
      <c r="M49" s="0" t="n">
        <v>1</v>
      </c>
      <c r="N49" s="0" t="n">
        <f aca="false">(L49+M49)/2</f>
        <v>1</v>
      </c>
      <c r="O49" s="0" t="n">
        <f aca="false">F49*J49*N49</f>
        <v>232</v>
      </c>
      <c r="P49" s="0" t="n">
        <f aca="false">F49*J49*L49</f>
        <v>232</v>
      </c>
      <c r="Q49" s="0" t="n">
        <f aca="false">F49*J49*M49</f>
        <v>232</v>
      </c>
    </row>
    <row r="50" customFormat="false" ht="15" hidden="false" customHeight="false" outlineLevel="0" collapsed="false">
      <c r="A50" s="0" t="s">
        <v>115</v>
      </c>
      <c r="B50" s="0" t="s">
        <v>116</v>
      </c>
      <c r="C50" s="0" t="s">
        <v>76</v>
      </c>
      <c r="D50" s="0" t="s">
        <v>117</v>
      </c>
      <c r="E50" s="0" t="s">
        <v>35</v>
      </c>
      <c r="F50" s="0" t="n">
        <v>232</v>
      </c>
      <c r="G50" s="0" t="s">
        <v>107</v>
      </c>
      <c r="H50" s="0" t="s">
        <v>41</v>
      </c>
      <c r="I50" s="0" t="s">
        <v>38</v>
      </c>
      <c r="J50" s="0" t="n">
        <v>1</v>
      </c>
      <c r="K50" s="0" t="s">
        <v>42</v>
      </c>
      <c r="L50" s="0" t="n">
        <v>0.33</v>
      </c>
      <c r="M50" s="0" t="n">
        <v>0.6</v>
      </c>
      <c r="N50" s="0" t="n">
        <f aca="false">(L50+M50)/2</f>
        <v>0.465</v>
      </c>
      <c r="O50" s="0" t="n">
        <f aca="false">F50*J50*N50</f>
        <v>107.88</v>
      </c>
      <c r="P50" s="0" t="n">
        <f aca="false">F50*J50*L50</f>
        <v>76.56</v>
      </c>
      <c r="Q50" s="0" t="n">
        <f aca="false">F50*J50*M50</f>
        <v>139.2</v>
      </c>
    </row>
    <row r="51" customFormat="false" ht="15" hidden="false" customHeight="false" outlineLevel="0" collapsed="false">
      <c r="A51" s="0" t="s">
        <v>115</v>
      </c>
      <c r="B51" s="0" t="s">
        <v>116</v>
      </c>
      <c r="C51" s="0" t="s">
        <v>76</v>
      </c>
      <c r="D51" s="0" t="s">
        <v>117</v>
      </c>
      <c r="E51" s="0" t="s">
        <v>35</v>
      </c>
      <c r="F51" s="0" t="n">
        <v>232</v>
      </c>
      <c r="G51" s="0" t="s">
        <v>106</v>
      </c>
      <c r="H51" s="0" t="s">
        <v>79</v>
      </c>
      <c r="I51" s="0" t="s">
        <v>80</v>
      </c>
      <c r="J51" s="0" t="n">
        <v>4</v>
      </c>
      <c r="K51" s="0" t="s">
        <v>42</v>
      </c>
      <c r="L51" s="0" t="n">
        <v>0.15</v>
      </c>
      <c r="M51" s="0" t="n">
        <v>0.35</v>
      </c>
      <c r="N51" s="0" t="n">
        <f aca="false">(L51+M51)/2</f>
        <v>0.25</v>
      </c>
      <c r="O51" s="0" t="n">
        <f aca="false">F51*J51*N51</f>
        <v>232</v>
      </c>
      <c r="P51" s="0" t="n">
        <f aca="false">F51*J51*L51</f>
        <v>139.2</v>
      </c>
      <c r="Q51" s="0" t="n">
        <f aca="false">F51*J51*M51</f>
        <v>324.8</v>
      </c>
    </row>
    <row r="52" customFormat="false" ht="15" hidden="false" customHeight="false" outlineLevel="0" collapsed="false">
      <c r="A52" s="0" t="s">
        <v>115</v>
      </c>
      <c r="B52" s="0" t="s">
        <v>116</v>
      </c>
      <c r="C52" s="0" t="s">
        <v>76</v>
      </c>
      <c r="D52" s="0" t="s">
        <v>117</v>
      </c>
      <c r="E52" s="0" t="s">
        <v>35</v>
      </c>
      <c r="F52" s="0" t="n">
        <v>232</v>
      </c>
      <c r="G52" s="0" t="s">
        <v>106</v>
      </c>
      <c r="H52" s="0" t="s">
        <v>82</v>
      </c>
      <c r="I52" s="0" t="s">
        <v>83</v>
      </c>
      <c r="J52" s="0" t="n">
        <v>4</v>
      </c>
      <c r="K52" s="0" t="s">
        <v>42</v>
      </c>
      <c r="L52" s="0" t="n">
        <v>0.15</v>
      </c>
      <c r="M52" s="0" t="n">
        <v>0.35</v>
      </c>
      <c r="N52" s="0" t="n">
        <f aca="false">(L52+M52)/2</f>
        <v>0.25</v>
      </c>
      <c r="O52" s="0" t="n">
        <f aca="false">F52*J52*N52</f>
        <v>232</v>
      </c>
      <c r="P52" s="0" t="n">
        <f aca="false">F52*J52*L52</f>
        <v>139.2</v>
      </c>
      <c r="Q52" s="0" t="n">
        <f aca="false">F52*J52*M52</f>
        <v>324.8</v>
      </c>
    </row>
    <row r="53" customFormat="false" ht="15" hidden="false" customHeight="false" outlineLevel="0" collapsed="false">
      <c r="A53" s="0" t="s">
        <v>115</v>
      </c>
      <c r="B53" s="0" t="s">
        <v>116</v>
      </c>
      <c r="C53" s="0" t="s">
        <v>76</v>
      </c>
      <c r="D53" s="0" t="s">
        <v>117</v>
      </c>
      <c r="E53" s="0" t="s">
        <v>63</v>
      </c>
      <c r="F53" s="0" t="n">
        <v>766</v>
      </c>
      <c r="G53" s="0" t="s">
        <v>105</v>
      </c>
      <c r="H53" s="0" t="s">
        <v>65</v>
      </c>
      <c r="I53" s="0" t="s">
        <v>66</v>
      </c>
      <c r="J53" s="0" t="n">
        <v>1</v>
      </c>
      <c r="K53" s="0" t="s">
        <v>42</v>
      </c>
      <c r="L53" s="0" t="n">
        <v>0.35</v>
      </c>
      <c r="M53" s="0" t="n">
        <v>0.65</v>
      </c>
      <c r="N53" s="0" t="n">
        <f aca="false">(L53+M53)/2</f>
        <v>0.5</v>
      </c>
      <c r="O53" s="0" t="n">
        <f aca="false">F53*J53*N53</f>
        <v>383</v>
      </c>
      <c r="P53" s="0" t="n">
        <f aca="false">F53*J53*L53</f>
        <v>268.1</v>
      </c>
      <c r="Q53" s="0" t="n">
        <f aca="false">F53*J53*M53</f>
        <v>497.9</v>
      </c>
    </row>
    <row r="54" customFormat="false" ht="15" hidden="false" customHeight="false" outlineLevel="0" collapsed="false">
      <c r="A54" s="0" t="s">
        <v>115</v>
      </c>
      <c r="B54" s="0" t="s">
        <v>116</v>
      </c>
      <c r="C54" s="0" t="s">
        <v>76</v>
      </c>
      <c r="D54" s="0" t="s">
        <v>117</v>
      </c>
      <c r="E54" s="0" t="s">
        <v>63</v>
      </c>
      <c r="F54" s="0" t="n">
        <v>766</v>
      </c>
      <c r="G54" s="0" t="s">
        <v>105</v>
      </c>
      <c r="H54" s="0" t="s">
        <v>69</v>
      </c>
      <c r="I54" s="0" t="s">
        <v>70</v>
      </c>
      <c r="J54" s="0" t="n">
        <v>4</v>
      </c>
      <c r="K54" s="0" t="s">
        <v>42</v>
      </c>
      <c r="L54" s="0" t="n">
        <v>0.35</v>
      </c>
      <c r="M54" s="0" t="n">
        <v>0.65</v>
      </c>
      <c r="N54" s="0" t="n">
        <f aca="false">(L54+M54)/2</f>
        <v>0.5</v>
      </c>
      <c r="O54" s="0" t="n">
        <f aca="false">F54*J54*N54</f>
        <v>1532</v>
      </c>
      <c r="P54" s="0" t="n">
        <f aca="false">F54*J54*L54</f>
        <v>1072.4</v>
      </c>
      <c r="Q54" s="0" t="n">
        <f aca="false">F54*J54*M54</f>
        <v>1991.6</v>
      </c>
    </row>
    <row r="55" customFormat="false" ht="15" hidden="false" customHeight="false" outlineLevel="0" collapsed="false">
      <c r="A55" s="0" t="s">
        <v>115</v>
      </c>
      <c r="B55" s="0" t="s">
        <v>116</v>
      </c>
      <c r="C55" s="0" t="s">
        <v>76</v>
      </c>
      <c r="D55" s="0" t="s">
        <v>117</v>
      </c>
      <c r="E55" s="0" t="s">
        <v>43</v>
      </c>
      <c r="F55" s="0" t="n">
        <v>351</v>
      </c>
      <c r="G55" s="0" t="s">
        <v>105</v>
      </c>
      <c r="H55" s="0" t="s">
        <v>45</v>
      </c>
      <c r="I55" s="0" t="s">
        <v>46</v>
      </c>
      <c r="J55" s="0" t="n">
        <v>10</v>
      </c>
      <c r="K55" s="0" t="s">
        <v>39</v>
      </c>
      <c r="L55" s="0" t="n">
        <v>1</v>
      </c>
      <c r="M55" s="0" t="n">
        <v>1</v>
      </c>
      <c r="N55" s="0" t="n">
        <f aca="false">(L55+M55)/2</f>
        <v>1</v>
      </c>
      <c r="O55" s="0" t="n">
        <f aca="false">F55*J55*N55</f>
        <v>3510</v>
      </c>
      <c r="P55" s="0" t="n">
        <f aca="false">F55*J55*L55</f>
        <v>3510</v>
      </c>
      <c r="Q55" s="0" t="n">
        <f aca="false">F55*J55*M55</f>
        <v>3510</v>
      </c>
    </row>
    <row r="56" customFormat="false" ht="15" hidden="false" customHeight="false" outlineLevel="0" collapsed="false">
      <c r="A56" s="4" t="s">
        <v>118</v>
      </c>
      <c r="O56" s="4" t="n">
        <f aca="false">SUM(O4:O55)</f>
        <v>22830.5475</v>
      </c>
      <c r="P56" s="4" t="n">
        <f aca="false">SUM(P4:P55)</f>
        <v>18967.295</v>
      </c>
      <c r="Q56" s="4" t="n">
        <f aca="false">SUM(Q4:Q55)</f>
        <v>26693.8</v>
      </c>
    </row>
    <row r="57" customFormat="false" ht="15" hidden="false" customHeight="false" outlineLevel="0" collapsed="false">
      <c r="A57" s="4" t="s">
        <v>119</v>
      </c>
      <c r="O57" s="4" t="n">
        <f aca="false">O56/100</f>
        <v>228.305475</v>
      </c>
    </row>
    <row r="59" customFormat="false" ht="15" hidden="false" customHeight="false" outlineLevel="0" collapsed="false">
      <c r="A59" s="5" t="s">
        <v>120</v>
      </c>
    </row>
    <row r="60" customFormat="false" ht="15" hidden="false" customHeight="false" outlineLevel="0" collapsed="false">
      <c r="A60" s="5" t="s">
        <v>121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4"/>
  </cols>
  <sheetData>
    <row r="1" customFormat="false" ht="15" hidden="false" customHeight="false" outlineLevel="0" collapsed="false">
      <c r="A1" s="1" t="s">
        <v>122</v>
      </c>
    </row>
    <row r="3" customFormat="false" ht="28.35" hidden="false" customHeight="false" outlineLevel="0" collapsed="false">
      <c r="A3" s="3" t="s">
        <v>23</v>
      </c>
      <c r="B3" s="3" t="s">
        <v>123</v>
      </c>
      <c r="C3" s="3" t="s">
        <v>124</v>
      </c>
      <c r="D3" s="3" t="s">
        <v>125</v>
      </c>
      <c r="E3" s="3" t="s">
        <v>126</v>
      </c>
      <c r="F3" s="3" t="s">
        <v>127</v>
      </c>
    </row>
    <row r="4" customFormat="false" ht="15" hidden="false" customHeight="false" outlineLevel="0" collapsed="false">
      <c r="A4" s="0" t="s">
        <v>46</v>
      </c>
      <c r="B4" s="0" t="n">
        <f aca="false">SUMIFS('Detail-menus'!$O$4:$O$55,'Detail-menus'!$I$4:$I$55,$A4,'Detail-menus'!$D$4:$D$55,"2022-2023")/100</f>
        <v>25</v>
      </c>
      <c r="C4" s="0" t="n">
        <f aca="false">SUMIFS('Detail-menus'!$O$4:$O$55,'Detail-menus'!$I$4:$I$55,$A4,'Detail-menus'!$D$4:$D$55,"2023-2024")/100</f>
        <v>39.8</v>
      </c>
      <c r="D4" s="0" t="n">
        <f aca="false">SUMIFS('Detail-menus'!$O$4:$O$55,'Detail-menus'!$I$4:$I$55,$A4,'Detail-menus'!$D$4:$D$55,"2024-2025")/100</f>
        <v>35.1</v>
      </c>
      <c r="E4" s="0" t="n">
        <f aca="false">SUM(B4:D4)</f>
        <v>99.9</v>
      </c>
      <c r="F4" s="0" t="n">
        <v>100</v>
      </c>
    </row>
    <row r="5" customFormat="false" ht="15" hidden="false" customHeight="false" outlineLevel="0" collapsed="false">
      <c r="A5" s="0" t="s">
        <v>70</v>
      </c>
      <c r="B5" s="0" t="n">
        <f aca="false">SUMIFS('Detail-menus'!$O$4:$O$55,'Detail-menus'!$I$4:$I$55,$A5,'Detail-menus'!$D$4:$D$55,"2022-2023")/100</f>
        <v>24.651</v>
      </c>
      <c r="C5" s="0" t="n">
        <f aca="false">SUMIFS('Detail-menus'!$O$4:$O$55,'Detail-menus'!$I$4:$I$55,$A5,'Detail-menus'!$D$4:$D$55,"2023-2024")/100</f>
        <v>14.38</v>
      </c>
      <c r="D5" s="0" t="n">
        <f aca="false">SUMIFS('Detail-menus'!$O$4:$O$55,'Detail-menus'!$I$4:$I$55,$A5,'Detail-menus'!$D$4:$D$55,"2024-2025")/100</f>
        <v>15.32</v>
      </c>
      <c r="E5" s="0" t="n">
        <f aca="false">SUM(B5:D5)</f>
        <v>54.351</v>
      </c>
      <c r="F5" s="0" t="n">
        <v>54</v>
      </c>
    </row>
    <row r="6" customFormat="false" ht="15" hidden="false" customHeight="false" outlineLevel="0" collapsed="false">
      <c r="A6" s="0" t="s">
        <v>57</v>
      </c>
      <c r="B6" s="0" t="n">
        <f aca="false">SUMIFS('Detail-menus'!$O$4:$O$55,'Detail-menus'!$I$4:$I$55,$A6,'Detail-menus'!$D$4:$D$55,"2022-2023")/100</f>
        <v>5.3</v>
      </c>
      <c r="C6" s="0" t="n">
        <f aca="false">SUMIFS('Detail-menus'!$O$4:$O$55,'Detail-menus'!$I$4:$I$55,$A6,'Detail-menus'!$D$4:$D$55,"2023-2024")/100</f>
        <v>5.39</v>
      </c>
      <c r="D6" s="0" t="n">
        <f aca="false">SUMIFS('Detail-menus'!$O$4:$O$55,'Detail-menus'!$I$4:$I$55,$A6,'Detail-menus'!$D$4:$D$55,"2024-2025")/100</f>
        <v>5.18</v>
      </c>
      <c r="E6" s="0" t="n">
        <f aca="false">SUM(B6:D6)</f>
        <v>15.87</v>
      </c>
      <c r="F6" s="0" t="n">
        <v>16</v>
      </c>
    </row>
    <row r="7" customFormat="false" ht="15" hidden="false" customHeight="false" outlineLevel="0" collapsed="false">
      <c r="A7" s="0" t="s">
        <v>80</v>
      </c>
      <c r="B7" s="0" t="n">
        <f aca="false">SUMIFS('Detail-menus'!$O$4:$O$55,'Detail-menus'!$I$4:$I$55,$A7,'Detail-menus'!$D$4:$D$55,"2022-2023")/100</f>
        <v>0</v>
      </c>
      <c r="C7" s="0" t="n">
        <f aca="false">SUMIFS('Detail-menus'!$O$4:$O$55,'Detail-menus'!$I$4:$I$55,$A7,'Detail-menus'!$D$4:$D$55,"2023-2024")/100</f>
        <v>6.855</v>
      </c>
      <c r="D7" s="0" t="n">
        <f aca="false">SUMIFS('Detail-menus'!$O$4:$O$55,'Detail-menus'!$I$4:$I$55,$A7,'Detail-menus'!$D$4:$D$55,"2024-2025")/100</f>
        <v>7.5</v>
      </c>
      <c r="E7" s="0" t="n">
        <f aca="false">SUM(B7:D7)</f>
        <v>14.355</v>
      </c>
      <c r="F7" s="0" t="n">
        <v>14</v>
      </c>
    </row>
    <row r="8" customFormat="false" ht="15" hidden="false" customHeight="false" outlineLevel="0" collapsed="false">
      <c r="A8" s="0" t="s">
        <v>51</v>
      </c>
      <c r="B8" s="0" t="n">
        <f aca="false">SUMIFS('Detail-menus'!$O$4:$O$55,'Detail-menus'!$I$4:$I$55,$A8,'Detail-menus'!$D$4:$D$55,"2022-2023")/100</f>
        <v>5.27</v>
      </c>
      <c r="C8" s="0" t="n">
        <f aca="false">SUMIFS('Detail-menus'!$O$4:$O$55,'Detail-menus'!$I$4:$I$55,$A8,'Detail-menus'!$D$4:$D$55,"2023-2024")/100</f>
        <v>3.84</v>
      </c>
      <c r="D8" s="0" t="n">
        <f aca="false">SUMIFS('Detail-menus'!$O$4:$O$55,'Detail-menus'!$I$4:$I$55,$A8,'Detail-menus'!$D$4:$D$55,"2024-2025")/100</f>
        <v>3.42</v>
      </c>
      <c r="E8" s="0" t="n">
        <f aca="false">SUM(B8:D8)</f>
        <v>12.53</v>
      </c>
      <c r="F8" s="0" t="n">
        <v>13</v>
      </c>
    </row>
    <row r="9" customFormat="false" ht="15" hidden="false" customHeight="false" outlineLevel="0" collapsed="false">
      <c r="A9" s="0" t="s">
        <v>66</v>
      </c>
      <c r="B9" s="0" t="n">
        <f aca="false">SUMIFS('Detail-menus'!$O$4:$O$55,'Detail-menus'!$I$4:$I$55,$A9,'Detail-menus'!$D$4:$D$55,"2022-2023")/100</f>
        <v>3.735</v>
      </c>
      <c r="C9" s="0" t="n">
        <f aca="false">SUMIFS('Detail-menus'!$O$4:$O$55,'Detail-menus'!$I$4:$I$55,$A9,'Detail-menus'!$D$4:$D$55,"2023-2024")/100</f>
        <v>3.4975</v>
      </c>
      <c r="D9" s="0" t="n">
        <f aca="false">SUMIFS('Detail-menus'!$O$4:$O$55,'Detail-menus'!$I$4:$I$55,$A9,'Detail-menus'!$D$4:$D$55,"2024-2025")/100</f>
        <v>3.83</v>
      </c>
      <c r="E9" s="0" t="n">
        <f aca="false">SUM(B9:D9)</f>
        <v>11.0625</v>
      </c>
      <c r="F9" s="0" t="n">
        <v>11</v>
      </c>
    </row>
    <row r="10" customFormat="false" ht="15" hidden="false" customHeight="false" outlineLevel="0" collapsed="false">
      <c r="A10" s="0" t="s">
        <v>38</v>
      </c>
      <c r="B10" s="0" t="n">
        <f aca="false">SUMIFS('Detail-menus'!$O$4:$O$55,'Detail-menus'!$I$4:$I$55,$A10,'Detail-menus'!$D$4:$D$55,"2022-2023")/100</f>
        <v>2.64595</v>
      </c>
      <c r="C10" s="0" t="n">
        <f aca="false">SUMIFS('Detail-menus'!$O$4:$O$55,'Detail-menus'!$I$4:$I$55,$A10,'Detail-menus'!$D$4:$D$55,"2023-2024")/100</f>
        <v>3.692225</v>
      </c>
      <c r="D10" s="0" t="n">
        <f aca="false">SUMIFS('Detail-menus'!$O$4:$O$55,'Detail-menus'!$I$4:$I$55,$A10,'Detail-menus'!$D$4:$D$55,"2024-2025")/100</f>
        <v>4.2538</v>
      </c>
      <c r="E10" s="0" t="n">
        <f aca="false">SUM(B10:D10)</f>
        <v>10.591975</v>
      </c>
      <c r="F10" s="0" t="n">
        <v>11</v>
      </c>
    </row>
    <row r="11" customFormat="false" ht="15" hidden="false" customHeight="false" outlineLevel="0" collapsed="false">
      <c r="A11" s="0" t="s">
        <v>61</v>
      </c>
      <c r="B11" s="0" t="n">
        <f aca="false">SUMIFS('Detail-menus'!$O$4:$O$55,'Detail-menus'!$I$4:$I$55,$A11,'Detail-menus'!$D$4:$D$55,"2022-2023")/100</f>
        <v>5.3</v>
      </c>
      <c r="C11" s="0" t="n">
        <f aca="false">SUMIFS('Detail-menus'!$O$4:$O$55,'Detail-menus'!$I$4:$I$55,$A11,'Detail-menus'!$D$4:$D$55,"2023-2024")/100</f>
        <v>0.28</v>
      </c>
      <c r="D11" s="0" t="n">
        <f aca="false">SUMIFS('Detail-menus'!$O$4:$O$55,'Detail-menus'!$I$4:$I$55,$A11,'Detail-menus'!$D$4:$D$55,"2024-2025")/100</f>
        <v>0</v>
      </c>
      <c r="E11" s="0" t="n">
        <f aca="false">SUM(B11:D11)</f>
        <v>5.58</v>
      </c>
      <c r="F11" s="0" t="n">
        <v>6</v>
      </c>
    </row>
    <row r="12" customFormat="false" ht="15" hidden="false" customHeight="false" outlineLevel="0" collapsed="false">
      <c r="A12" s="0" t="s">
        <v>83</v>
      </c>
      <c r="B12" s="0" t="n">
        <f aca="false">SUMIFS('Detail-menus'!$O$4:$O$55,'Detail-menus'!$I$4:$I$55,$A12,'Detail-menus'!$D$4:$D$55,"2022-2023")/100</f>
        <v>0</v>
      </c>
      <c r="C12" s="0" t="n">
        <f aca="false">SUMIFS('Detail-menus'!$O$4:$O$55,'Detail-menus'!$I$4:$I$55,$A12,'Detail-menus'!$D$4:$D$55,"2023-2024")/100</f>
        <v>1.745</v>
      </c>
      <c r="D12" s="0" t="n">
        <f aca="false">SUMIFS('Detail-menus'!$O$4:$O$55,'Detail-menus'!$I$4:$I$55,$A12,'Detail-menus'!$D$4:$D$55,"2024-2025")/100</f>
        <v>2.32</v>
      </c>
      <c r="E12" s="0" t="n">
        <f aca="false">SUM(B12:D12)</f>
        <v>4.065</v>
      </c>
      <c r="F12" s="0" t="n">
        <v>4</v>
      </c>
    </row>
    <row r="13" customFormat="false" ht="15" hidden="false" customHeight="false" outlineLevel="0" collapsed="false">
      <c r="A13" s="4" t="s">
        <v>128</v>
      </c>
      <c r="B13" s="4" t="n">
        <f aca="false">SUM(B4:B12)</f>
        <v>71.90195</v>
      </c>
      <c r="C13" s="4" t="n">
        <f aca="false">SUM(C4:C12)</f>
        <v>79.479725</v>
      </c>
      <c r="D13" s="4" t="n">
        <f aca="false">SUM(D4:D12)</f>
        <v>76.9238</v>
      </c>
      <c r="E13" s="4" t="n">
        <f aca="false">SUM(E4:E12)</f>
        <v>228.305475</v>
      </c>
      <c r="F13" s="4" t="n">
        <f aca="false">SUM(F4:F12)</f>
        <v>229</v>
      </c>
    </row>
    <row r="15" customFormat="false" ht="15" hidden="false" customHeight="false" outlineLevel="0" collapsed="false">
      <c r="A15" s="5" t="s">
        <v>129</v>
      </c>
    </row>
    <row r="16" customFormat="false" ht="15" hidden="false" customHeight="false" outlineLevel="0" collapsed="false">
      <c r="A16" s="5" t="s">
        <v>130</v>
      </c>
    </row>
    <row r="18" customFormat="false" ht="15" hidden="false" customHeight="false" outlineLevel="0" collapsed="false">
      <c r="A18" s="4" t="s">
        <v>131</v>
      </c>
    </row>
    <row r="19" customFormat="false" ht="15" hidden="false" customHeight="false" outlineLevel="0" collapsed="false">
      <c r="A19" s="3" t="s">
        <v>20</v>
      </c>
      <c r="B19" s="3" t="s">
        <v>132</v>
      </c>
      <c r="C19" s="3" t="s">
        <v>133</v>
      </c>
      <c r="D19" s="3" t="s">
        <v>134</v>
      </c>
      <c r="E19" s="3" t="s">
        <v>135</v>
      </c>
      <c r="F19" s="3" t="s">
        <v>136</v>
      </c>
      <c r="G19" s="3" t="s">
        <v>137</v>
      </c>
    </row>
    <row r="20" customFormat="false" ht="15" hidden="false" customHeight="false" outlineLevel="0" collapsed="false">
      <c r="A20" s="0" t="s">
        <v>43</v>
      </c>
      <c r="B20" s="0" t="n">
        <v>254</v>
      </c>
      <c r="C20" s="0" t="n">
        <v>408</v>
      </c>
      <c r="D20" s="0" t="n">
        <v>368</v>
      </c>
      <c r="E20" s="0" t="n">
        <f aca="false">SUMIFS('Detail-menus'!$F$4:$F$55,'Detail-menus'!$E$4:$E$55,$A20,'Detail-menus'!$D$4:$D$55,"2022-2023",'Detail-menus'!$G$4:$G$55,"Plat",'Detail-menus'!$K$4:$K$55,"oui")+SUMIFS('Detail-menus'!$F$4:$F$55,'Detail-menus'!$E$4:$E$55,$A20,'Detail-menus'!$D$4:$D$55,"2022-2023",'Detail-menus'!$G$4:$G$55,"Plat",'Detail-menus'!$H$4:$H$55,"Assiette du père Grégoire")+SUMIFS('Detail-menus'!$F$4:$F$55,'Detail-menus'!$E$4:$E$55,$A20,'Detail-menus'!$D$4:$D$55,"2022-2023",'Detail-menus'!$G$4:$G$55,"Dessert",'Detail-menus'!$H$4:$H$55,"Coupe Dijonnaise")+SUMIFS('Detail-menus'!$F$4:$F$55,'Detail-menus'!$E$4:$E$55,$A20,'Detail-menus'!$D$4:$D$55,"2022-2023",'Detail-menus'!$G$4:$G$55,"Plat",'Detail-menus'!$H$4:$H$55,"Poulet à la jurassienne")</f>
        <v>250</v>
      </c>
      <c r="F20" s="0" t="n">
        <f aca="false">SUMIFS('Detail-menus'!$F$4:$F$55,'Detail-menus'!$E$4:$E$55,$A20,'Detail-menus'!$D$4:$D$55,"2023-2024",'Detail-menus'!$G$4:$G$55,"Plat",'Detail-menus'!$K$4:$K$55,"oui")+SUMIFS('Detail-menus'!$F$4:$F$55,'Detail-menus'!$E$4:$E$55,$A20,'Detail-menus'!$D$4:$D$55,"2023-2024",'Detail-menus'!$G$4:$G$55,"Plat",'Detail-menus'!$H$4:$H$55,"Assiette du père Grégoire")+SUMIFS('Detail-menus'!$F$4:$F$55,'Detail-menus'!$E$4:$E$55,$A20,'Detail-menus'!$D$4:$D$55,"2023-2024",'Detail-menus'!$G$4:$G$55,"Dessert",'Detail-menus'!$H$4:$H$55,"Coupe Dijonnaise")+SUMIFS('Detail-menus'!$F$4:$F$55,'Detail-menus'!$E$4:$E$55,$A20,'Detail-menus'!$D$4:$D$55,"2023-2024",'Detail-menus'!$G$4:$G$55,"Plat",'Detail-menus'!$H$4:$H$55,"Poulet à la jurassienne")</f>
        <v>398</v>
      </c>
      <c r="G20" s="0" t="n">
        <f aca="false">SUMIFS('Detail-menus'!$F$4:$F$55,'Detail-menus'!$E$4:$E$55,$A20,'Detail-menus'!$D$4:$D$55,"2024-2025",'Detail-menus'!$G$4:$G$55,"Plat",'Detail-menus'!$K$4:$K$55,"oui")+SUMIFS('Detail-menus'!$F$4:$F$55,'Detail-menus'!$E$4:$E$55,$A20,'Detail-menus'!$D$4:$D$55,"2024-2025",'Detail-menus'!$G$4:$G$55,"Plat",'Detail-menus'!$H$4:$H$55,"Assiette du père Grégoire")+SUMIFS('Detail-menus'!$F$4:$F$55,'Detail-menus'!$E$4:$E$55,$A20,'Detail-menus'!$D$4:$D$55,"2024-2025",'Detail-menus'!$G$4:$G$55,"Dessert",'Detail-menus'!$H$4:$H$55,"Coupe Dijonnaise")+SUMIFS('Detail-menus'!$F$4:$F$55,'Detail-menus'!$E$4:$E$55,$A20,'Detail-menus'!$D$4:$D$55,"2024-2025",'Detail-menus'!$G$4:$G$55,"Plat",'Detail-menus'!$H$4:$H$55,"Poulet à la jurassienne")</f>
        <v>351</v>
      </c>
    </row>
    <row r="21" customFormat="false" ht="15" hidden="false" customHeight="false" outlineLevel="0" collapsed="false">
      <c r="A21" s="0" t="s">
        <v>35</v>
      </c>
      <c r="B21" s="0" t="n">
        <v>153</v>
      </c>
      <c r="C21" s="0" t="n">
        <v>307.5</v>
      </c>
      <c r="D21" s="0" t="n">
        <v>379</v>
      </c>
      <c r="E21" s="0" t="n">
        <f aca="false">SUMIFS('Detail-menus'!$F$4:$F$55,'Detail-menus'!$E$4:$E$55,$A21,'Detail-menus'!$D$4:$D$55,"2022-2023",'Detail-menus'!$G$4:$G$55,"Plat",'Detail-menus'!$K$4:$K$55,"oui")+SUMIFS('Detail-menus'!$F$4:$F$55,'Detail-menus'!$E$4:$E$55,$A21,'Detail-menus'!$D$4:$D$55,"2022-2023",'Detail-menus'!$G$4:$G$55,"Plat",'Detail-menus'!$H$4:$H$55,"Assiette du père Grégoire")+SUMIFS('Detail-menus'!$F$4:$F$55,'Detail-menus'!$E$4:$E$55,$A21,'Detail-menus'!$D$4:$D$55,"2022-2023",'Detail-menus'!$G$4:$G$55,"Dessert",'Detail-menus'!$H$4:$H$55,"Coupe Dijonnaise")+SUMIFS('Detail-menus'!$F$4:$F$55,'Detail-menus'!$E$4:$E$55,$A21,'Detail-menus'!$D$4:$D$55,"2022-2023",'Detail-menus'!$G$4:$G$55,"Plat",'Detail-menus'!$H$4:$H$55,"Poulet à la jurassienne")</f>
        <v>89</v>
      </c>
      <c r="F21" s="0" t="n">
        <f aca="false">SUMIFS('Detail-menus'!$F$4:$F$55,'Detail-menus'!$E$4:$E$55,$A21,'Detail-menus'!$D$4:$D$55,"2023-2024",'Detail-menus'!$G$4:$G$55,"Plat",'Detail-menus'!$K$4:$K$55,"oui")+SUMIFS('Detail-menus'!$F$4:$F$55,'Detail-menus'!$E$4:$E$55,$A21,'Detail-menus'!$D$4:$D$55,"2023-2024",'Detail-menus'!$G$4:$G$55,"Plat",'Detail-menus'!$H$4:$H$55,"Assiette du père Grégoire")+SUMIFS('Detail-menus'!$F$4:$F$55,'Detail-menus'!$E$4:$E$55,$A21,'Detail-menus'!$D$4:$D$55,"2023-2024",'Detail-menus'!$G$4:$G$55,"Dessert",'Detail-menus'!$H$4:$H$55,"Coupe Dijonnaise")+SUMIFS('Detail-menus'!$F$4:$F$55,'Detail-menus'!$E$4:$E$55,$A21,'Detail-menus'!$D$4:$D$55,"2023-2024",'Detail-menus'!$G$4:$G$55,"Plat",'Detail-menus'!$H$4:$H$55,"Poulet à la jurassienne")</f>
        <v>186.5</v>
      </c>
      <c r="G21" s="0" t="n">
        <f aca="false">SUMIFS('Detail-menus'!$F$4:$F$55,'Detail-menus'!$E$4:$E$55,$A21,'Detail-menus'!$D$4:$D$55,"2024-2025",'Detail-menus'!$G$4:$G$55,"Plat",'Detail-menus'!$K$4:$K$55,"oui")+SUMIFS('Detail-menus'!$F$4:$F$55,'Detail-menus'!$E$4:$E$55,$A21,'Detail-menus'!$D$4:$D$55,"2024-2025",'Detail-menus'!$G$4:$G$55,"Plat",'Detail-menus'!$H$4:$H$55,"Assiette du père Grégoire")+SUMIFS('Detail-menus'!$F$4:$F$55,'Detail-menus'!$E$4:$E$55,$A21,'Detail-menus'!$D$4:$D$55,"2024-2025",'Detail-menus'!$G$4:$G$55,"Dessert",'Detail-menus'!$H$4:$H$55,"Coupe Dijonnaise")+SUMIFS('Detail-menus'!$F$4:$F$55,'Detail-menus'!$E$4:$E$55,$A21,'Detail-menus'!$D$4:$D$55,"2024-2025",'Detail-menus'!$G$4:$G$55,"Plat",'Detail-menus'!$H$4:$H$55,"Poulet à la jurassienne")</f>
        <v>232</v>
      </c>
    </row>
    <row r="22" customFormat="false" ht="15" hidden="false" customHeight="false" outlineLevel="0" collapsed="false">
      <c r="A22" s="0" t="s">
        <v>54</v>
      </c>
      <c r="B22" s="0" t="n">
        <v>266</v>
      </c>
      <c r="C22" s="0" t="n">
        <v>282.5</v>
      </c>
      <c r="D22" s="0" t="n">
        <v>288</v>
      </c>
      <c r="E22" s="0" t="n">
        <f aca="false">SUMIFS('Detail-menus'!$F$4:$F$55,'Detail-menus'!$E$4:$E$55,$A22,'Detail-menus'!$D$4:$D$55,"2022-2023",'Detail-menus'!$G$4:$G$55,"Plat",'Detail-menus'!$K$4:$K$55,"oui")+SUMIFS('Detail-menus'!$F$4:$F$55,'Detail-menus'!$E$4:$E$55,$A22,'Detail-menus'!$D$4:$D$55,"2022-2023",'Detail-menus'!$G$4:$G$55,"Plat",'Detail-menus'!$H$4:$H$55,"Assiette du père Grégoire")+SUMIFS('Detail-menus'!$F$4:$F$55,'Detail-menus'!$E$4:$E$55,$A22,'Detail-menus'!$D$4:$D$55,"2022-2023",'Detail-menus'!$G$4:$G$55,"Dessert",'Detail-menus'!$H$4:$H$55,"Coupe Dijonnaise")+SUMIFS('Detail-menus'!$F$4:$F$55,'Detail-menus'!$E$4:$E$55,$A22,'Detail-menus'!$D$4:$D$55,"2022-2023",'Detail-menus'!$G$4:$G$55,"Plat",'Detail-menus'!$H$4:$H$55,"Poulet à la jurassienne")</f>
        <v>265</v>
      </c>
      <c r="F22" s="0" t="n">
        <f aca="false">SUMIFS('Detail-menus'!$F$4:$F$55,'Detail-menus'!$E$4:$E$55,$A22,'Detail-menus'!$D$4:$D$55,"2023-2024",'Detail-menus'!$G$4:$G$55,"Plat",'Detail-menus'!$K$4:$K$55,"oui")+SUMIFS('Detail-menus'!$F$4:$F$55,'Detail-menus'!$E$4:$E$55,$A22,'Detail-menus'!$D$4:$D$55,"2023-2024",'Detail-menus'!$G$4:$G$55,"Plat",'Detail-menus'!$H$4:$H$55,"Assiette du père Grégoire")+SUMIFS('Detail-menus'!$F$4:$F$55,'Detail-menus'!$E$4:$E$55,$A22,'Detail-menus'!$D$4:$D$55,"2023-2024",'Detail-menus'!$G$4:$G$55,"Dessert",'Detail-menus'!$H$4:$H$55,"Coupe Dijonnaise")+SUMIFS('Detail-menus'!$F$4:$F$55,'Detail-menus'!$E$4:$E$55,$A22,'Detail-menus'!$D$4:$D$55,"2023-2024",'Detail-menus'!$G$4:$G$55,"Plat",'Detail-menus'!$H$4:$H$55,"Poulet à la jurassienne")</f>
        <v>269.5</v>
      </c>
      <c r="G22" s="0" t="n">
        <f aca="false">SUMIFS('Detail-menus'!$F$4:$F$55,'Detail-menus'!$E$4:$E$55,$A22,'Detail-menus'!$D$4:$D$55,"2024-2025",'Detail-menus'!$G$4:$G$55,"Plat",'Detail-menus'!$K$4:$K$55,"oui")+SUMIFS('Detail-menus'!$F$4:$F$55,'Detail-menus'!$E$4:$E$55,$A22,'Detail-menus'!$D$4:$D$55,"2024-2025",'Detail-menus'!$G$4:$G$55,"Plat",'Detail-menus'!$H$4:$H$55,"Assiette du père Grégoire")+SUMIFS('Detail-menus'!$F$4:$F$55,'Detail-menus'!$E$4:$E$55,$A22,'Detail-menus'!$D$4:$D$55,"2024-2025",'Detail-menus'!$G$4:$G$55,"Dessert",'Detail-menus'!$H$4:$H$55,"Coupe Dijonnaise")+SUMIFS('Detail-menus'!$F$4:$F$55,'Detail-menus'!$E$4:$E$55,$A22,'Detail-menus'!$D$4:$D$55,"2024-2025",'Detail-menus'!$G$4:$G$55,"Plat",'Detail-menus'!$H$4:$H$55,"Poulet à la jurassienne")</f>
        <v>259</v>
      </c>
    </row>
    <row r="23" customFormat="false" ht="15" hidden="false" customHeight="false" outlineLevel="0" collapsed="false">
      <c r="A23" s="0" t="s">
        <v>63</v>
      </c>
      <c r="B23" s="0" t="n">
        <v>748</v>
      </c>
      <c r="C23" s="0" t="n">
        <v>721</v>
      </c>
      <c r="D23" s="0" t="n">
        <v>803</v>
      </c>
      <c r="E23" s="0" t="n">
        <f aca="false">SUMIFS('Detail-menus'!$F$4:$F$55,'Detail-menus'!$E$4:$E$55,$A23,'Detail-menus'!$D$4:$D$55,"2022-2023",'Detail-menus'!$G$4:$G$55,"Plat",'Detail-menus'!$K$4:$K$55,"oui")+SUMIFS('Detail-menus'!$F$4:$F$55,'Detail-menus'!$E$4:$E$55,$A23,'Detail-menus'!$D$4:$D$55,"2022-2023",'Detail-menus'!$G$4:$G$55,"Plat",'Detail-menus'!$H$4:$H$55,"Assiette du père Grégoire")+SUMIFS('Detail-menus'!$F$4:$F$55,'Detail-menus'!$E$4:$E$55,$A23,'Detail-menus'!$D$4:$D$55,"2022-2023",'Detail-menus'!$G$4:$G$55,"Dessert",'Detail-menus'!$H$4:$H$55,"Coupe Dijonnaise")+SUMIFS('Detail-menus'!$F$4:$F$55,'Detail-menus'!$E$4:$E$55,$A23,'Detail-menus'!$D$4:$D$55,"2022-2023",'Detail-menus'!$G$4:$G$55,"Plat",'Detail-menus'!$H$4:$H$55,"Poulet à la jurassienne")</f>
        <v>747</v>
      </c>
      <c r="F23" s="0" t="n">
        <f aca="false">SUMIFS('Detail-menus'!$F$4:$F$55,'Detail-menus'!$E$4:$E$55,$A23,'Detail-menus'!$D$4:$D$55,"2023-2024",'Detail-menus'!$G$4:$G$55,"Plat",'Detail-menus'!$K$4:$K$55,"oui")+SUMIFS('Detail-menus'!$F$4:$F$55,'Detail-menus'!$E$4:$E$55,$A23,'Detail-menus'!$D$4:$D$55,"2023-2024",'Detail-menus'!$G$4:$G$55,"Plat",'Detail-menus'!$H$4:$H$55,"Assiette du père Grégoire")+SUMIFS('Detail-menus'!$F$4:$F$55,'Detail-menus'!$E$4:$E$55,$A23,'Detail-menus'!$D$4:$D$55,"2023-2024",'Detail-menus'!$G$4:$G$55,"Dessert",'Detail-menus'!$H$4:$H$55,"Coupe Dijonnaise")+SUMIFS('Detail-menus'!$F$4:$F$55,'Detail-menus'!$E$4:$E$55,$A23,'Detail-menus'!$D$4:$D$55,"2023-2024",'Detail-menus'!$G$4:$G$55,"Plat",'Detail-menus'!$H$4:$H$55,"Poulet à la jurassienne")</f>
        <v>699.5</v>
      </c>
      <c r="G23" s="0" t="n">
        <f aca="false">SUMIFS('Detail-menus'!$F$4:$F$55,'Detail-menus'!$E$4:$E$55,$A23,'Detail-menus'!$D$4:$D$55,"2024-2025",'Detail-menus'!$G$4:$G$55,"Plat",'Detail-menus'!$K$4:$K$55,"oui")+SUMIFS('Detail-menus'!$F$4:$F$55,'Detail-menus'!$E$4:$E$55,$A23,'Detail-menus'!$D$4:$D$55,"2024-2025",'Detail-menus'!$G$4:$G$55,"Plat",'Detail-menus'!$H$4:$H$55,"Assiette du père Grégoire")+SUMIFS('Detail-menus'!$F$4:$F$55,'Detail-menus'!$E$4:$E$55,$A23,'Detail-menus'!$D$4:$D$55,"2024-2025",'Detail-menus'!$G$4:$G$55,"Dessert",'Detail-menus'!$H$4:$H$55,"Coupe Dijonnaise")+SUMIFS('Detail-menus'!$F$4:$F$55,'Detail-menus'!$E$4:$E$55,$A23,'Detail-menus'!$D$4:$D$55,"2024-2025",'Detail-menus'!$G$4:$G$55,"Plat",'Detail-menus'!$H$4:$H$55,"Poulet à la jurassienne")</f>
        <v>766</v>
      </c>
    </row>
    <row r="24" customFormat="false" ht="15" hidden="false" customHeight="false" outlineLevel="0" collapsed="false">
      <c r="A24" s="0" t="s">
        <v>48</v>
      </c>
      <c r="B24" s="0" t="n">
        <v>263.5</v>
      </c>
      <c r="C24" s="0" t="n">
        <v>195</v>
      </c>
      <c r="D24" s="0" t="n">
        <v>192</v>
      </c>
      <c r="E24" s="0" t="n">
        <f aca="false">SUMIFS('Detail-menus'!$F$4:$F$55,'Detail-menus'!$E$4:$E$55,$A24,'Detail-menus'!$D$4:$D$55,"2022-2023",'Detail-menus'!$G$4:$G$55,"Plat",'Detail-menus'!$K$4:$K$55,"oui")+SUMIFS('Detail-menus'!$F$4:$F$55,'Detail-menus'!$E$4:$E$55,$A24,'Detail-menus'!$D$4:$D$55,"2022-2023",'Detail-menus'!$G$4:$G$55,"Plat",'Detail-menus'!$H$4:$H$55,"Assiette du père Grégoire")+SUMIFS('Detail-menus'!$F$4:$F$55,'Detail-menus'!$E$4:$E$55,$A24,'Detail-menus'!$D$4:$D$55,"2022-2023",'Detail-menus'!$G$4:$G$55,"Dessert",'Detail-menus'!$H$4:$H$55,"Coupe Dijonnaise")+SUMIFS('Detail-menus'!$F$4:$F$55,'Detail-menus'!$E$4:$E$55,$A24,'Detail-menus'!$D$4:$D$55,"2022-2023",'Detail-menus'!$G$4:$G$55,"Plat",'Detail-menus'!$H$4:$H$55,"Poulet à la jurassienne")</f>
        <v>263.5</v>
      </c>
      <c r="F24" s="0" t="n">
        <f aca="false">SUMIFS('Detail-menus'!$F$4:$F$55,'Detail-menus'!$E$4:$E$55,$A24,'Detail-menus'!$D$4:$D$55,"2023-2024",'Detail-menus'!$G$4:$G$55,"Plat",'Detail-menus'!$K$4:$K$55,"oui")+SUMIFS('Detail-menus'!$F$4:$F$55,'Detail-menus'!$E$4:$E$55,$A24,'Detail-menus'!$D$4:$D$55,"2023-2024",'Detail-menus'!$G$4:$G$55,"Plat",'Detail-menus'!$H$4:$H$55,"Assiette du père Grégoire")+SUMIFS('Detail-menus'!$F$4:$F$55,'Detail-menus'!$E$4:$E$55,$A24,'Detail-menus'!$D$4:$D$55,"2023-2024",'Detail-menus'!$G$4:$G$55,"Dessert",'Detail-menus'!$H$4:$H$55,"Coupe Dijonnaise")+SUMIFS('Detail-menus'!$F$4:$F$55,'Detail-menus'!$E$4:$E$55,$A24,'Detail-menus'!$D$4:$D$55,"2023-2024",'Detail-menus'!$G$4:$G$55,"Plat",'Detail-menus'!$H$4:$H$55,"Poulet à la jurassienne")</f>
        <v>192</v>
      </c>
      <c r="G24" s="0" t="n">
        <f aca="false">SUMIFS('Detail-menus'!$F$4:$F$55,'Detail-menus'!$E$4:$E$55,$A24,'Detail-menus'!$D$4:$D$55,"2024-2025",'Detail-menus'!$G$4:$G$55,"Plat",'Detail-menus'!$K$4:$K$55,"oui")+SUMIFS('Detail-menus'!$F$4:$F$55,'Detail-menus'!$E$4:$E$55,$A24,'Detail-menus'!$D$4:$D$55,"2024-2025",'Detail-menus'!$G$4:$G$55,"Plat",'Detail-menus'!$H$4:$H$55,"Assiette du père Grégoire")+SUMIFS('Detail-menus'!$F$4:$F$55,'Detail-menus'!$E$4:$E$55,$A24,'Detail-menus'!$D$4:$D$55,"2024-2025",'Detail-menus'!$G$4:$G$55,"Dessert",'Detail-menus'!$H$4:$H$55,"Coupe Dijonnaise")+SUMIFS('Detail-menus'!$F$4:$F$55,'Detail-menus'!$E$4:$E$55,$A24,'Detail-menus'!$D$4:$D$55,"2024-2025",'Detail-menus'!$G$4:$G$55,"Plat",'Detail-menus'!$H$4:$H$55,"Poulet à la jurassienne")</f>
        <v>171</v>
      </c>
    </row>
    <row r="26" customFormat="false" ht="15" hidden="false" customHeight="false" outlineLevel="0" collapsed="false">
      <c r="A26" s="5" t="s">
        <v>138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4" min="2" style="0" width="12"/>
    <col collapsed="false" customWidth="true" hidden="false" outlineLevel="0" max="5" min="5" style="0" width="16"/>
    <col collapsed="false" customWidth="true" hidden="false" outlineLevel="0" max="7" min="6" style="0" width="10"/>
    <col collapsed="false" customWidth="true" hidden="false" outlineLevel="0" max="8" min="8" style="0" width="12"/>
    <col collapsed="false" customWidth="true" hidden="false" outlineLevel="0" max="9" min="9" style="0" width="110"/>
  </cols>
  <sheetData>
    <row r="1" customFormat="false" ht="15" hidden="false" customHeight="false" outlineLevel="0" collapsed="false">
      <c r="A1" s="1" t="s">
        <v>139</v>
      </c>
    </row>
    <row r="3" customFormat="false" ht="41.75" hidden="false" customHeight="false" outlineLevel="0" collapsed="false">
      <c r="A3" s="3" t="s">
        <v>23</v>
      </c>
      <c r="B3" s="3" t="s">
        <v>140</v>
      </c>
      <c r="C3" s="3" t="s">
        <v>141</v>
      </c>
      <c r="D3" s="3" t="s">
        <v>142</v>
      </c>
      <c r="E3" s="3" t="s">
        <v>143</v>
      </c>
      <c r="F3" s="3" t="s">
        <v>144</v>
      </c>
      <c r="G3" s="3" t="s">
        <v>145</v>
      </c>
      <c r="H3" s="3" t="s">
        <v>146</v>
      </c>
      <c r="I3" s="3" t="s">
        <v>147</v>
      </c>
    </row>
    <row r="4" customFormat="false" ht="15" hidden="false" customHeight="false" outlineLevel="0" collapsed="false">
      <c r="A4" s="0" t="s">
        <v>46</v>
      </c>
      <c r="B4" s="0" t="n">
        <f aca="false">ROUND('228L-par-exercice'!B4,2)</f>
        <v>25</v>
      </c>
      <c r="C4" s="0" t="n">
        <f aca="false">ROUND('228L-par-exercice'!C4,2)</f>
        <v>39.8</v>
      </c>
      <c r="D4" s="0" t="n">
        <f aca="false">ROUND('228L-par-exercice'!D4,2)</f>
        <v>35.1</v>
      </c>
      <c r="E4" s="0" t="n">
        <v>162.32</v>
      </c>
      <c r="F4" s="0" t="n">
        <v>162.57</v>
      </c>
      <c r="G4" s="0" t="n">
        <v>155.54</v>
      </c>
      <c r="I4" s="0" t="s">
        <v>148</v>
      </c>
    </row>
    <row r="5" customFormat="false" ht="15" hidden="false" customHeight="false" outlineLevel="0" collapsed="false">
      <c r="A5" s="0" t="s">
        <v>70</v>
      </c>
      <c r="B5" s="0" t="n">
        <f aca="false">ROUND('228L-par-exercice'!B5,2)</f>
        <v>24.65</v>
      </c>
      <c r="C5" s="0" t="n">
        <f aca="false">ROUND('228L-par-exercice'!C5,2)</f>
        <v>14.38</v>
      </c>
      <c r="D5" s="0" t="n">
        <f aca="false">ROUND('228L-par-exercice'!D5,2)</f>
        <v>15.32</v>
      </c>
      <c r="E5" s="0" t="n">
        <v>77.74</v>
      </c>
      <c r="F5" s="0" t="n">
        <v>88.32</v>
      </c>
      <c r="G5" s="0" t="n">
        <v>74.06</v>
      </c>
      <c r="I5" s="0" t="s">
        <v>149</v>
      </c>
    </row>
    <row r="6" customFormat="false" ht="15" hidden="false" customHeight="false" outlineLevel="0" collapsed="false">
      <c r="A6" s="0" t="s">
        <v>66</v>
      </c>
      <c r="B6" s="0" t="n">
        <f aca="false">ROUND('228L-par-exercice'!B9,2)</f>
        <v>3.74</v>
      </c>
      <c r="C6" s="0" t="n">
        <f aca="false">ROUND('228L-par-exercice'!C9,2)</f>
        <v>3.5</v>
      </c>
      <c r="D6" s="0" t="n">
        <f aca="false">ROUND('228L-par-exercice'!D9,2)</f>
        <v>3.83</v>
      </c>
      <c r="E6" s="0" t="n">
        <v>37.17</v>
      </c>
      <c r="F6" s="0" t="n">
        <v>36.93</v>
      </c>
      <c r="G6" s="0" t="n">
        <v>37.48</v>
      </c>
      <c r="I6" s="0" t="s">
        <v>150</v>
      </c>
    </row>
    <row r="7" customFormat="false" ht="15" hidden="false" customHeight="false" outlineLevel="0" collapsed="false">
      <c r="A7" s="0" t="s">
        <v>51</v>
      </c>
      <c r="B7" s="0" t="n">
        <f aca="false">ROUND('228L-par-exercice'!B8,2)</f>
        <v>5.27</v>
      </c>
      <c r="C7" s="0" t="n">
        <f aca="false">ROUND('228L-par-exercice'!C8,2)</f>
        <v>3.84</v>
      </c>
      <c r="D7" s="0" t="n">
        <f aca="false">ROUND('228L-par-exercice'!D8,2)</f>
        <v>3.42</v>
      </c>
      <c r="E7" s="0" t="n">
        <v>33.1</v>
      </c>
      <c r="F7" s="0" t="n">
        <v>30.02</v>
      </c>
      <c r="G7" s="0" t="n">
        <v>30.05</v>
      </c>
      <c r="I7" s="0" t="s">
        <v>151</v>
      </c>
    </row>
    <row r="8" customFormat="false" ht="15" hidden="false" customHeight="false" outlineLevel="0" collapsed="false">
      <c r="A8" s="0" t="s">
        <v>38</v>
      </c>
      <c r="B8" s="0" t="n">
        <f aca="false">ROUND('228L-par-exercice'!B10,2)</f>
        <v>2.65</v>
      </c>
      <c r="C8" s="0" t="n">
        <f aca="false">ROUND('228L-par-exercice'!C10,2)</f>
        <v>3.69</v>
      </c>
      <c r="D8" s="0" t="n">
        <f aca="false">ROUND('228L-par-exercice'!D10,2)</f>
        <v>4.25</v>
      </c>
      <c r="E8" s="0" t="n">
        <v>3.98</v>
      </c>
      <c r="F8" s="0" t="n">
        <v>5.83</v>
      </c>
      <c r="G8" s="0" t="n">
        <v>5.56</v>
      </c>
      <c r="I8" s="0" t="s">
        <v>152</v>
      </c>
    </row>
    <row r="9" customFormat="false" ht="15" hidden="false" customHeight="false" outlineLevel="0" collapsed="false">
      <c r="A9" s="0" t="s">
        <v>153</v>
      </c>
      <c r="B9" s="0" t="n">
        <f aca="false">ROUND('228L-par-exercice'!B6,2)</f>
        <v>5.3</v>
      </c>
      <c r="C9" s="0" t="n">
        <f aca="false">ROUND('228L-par-exercice'!C6,2)</f>
        <v>5.39</v>
      </c>
      <c r="D9" s="0" t="n">
        <f aca="false">ROUND('228L-par-exercice'!D6,2)</f>
        <v>5.18</v>
      </c>
      <c r="E9" s="0" t="n">
        <v>10.64</v>
      </c>
      <c r="F9" s="0" t="n">
        <v>11.32</v>
      </c>
      <c r="G9" s="0" t="n">
        <v>11.32</v>
      </c>
      <c r="I9" s="0" t="s">
        <v>154</v>
      </c>
    </row>
    <row r="10" customFormat="false" ht="15" hidden="false" customHeight="false" outlineLevel="0" collapsed="false">
      <c r="A10" s="0" t="s">
        <v>155</v>
      </c>
      <c r="B10" s="0" t="n">
        <f aca="false">ROUND('228L-par-exercice'!B7,2)</f>
        <v>0</v>
      </c>
      <c r="C10" s="0" t="n">
        <f aca="false">ROUND('228L-par-exercice'!C7,2)</f>
        <v>6.86</v>
      </c>
      <c r="D10" s="0" t="n">
        <f aca="false">ROUND('228L-par-exercice'!D7,2)</f>
        <v>7.5</v>
      </c>
      <c r="E10" s="0" t="n">
        <v>0</v>
      </c>
      <c r="F10" s="0" t="n">
        <v>0</v>
      </c>
      <c r="G10" s="0" t="n">
        <v>0</v>
      </c>
      <c r="I10" s="0" t="s">
        <v>156</v>
      </c>
    </row>
    <row r="11" customFormat="false" ht="15" hidden="false" customHeight="false" outlineLevel="0" collapsed="false">
      <c r="A11" s="0" t="s">
        <v>157</v>
      </c>
      <c r="B11" s="0" t="n">
        <f aca="false">ROUND('228L-par-exercice'!B11,2)</f>
        <v>5.3</v>
      </c>
      <c r="C11" s="0" t="n">
        <f aca="false">ROUND('228L-par-exercice'!C11,2)</f>
        <v>0.28</v>
      </c>
      <c r="D11" s="0" t="n">
        <f aca="false">ROUND('228L-par-exercice'!D11,2)</f>
        <v>0</v>
      </c>
      <c r="E11" s="0" t="n">
        <v>0</v>
      </c>
      <c r="F11" s="0" t="n">
        <v>0</v>
      </c>
      <c r="G11" s="0" t="n">
        <v>0</v>
      </c>
      <c r="H11" s="0" t="n">
        <v>2.1</v>
      </c>
      <c r="I11" s="0" t="s">
        <v>158</v>
      </c>
    </row>
    <row r="12" customFormat="false" ht="15" hidden="false" customHeight="false" outlineLevel="0" collapsed="false">
      <c r="A12" s="0" t="s">
        <v>159</v>
      </c>
      <c r="B12" s="0" t="n">
        <f aca="false">ROUND('228L-par-exercice'!B12,2)</f>
        <v>0</v>
      </c>
      <c r="C12" s="0" t="n">
        <f aca="false">ROUND('228L-par-exercice'!C12,2)</f>
        <v>1.75</v>
      </c>
      <c r="D12" s="0" t="n">
        <f aca="false">ROUND('228L-par-exercice'!D12,2)</f>
        <v>2.32</v>
      </c>
      <c r="E12" s="0" t="n">
        <v>0</v>
      </c>
      <c r="F12" s="0" t="n">
        <v>0</v>
      </c>
      <c r="G12" s="0" t="n">
        <v>0</v>
      </c>
      <c r="I12" s="0" t="s">
        <v>160</v>
      </c>
    </row>
    <row r="14" customFormat="false" ht="15" hidden="false" customHeight="false" outlineLevel="0" collapsed="false">
      <c r="A14" s="5" t="s">
        <v>161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8"/>
    <col collapsed="false" customWidth="true" hidden="false" outlineLevel="0" max="4" min="3" style="0" width="12"/>
    <col collapsed="false" customWidth="true" hidden="false" outlineLevel="0" max="5" min="5" style="0" width="18"/>
  </cols>
  <sheetData>
    <row r="1" customFormat="false" ht="15" hidden="false" customHeight="false" outlineLevel="0" collapsed="false">
      <c r="A1" s="1" t="s">
        <v>162</v>
      </c>
    </row>
    <row r="3" customFormat="false" ht="28.35" hidden="false" customHeight="false" outlineLevel="0" collapsed="false">
      <c r="A3" s="3" t="s">
        <v>23</v>
      </c>
      <c r="B3" s="3" t="s">
        <v>163</v>
      </c>
      <c r="C3" s="3" t="s">
        <v>144</v>
      </c>
      <c r="D3" s="3" t="s">
        <v>145</v>
      </c>
      <c r="E3" s="3" t="s">
        <v>164</v>
      </c>
    </row>
    <row r="4" customFormat="false" ht="15" hidden="false" customHeight="false" outlineLevel="0" collapsed="false">
      <c r="A4" s="0" t="s">
        <v>46</v>
      </c>
      <c r="B4" s="0" t="n">
        <f aca="false">MAX(0,Sources!B4-Sources!E4)</f>
        <v>0</v>
      </c>
      <c r="C4" s="0" t="n">
        <f aca="false">MAX(0,Sources!C4-Sources!F4)</f>
        <v>0</v>
      </c>
      <c r="D4" s="0" t="n">
        <f aca="false">MAX(0,Sources!D4-Sources!G4)</f>
        <v>0</v>
      </c>
      <c r="E4" s="0" t="n">
        <f aca="false">SUM(B4:D4)</f>
        <v>0</v>
      </c>
    </row>
    <row r="5" customFormat="false" ht="15" hidden="false" customHeight="false" outlineLevel="0" collapsed="false">
      <c r="A5" s="0" t="s">
        <v>70</v>
      </c>
      <c r="B5" s="0" t="n">
        <f aca="false">MAX(0,Sources!B5-Sources!E5)</f>
        <v>0</v>
      </c>
      <c r="C5" s="0" t="n">
        <f aca="false">MAX(0,Sources!C5-Sources!F5)</f>
        <v>0</v>
      </c>
      <c r="D5" s="0" t="n">
        <f aca="false">MAX(0,Sources!D5-Sources!G5)</f>
        <v>0</v>
      </c>
      <c r="E5" s="0" t="n">
        <f aca="false">SUM(B5:D5)</f>
        <v>0</v>
      </c>
    </row>
    <row r="6" customFormat="false" ht="15" hidden="false" customHeight="false" outlineLevel="0" collapsed="false">
      <c r="A6" s="0" t="s">
        <v>66</v>
      </c>
      <c r="B6" s="0" t="n">
        <f aca="false">MAX(0,Sources!B6-Sources!E6)</f>
        <v>0</v>
      </c>
      <c r="C6" s="0" t="n">
        <f aca="false">MAX(0,Sources!C6-Sources!F6)</f>
        <v>0</v>
      </c>
      <c r="D6" s="0" t="n">
        <f aca="false">MAX(0,Sources!D6-Sources!G6)</f>
        <v>0</v>
      </c>
      <c r="E6" s="0" t="n">
        <f aca="false">SUM(B6:D6)</f>
        <v>0</v>
      </c>
    </row>
    <row r="7" customFormat="false" ht="15" hidden="false" customHeight="false" outlineLevel="0" collapsed="false">
      <c r="A7" s="0" t="s">
        <v>51</v>
      </c>
      <c r="B7" s="0" t="n">
        <f aca="false">MAX(0,Sources!B7-Sources!E7)</f>
        <v>0</v>
      </c>
      <c r="C7" s="0" t="n">
        <f aca="false">MAX(0,Sources!C7-Sources!F7)</f>
        <v>0</v>
      </c>
      <c r="D7" s="0" t="n">
        <f aca="false">MAX(0,Sources!D7-Sources!G7)</f>
        <v>0</v>
      </c>
      <c r="E7" s="0" t="n">
        <f aca="false">SUM(B7:D7)</f>
        <v>0</v>
      </c>
    </row>
    <row r="8" customFormat="false" ht="15" hidden="false" customHeight="false" outlineLevel="0" collapsed="false">
      <c r="A8" s="0" t="s">
        <v>38</v>
      </c>
      <c r="B8" s="0" t="n">
        <f aca="false">MAX(0,Sources!B8-Sources!E8)</f>
        <v>0</v>
      </c>
      <c r="C8" s="0" t="n">
        <f aca="false">MAX(0,Sources!C8-Sources!F8)</f>
        <v>0</v>
      </c>
      <c r="D8" s="0" t="n">
        <f aca="false">MAX(0,Sources!D8-Sources!G8)</f>
        <v>0</v>
      </c>
      <c r="E8" s="0" t="n">
        <f aca="false">SUM(B8:D8)</f>
        <v>0</v>
      </c>
    </row>
    <row r="9" customFormat="false" ht="15" hidden="false" customHeight="false" outlineLevel="0" collapsed="false">
      <c r="A9" s="0" t="s">
        <v>153</v>
      </c>
      <c r="B9" s="0" t="n">
        <f aca="false">MAX(0,Sources!B9-Sources!E9)</f>
        <v>0</v>
      </c>
      <c r="C9" s="0" t="n">
        <f aca="false">MAX(0,Sources!C9-Sources!F9)</f>
        <v>0</v>
      </c>
      <c r="D9" s="0" t="n">
        <f aca="false">MAX(0,Sources!D9-Sources!G9)</f>
        <v>0</v>
      </c>
      <c r="E9" s="0" t="n">
        <f aca="false">SUM(B9:D9)</f>
        <v>0</v>
      </c>
    </row>
    <row r="10" customFormat="false" ht="15" hidden="false" customHeight="false" outlineLevel="0" collapsed="false">
      <c r="A10" s="0" t="s">
        <v>155</v>
      </c>
      <c r="B10" s="0" t="n">
        <f aca="false">MAX(0,Sources!B10-Sources!E10)</f>
        <v>0</v>
      </c>
      <c r="C10" s="0" t="n">
        <f aca="false">MAX(0,Sources!C10-Sources!F10)</f>
        <v>6.86</v>
      </c>
      <c r="D10" s="0" t="n">
        <f aca="false">MAX(0,Sources!D10-Sources!G10)</f>
        <v>7.5</v>
      </c>
      <c r="E10" s="0" t="n">
        <f aca="false">SUM(B10:D10)</f>
        <v>14.36</v>
      </c>
    </row>
    <row r="11" customFormat="false" ht="15" hidden="false" customHeight="false" outlineLevel="0" collapsed="false">
      <c r="A11" s="0" t="s">
        <v>157</v>
      </c>
      <c r="B11" s="0" t="n">
        <f aca="false">MIN(MAX(0,Sources!B11-Sources!E11),Sources!$H$11-0)</f>
        <v>2.1</v>
      </c>
      <c r="C11" s="0" t="n">
        <f aca="false">MIN(MAX(0,Sources!C11-Sources!F11),Sources!$H$11-SUM($B11:B11))</f>
        <v>0</v>
      </c>
      <c r="D11" s="0" t="n">
        <f aca="false">MIN(MAX(0,Sources!D11-Sources!G11),Sources!$H$11-SUM($B11:C11))</f>
        <v>0</v>
      </c>
      <c r="E11" s="0" t="n">
        <f aca="false">SUM(B11:D11)</f>
        <v>2.1</v>
      </c>
    </row>
    <row r="12" customFormat="false" ht="15" hidden="false" customHeight="false" outlineLevel="0" collapsed="false">
      <c r="A12" s="0" t="s">
        <v>159</v>
      </c>
      <c r="B12" s="0" t="n">
        <f aca="false">MAX(0,Sources!B12-Sources!E12)</f>
        <v>0</v>
      </c>
      <c r="C12" s="0" t="n">
        <f aca="false">MAX(0,Sources!C12-Sources!F12)</f>
        <v>1.75</v>
      </c>
      <c r="D12" s="0" t="n">
        <f aca="false">MAX(0,Sources!D12-Sources!G12)</f>
        <v>2.32</v>
      </c>
      <c r="E12" s="0" t="n">
        <f aca="false">SUM(B12:D12)</f>
        <v>4.07</v>
      </c>
    </row>
    <row r="13" customFormat="false" ht="15" hidden="false" customHeight="false" outlineLevel="0" collapsed="false">
      <c r="A13" s="4" t="s">
        <v>128</v>
      </c>
      <c r="B13" s="4" t="n">
        <f aca="false">SUM(B4:B12)</f>
        <v>2.1</v>
      </c>
      <c r="C13" s="4" t="n">
        <f aca="false">SUM(C4:C12)</f>
        <v>8.61</v>
      </c>
      <c r="D13" s="4" t="n">
        <f aca="false">SUM(D4:D12)</f>
        <v>9.82</v>
      </c>
      <c r="E13" s="4" t="n">
        <f aca="false">SUM(E4:E12)</f>
        <v>20.53</v>
      </c>
    </row>
    <row r="15" customFormat="false" ht="15" hidden="false" customHeight="false" outlineLevel="0" collapsed="false">
      <c r="A15" s="5" t="s">
        <v>165</v>
      </c>
    </row>
    <row r="16" customFormat="false" ht="15" hidden="false" customHeight="false" outlineLevel="0" collapsed="false">
      <c r="A16" s="5" t="s">
        <v>166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
    <col collapsed="false" customWidth="true" hidden="false" outlineLevel="0" max="3" min="3" style="0" width="16"/>
    <col collapsed="false" customWidth="true" hidden="false" outlineLevel="0" max="4" min="4" style="0" width="10"/>
    <col collapsed="false" customWidth="true" hidden="false" outlineLevel="0" max="8" min="5" style="0" width="16"/>
    <col collapsed="false" customWidth="true" hidden="false" outlineLevel="0" max="9" min="9" style="0" width="70"/>
  </cols>
  <sheetData>
    <row r="1" customFormat="false" ht="15" hidden="false" customHeight="false" outlineLevel="0" collapsed="false">
      <c r="A1" s="1" t="s">
        <v>167</v>
      </c>
    </row>
    <row r="3" customFormat="false" ht="41.75" hidden="false" customHeight="false" outlineLevel="0" collapsed="false">
      <c r="A3" s="3" t="s">
        <v>23</v>
      </c>
      <c r="B3" s="3" t="s">
        <v>91</v>
      </c>
      <c r="C3" s="3" t="s">
        <v>168</v>
      </c>
      <c r="D3" s="3" t="s">
        <v>169</v>
      </c>
      <c r="E3" s="3" t="s">
        <v>170</v>
      </c>
      <c r="F3" s="3" t="s">
        <v>171</v>
      </c>
      <c r="G3" s="3" t="s">
        <v>172</v>
      </c>
      <c r="H3" s="3" t="s">
        <v>173</v>
      </c>
      <c r="I3" s="3" t="s">
        <v>174</v>
      </c>
    </row>
    <row r="4" customFormat="false" ht="15" hidden="false" customHeight="false" outlineLevel="0" collapsed="false">
      <c r="A4" s="0" t="s">
        <v>155</v>
      </c>
      <c r="B4" s="0" t="s">
        <v>175</v>
      </c>
      <c r="C4" s="0" t="n">
        <f aca="false">Calcul!C10*100</f>
        <v>686</v>
      </c>
      <c r="D4" s="0" t="n">
        <v>4</v>
      </c>
      <c r="E4" s="0" t="n">
        <v>5.2</v>
      </c>
      <c r="F4" s="0" t="n">
        <f aca="false">C4/D4*E4</f>
        <v>891.8</v>
      </c>
      <c r="G4" s="0" t="n">
        <v>5</v>
      </c>
      <c r="H4" s="0" t="n">
        <f aca="false">C4/D4*G4</f>
        <v>857.5</v>
      </c>
      <c r="I4" s="0" t="s">
        <v>176</v>
      </c>
    </row>
    <row r="5" customFormat="false" ht="15" hidden="false" customHeight="false" outlineLevel="0" collapsed="false">
      <c r="A5" s="0" t="s">
        <v>155</v>
      </c>
      <c r="B5" s="0" t="s">
        <v>177</v>
      </c>
      <c r="C5" s="0" t="n">
        <f aca="false">Calcul!D10*100</f>
        <v>750</v>
      </c>
      <c r="D5" s="0" t="n">
        <v>4</v>
      </c>
      <c r="E5" s="0" t="n">
        <v>5.2</v>
      </c>
      <c r="F5" s="0" t="n">
        <f aca="false">C5/D5*E5</f>
        <v>975</v>
      </c>
      <c r="G5" s="0" t="n">
        <v>6.5</v>
      </c>
      <c r="H5" s="0" t="n">
        <f aca="false">C5/D5*G5</f>
        <v>1218.75</v>
      </c>
      <c r="I5" s="0" t="s">
        <v>178</v>
      </c>
    </row>
    <row r="6" customFormat="false" ht="15" hidden="false" customHeight="false" outlineLevel="0" collapsed="false">
      <c r="A6" s="0" t="s">
        <v>83</v>
      </c>
      <c r="B6" s="0" t="s">
        <v>175</v>
      </c>
      <c r="C6" s="0" t="n">
        <f aca="false">Calcul!C12*100</f>
        <v>175</v>
      </c>
      <c r="D6" s="0" t="n">
        <v>4</v>
      </c>
      <c r="E6" s="0" t="n">
        <v>5.2</v>
      </c>
      <c r="F6" s="0" t="n">
        <f aca="false">C6/D6*E6</f>
        <v>227.5</v>
      </c>
      <c r="G6" s="0" t="n">
        <v>5.63</v>
      </c>
      <c r="H6" s="0" t="n">
        <f aca="false">C6/D6*G6</f>
        <v>246.3125</v>
      </c>
      <c r="I6" s="0" t="s">
        <v>179</v>
      </c>
    </row>
    <row r="7" customFormat="false" ht="15" hidden="false" customHeight="false" outlineLevel="0" collapsed="false">
      <c r="A7" s="0" t="s">
        <v>83</v>
      </c>
      <c r="B7" s="0" t="s">
        <v>177</v>
      </c>
      <c r="C7" s="0" t="n">
        <f aca="false">Calcul!D12*100</f>
        <v>232</v>
      </c>
      <c r="D7" s="0" t="n">
        <v>4</v>
      </c>
      <c r="E7" s="0" t="n">
        <v>5.2</v>
      </c>
      <c r="F7" s="0" t="n">
        <f aca="false">C7/D7*E7</f>
        <v>301.6</v>
      </c>
      <c r="G7" s="0" t="n">
        <v>6.5</v>
      </c>
      <c r="H7" s="0" t="n">
        <f aca="false">C7/D7*G7</f>
        <v>377</v>
      </c>
      <c r="I7" s="0" t="s">
        <v>180</v>
      </c>
    </row>
    <row r="8" customFormat="false" ht="15" hidden="false" customHeight="false" outlineLevel="0" collapsed="false">
      <c r="A8" s="0" t="s">
        <v>181</v>
      </c>
      <c r="B8" s="0" t="s">
        <v>182</v>
      </c>
      <c r="C8" s="0" t="n">
        <f aca="false">Calcul!B11*100</f>
        <v>210</v>
      </c>
      <c r="D8" s="0" t="n">
        <v>4</v>
      </c>
      <c r="E8" s="0" t="n">
        <v>6.5</v>
      </c>
      <c r="F8" s="0" t="n">
        <f aca="false">C8/D8*E8</f>
        <v>341.25</v>
      </c>
      <c r="G8" s="0" t="n">
        <v>6.5</v>
      </c>
      <c r="H8" s="0" t="n">
        <f aca="false">C8/D8*G8</f>
        <v>341.25</v>
      </c>
      <c r="I8" s="0" t="s">
        <v>183</v>
      </c>
    </row>
    <row r="9" customFormat="false" ht="15" hidden="false" customHeight="false" outlineLevel="0" collapsed="false">
      <c r="A9" s="4" t="s">
        <v>128</v>
      </c>
      <c r="C9" s="4" t="n">
        <f aca="false">SUM(C4:C8)</f>
        <v>2053</v>
      </c>
      <c r="F9" s="4" t="n">
        <f aca="false">SUM(F4:F8)</f>
        <v>2737.15</v>
      </c>
      <c r="H9" s="4" t="n">
        <f aca="false">SUM(H4:H8)</f>
        <v>3040.8125</v>
      </c>
    </row>
    <row r="10" customFormat="false" ht="15" hidden="false" customHeight="false" outlineLevel="0" collapsed="false">
      <c r="A10" s="0" t="s">
        <v>184</v>
      </c>
    </row>
    <row r="11" customFormat="false" ht="15" hidden="false" customHeight="false" outlineLevel="0" collapsed="false">
      <c r="A11" s="0" t="s">
        <v>155</v>
      </c>
      <c r="F11" s="0" t="n">
        <f aca="false">F4+F5</f>
        <v>1866.8</v>
      </c>
    </row>
    <row r="12" customFormat="false" ht="15" hidden="false" customHeight="false" outlineLevel="0" collapsed="false">
      <c r="A12" s="0" t="s">
        <v>83</v>
      </c>
      <c r="F12" s="0" t="n">
        <f aca="false">F6+F7</f>
        <v>529.1</v>
      </c>
    </row>
    <row r="13" customFormat="false" ht="15" hidden="false" customHeight="false" outlineLevel="0" collapsed="false">
      <c r="A13" s="0" t="s">
        <v>181</v>
      </c>
      <c r="F13" s="0" t="n">
        <f aca="false">F8</f>
        <v>341.25</v>
      </c>
    </row>
    <row r="15" customFormat="false" ht="15" hidden="false" customHeight="false" outlineLevel="0" collapsed="false">
      <c r="A15" s="5" t="s">
        <v>185</v>
      </c>
    </row>
    <row r="16" customFormat="false" ht="15" hidden="false" customHeight="false" outlineLevel="0" collapsed="false">
      <c r="A16" s="5" t="s">
        <v>186</v>
      </c>
    </row>
    <row r="17" customFormat="false" ht="15" hidden="false" customHeight="false" outlineLevel="0" collapsed="false">
      <c r="A17" s="0" t="s">
        <v>187</v>
      </c>
      <c r="F17" s="4" t="n">
        <f aca="false">F8*3.94+(F4+F6)*4.02+(F5+F7)*4.1</f>
        <v>11078.171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1"/>
    <col collapsed="false" customWidth="true" hidden="false" outlineLevel="0" max="3" min="3" style="0" width="8"/>
    <col collapsed="false" customWidth="true" hidden="false" outlineLevel="0" max="4" min="4" style="0" width="12"/>
    <col collapsed="false" customWidth="true" hidden="false" outlineLevel="0" max="7" min="5" style="0" width="14"/>
    <col collapsed="false" customWidth="true" hidden="false" outlineLevel="0" max="8" min="8" style="0" width="10"/>
    <col collapsed="false" customWidth="true" hidden="false" outlineLevel="0" max="9" min="9" style="0" width="12"/>
    <col collapsed="false" customWidth="true" hidden="false" outlineLevel="0" max="13" min="10" style="0" width="16"/>
  </cols>
  <sheetData>
    <row r="1" customFormat="false" ht="15" hidden="false" customHeight="false" outlineLevel="0" collapsed="false">
      <c r="A1" s="1" t="s">
        <v>188</v>
      </c>
    </row>
    <row r="3" customFormat="false" ht="55.2" hidden="false" customHeight="false" outlineLevel="0" collapsed="false">
      <c r="A3" s="3" t="s">
        <v>189</v>
      </c>
      <c r="B3" s="3" t="s">
        <v>91</v>
      </c>
      <c r="C3" s="3" t="s">
        <v>190</v>
      </c>
      <c r="D3" s="3" t="s">
        <v>191</v>
      </c>
      <c r="E3" s="3" t="s">
        <v>192</v>
      </c>
      <c r="F3" s="3" t="s">
        <v>193</v>
      </c>
      <c r="G3" s="3" t="s">
        <v>194</v>
      </c>
      <c r="H3" s="3" t="s">
        <v>195</v>
      </c>
      <c r="I3" s="3" t="s">
        <v>196</v>
      </c>
      <c r="J3" s="3" t="s">
        <v>197</v>
      </c>
      <c r="K3" s="3" t="s">
        <v>198</v>
      </c>
      <c r="L3" s="3" t="s">
        <v>199</v>
      </c>
      <c r="M3" s="3" t="s">
        <v>200</v>
      </c>
    </row>
    <row r="4" customFormat="false" ht="15" hidden="false" customHeight="false" outlineLevel="0" collapsed="false">
      <c r="A4" s="0" t="s">
        <v>201</v>
      </c>
      <c r="B4" s="0" t="s">
        <v>182</v>
      </c>
      <c r="C4" s="0" t="s">
        <v>202</v>
      </c>
      <c r="D4" s="0" t="n">
        <v>4</v>
      </c>
      <c r="E4" s="0" t="n">
        <v>280</v>
      </c>
      <c r="F4" s="0" t="n">
        <v>-16</v>
      </c>
      <c r="G4" s="0" t="n">
        <f aca="false">E4+F4</f>
        <v>264</v>
      </c>
      <c r="H4" s="0" t="n">
        <v>4</v>
      </c>
      <c r="I4" s="0" t="n">
        <f aca="false">INT(G4/H4)</f>
        <v>66</v>
      </c>
      <c r="J4" s="0" t="n">
        <v>5.2</v>
      </c>
      <c r="K4" s="0" t="n">
        <f aca="false">I4*J4</f>
        <v>343.2</v>
      </c>
      <c r="L4" s="0" t="n">
        <v>343.2</v>
      </c>
      <c r="M4" s="0" t="n">
        <v>5</v>
      </c>
    </row>
    <row r="5" customFormat="false" ht="15" hidden="false" customHeight="false" outlineLevel="0" collapsed="false">
      <c r="A5" s="0" t="s">
        <v>201</v>
      </c>
      <c r="B5" s="0" t="s">
        <v>175</v>
      </c>
      <c r="C5" s="0" t="s">
        <v>203</v>
      </c>
      <c r="D5" s="0" t="n">
        <v>15</v>
      </c>
      <c r="E5" s="0" t="n">
        <v>1050</v>
      </c>
      <c r="F5" s="0" t="n">
        <v>-32</v>
      </c>
      <c r="G5" s="0" t="n">
        <f aca="false">E5+F5</f>
        <v>1018</v>
      </c>
      <c r="H5" s="0" t="n">
        <v>4</v>
      </c>
      <c r="I5" s="0" t="n">
        <f aca="false">INT(G5/H5)</f>
        <v>254</v>
      </c>
      <c r="J5" s="0" t="n">
        <v>5</v>
      </c>
      <c r="K5" s="0" t="n">
        <f aca="false">I5*J5</f>
        <v>1270</v>
      </c>
      <c r="L5" s="0" t="n">
        <v>1270</v>
      </c>
      <c r="M5" s="0" t="n">
        <v>20</v>
      </c>
    </row>
    <row r="6" customFormat="false" ht="15" hidden="false" customHeight="false" outlineLevel="0" collapsed="false">
      <c r="A6" s="0" t="s">
        <v>201</v>
      </c>
      <c r="B6" s="0" t="s">
        <v>177</v>
      </c>
      <c r="C6" s="0" t="s">
        <v>204</v>
      </c>
      <c r="D6" s="0" t="n">
        <v>12</v>
      </c>
      <c r="E6" s="0" t="n">
        <v>840</v>
      </c>
      <c r="F6" s="0" t="n">
        <v>-44</v>
      </c>
      <c r="G6" s="0" t="n">
        <f aca="false">E6+F6</f>
        <v>796</v>
      </c>
      <c r="H6" s="0" t="n">
        <v>4</v>
      </c>
      <c r="I6" s="0" t="n">
        <f aca="false">INT(G6/H6)</f>
        <v>199</v>
      </c>
      <c r="J6" s="0" t="n">
        <v>6.5</v>
      </c>
      <c r="K6" s="0" t="n">
        <f aca="false">I6*J6</f>
        <v>1293.5</v>
      </c>
      <c r="L6" s="0" t="n">
        <v>1293.5</v>
      </c>
      <c r="M6" s="0" t="n">
        <v>8</v>
      </c>
    </row>
    <row r="7" customFormat="false" ht="15" hidden="false" customHeight="false" outlineLevel="0" collapsed="false">
      <c r="A7" s="0" t="s">
        <v>205</v>
      </c>
      <c r="B7" s="0" t="s">
        <v>182</v>
      </c>
      <c r="C7" s="0" t="s">
        <v>202</v>
      </c>
      <c r="D7" s="0" t="n">
        <v>3.75</v>
      </c>
      <c r="E7" s="0" t="n">
        <v>263</v>
      </c>
      <c r="F7" s="0" t="n">
        <v>0</v>
      </c>
      <c r="G7" s="0" t="n">
        <f aca="false">E7+F7</f>
        <v>263</v>
      </c>
      <c r="H7" s="0" t="n">
        <v>4</v>
      </c>
      <c r="I7" s="0" t="n">
        <f aca="false">INT(G7/H7)</f>
        <v>65</v>
      </c>
      <c r="J7" s="0" t="n">
        <v>5.2</v>
      </c>
      <c r="K7" s="0" t="n">
        <f aca="false">I7*J7</f>
        <v>338</v>
      </c>
      <c r="L7" s="0" t="n">
        <v>338</v>
      </c>
      <c r="M7" s="0" t="n">
        <v>14</v>
      </c>
    </row>
    <row r="8" customFormat="false" ht="15" hidden="false" customHeight="false" outlineLevel="0" collapsed="false">
      <c r="A8" s="0" t="s">
        <v>205</v>
      </c>
      <c r="B8" s="0" t="s">
        <v>175</v>
      </c>
      <c r="C8" s="0" t="s">
        <v>203</v>
      </c>
      <c r="D8" s="0" t="n">
        <v>10</v>
      </c>
      <c r="E8" s="0" t="n">
        <v>700</v>
      </c>
      <c r="F8" s="0" t="n">
        <v>0</v>
      </c>
      <c r="G8" s="0" t="n">
        <f aca="false">E8+F8</f>
        <v>700</v>
      </c>
      <c r="H8" s="0" t="n">
        <v>4</v>
      </c>
      <c r="I8" s="0" t="n">
        <f aca="false">INT(G8/H8)</f>
        <v>175</v>
      </c>
      <c r="J8" s="0" t="n">
        <v>5.63</v>
      </c>
      <c r="K8" s="0" t="n">
        <f aca="false">I8*J8</f>
        <v>985.25</v>
      </c>
      <c r="L8" s="0" t="n">
        <v>985.25</v>
      </c>
      <c r="M8" s="0" t="n">
        <v>9</v>
      </c>
    </row>
    <row r="9" customFormat="false" ht="15" hidden="false" customHeight="false" outlineLevel="0" collapsed="false">
      <c r="A9" s="0" t="s">
        <v>205</v>
      </c>
      <c r="B9" s="0" t="s">
        <v>177</v>
      </c>
      <c r="C9" s="0" t="s">
        <v>204</v>
      </c>
      <c r="D9" s="0" t="n">
        <v>13</v>
      </c>
      <c r="E9" s="0" t="n">
        <v>910</v>
      </c>
      <c r="F9" s="0" t="n">
        <v>0</v>
      </c>
      <c r="G9" s="0" t="n">
        <f aca="false">E9+F9</f>
        <v>910</v>
      </c>
      <c r="H9" s="0" t="n">
        <v>4</v>
      </c>
      <c r="I9" s="0" t="n">
        <f aca="false">INT(G9/H9)</f>
        <v>227</v>
      </c>
      <c r="J9" s="0" t="n">
        <v>6.5</v>
      </c>
      <c r="K9" s="0" t="n">
        <f aca="false">I9*J9</f>
        <v>1475.5</v>
      </c>
      <c r="L9" s="0" t="n">
        <v>1475.5</v>
      </c>
      <c r="M9" s="0" t="n">
        <v>11</v>
      </c>
    </row>
    <row r="10" customFormat="false" ht="15" hidden="false" customHeight="false" outlineLevel="0" collapsed="false">
      <c r="A10" s="0" t="s">
        <v>206</v>
      </c>
      <c r="B10" s="0" t="s">
        <v>182</v>
      </c>
      <c r="C10" s="0" t="s">
        <v>202</v>
      </c>
      <c r="D10" s="0" t="n">
        <v>0</v>
      </c>
      <c r="E10" s="0" t="n">
        <v>0</v>
      </c>
      <c r="F10" s="0" t="n">
        <v>0</v>
      </c>
      <c r="G10" s="0" t="n">
        <f aca="false">E10+F10</f>
        <v>0</v>
      </c>
      <c r="H10" s="0" t="n">
        <v>4</v>
      </c>
      <c r="I10" s="0" t="n">
        <f aca="false">INT(G10/H10)</f>
        <v>0</v>
      </c>
      <c r="J10" s="0" t="n">
        <v>0</v>
      </c>
      <c r="K10" s="0" t="n">
        <f aca="false">I10*J10</f>
        <v>0</v>
      </c>
      <c r="L10" s="0" t="n">
        <v>0</v>
      </c>
      <c r="M10" s="0" t="n">
        <v>2</v>
      </c>
    </row>
    <row r="11" customFormat="false" ht="15" hidden="false" customHeight="false" outlineLevel="0" collapsed="false">
      <c r="A11" s="0" t="s">
        <v>206</v>
      </c>
      <c r="B11" s="0" t="s">
        <v>175</v>
      </c>
      <c r="C11" s="0" t="s">
        <v>203</v>
      </c>
      <c r="D11" s="0" t="n">
        <v>1</v>
      </c>
      <c r="E11" s="0" t="n">
        <v>70</v>
      </c>
      <c r="F11" s="0" t="n">
        <v>0</v>
      </c>
      <c r="G11" s="0" t="n">
        <f aca="false">E11+F11</f>
        <v>70</v>
      </c>
      <c r="H11" s="0" t="n">
        <v>4</v>
      </c>
      <c r="I11" s="0" t="n">
        <f aca="false">INT(G11/H11)</f>
        <v>17</v>
      </c>
      <c r="J11" s="0" t="n">
        <v>0</v>
      </c>
      <c r="K11" s="0" t="n">
        <f aca="false">I11*J11</f>
        <v>0</v>
      </c>
      <c r="L11" s="0" t="n">
        <v>0</v>
      </c>
      <c r="M11" s="0" t="n">
        <v>1</v>
      </c>
    </row>
    <row r="12" customFormat="false" ht="15" hidden="false" customHeight="false" outlineLevel="0" collapsed="false">
      <c r="A12" s="0" t="s">
        <v>206</v>
      </c>
      <c r="B12" s="0" t="s">
        <v>177</v>
      </c>
      <c r="C12" s="0" t="s">
        <v>204</v>
      </c>
      <c r="D12" s="0" t="n">
        <v>0</v>
      </c>
      <c r="E12" s="0" t="n">
        <v>0</v>
      </c>
      <c r="F12" s="0" t="n">
        <v>0</v>
      </c>
      <c r="G12" s="0" t="n">
        <f aca="false">E12+F12</f>
        <v>0</v>
      </c>
      <c r="H12" s="0" t="n">
        <v>4</v>
      </c>
      <c r="I12" s="0" t="n">
        <f aca="false">INT(G12/H12)</f>
        <v>0</v>
      </c>
      <c r="J12" s="0" t="n">
        <v>0</v>
      </c>
      <c r="K12" s="0" t="n">
        <f aca="false">I12*J12</f>
        <v>0</v>
      </c>
      <c r="L12" s="0" t="n">
        <v>0</v>
      </c>
      <c r="M12" s="0" t="n">
        <v>2</v>
      </c>
    </row>
    <row r="13" customFormat="false" ht="15" hidden="false" customHeight="false" outlineLevel="0" collapsed="false">
      <c r="A13" s="4" t="s">
        <v>207</v>
      </c>
      <c r="E13" s="6" t="n">
        <f aca="false">SUM(E4:E6)</f>
        <v>2170</v>
      </c>
      <c r="F13" s="6" t="n">
        <f aca="false">SUM(F4:F6)</f>
        <v>-92</v>
      </c>
      <c r="I13" s="6" t="n">
        <f aca="false">SUM(I4:I6)</f>
        <v>519</v>
      </c>
      <c r="K13" s="6" t="n">
        <f aca="false">SUM(K4:K6)</f>
        <v>2906.7</v>
      </c>
      <c r="M13" s="6" t="n">
        <f aca="false">SUM(M4:M6)</f>
        <v>33</v>
      </c>
    </row>
    <row r="14" customFormat="false" ht="15" hidden="false" customHeight="false" outlineLevel="0" collapsed="false">
      <c r="A14" s="4" t="s">
        <v>208</v>
      </c>
      <c r="E14" s="6" t="n">
        <f aca="false">SUM(E7:E9)</f>
        <v>1873</v>
      </c>
      <c r="I14" s="6" t="n">
        <f aca="false">SUM(I7:I9)</f>
        <v>467</v>
      </c>
      <c r="K14" s="6" t="n">
        <f aca="false">SUM(K7:K9)</f>
        <v>2798.75</v>
      </c>
      <c r="M14" s="6" t="n">
        <f aca="false">SUM(M7:M9)</f>
        <v>34</v>
      </c>
    </row>
    <row r="16" customFormat="false" ht="15" hidden="false" customHeight="false" outlineLevel="0" collapsed="false">
      <c r="A16" s="5" t="s">
        <v>209</v>
      </c>
    </row>
    <row r="17" customFormat="false" ht="15" hidden="false" customHeight="false" outlineLevel="0" collapsed="false">
      <c r="A17" s="5" t="s">
        <v>210</v>
      </c>
    </row>
    <row r="18" customFormat="false" ht="15" hidden="false" customHeight="false" outlineLevel="0" collapsed="false">
      <c r="A18" s="5" t="s">
        <v>211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4"/>
    <col collapsed="false" customWidth="true" hidden="false" outlineLevel="0" max="3" min="3" style="0" width="12"/>
    <col collapsed="false" customWidth="true" hidden="false" outlineLevel="0" max="4" min="4" style="0" width="13"/>
    <col collapsed="false" customWidth="true" hidden="false" outlineLevel="0" max="7" min="5" style="0" width="12"/>
    <col collapsed="false" customWidth="true" hidden="false" outlineLevel="0" max="8" min="8" style="0" width="16"/>
    <col collapsed="false" customWidth="true" hidden="false" outlineLevel="0" max="9" min="9" style="0" width="14"/>
    <col collapsed="false" customWidth="true" hidden="false" outlineLevel="0" max="10" min="10" style="0" width="15"/>
  </cols>
  <sheetData>
    <row r="1" customFormat="false" ht="15" hidden="false" customHeight="false" outlineLevel="0" collapsed="false">
      <c r="A1" s="1" t="s">
        <v>212</v>
      </c>
    </row>
    <row r="3" customFormat="false" ht="15" hidden="false" customHeight="false" outlineLevel="0" collapsed="false">
      <c r="A3" s="2" t="s">
        <v>213</v>
      </c>
      <c r="B3" s="2" t="s">
        <v>190</v>
      </c>
      <c r="C3" s="2" t="s">
        <v>91</v>
      </c>
      <c r="D3" s="2" t="s">
        <v>214</v>
      </c>
      <c r="E3" s="2" t="s">
        <v>215</v>
      </c>
      <c r="F3" s="2" t="s">
        <v>216</v>
      </c>
      <c r="G3" s="2" t="s">
        <v>217</v>
      </c>
      <c r="H3" s="2" t="s">
        <v>218</v>
      </c>
      <c r="I3" s="2" t="s">
        <v>219</v>
      </c>
      <c r="J3" s="2" t="s">
        <v>220</v>
      </c>
    </row>
    <row r="4" customFormat="false" ht="15" hidden="false" customHeight="false" outlineLevel="0" collapsed="false">
      <c r="A4" s="0" t="s">
        <v>221</v>
      </c>
      <c r="B4" s="0" t="s">
        <v>222</v>
      </c>
      <c r="C4" s="0" t="s">
        <v>182</v>
      </c>
      <c r="D4" s="0" t="n">
        <v>30</v>
      </c>
      <c r="E4" s="0" t="n">
        <v>4</v>
      </c>
      <c r="F4" s="0" t="n">
        <v>9</v>
      </c>
      <c r="G4" s="0" t="n">
        <v>25</v>
      </c>
      <c r="H4" s="0" t="s">
        <v>223</v>
      </c>
      <c r="I4" s="0" t="n">
        <v>30</v>
      </c>
      <c r="J4" s="0" t="n">
        <v>0</v>
      </c>
    </row>
    <row r="5" customFormat="false" ht="15" hidden="false" customHeight="false" outlineLevel="0" collapsed="false">
      <c r="A5" s="0" t="s">
        <v>221</v>
      </c>
      <c r="B5" s="0" t="s">
        <v>224</v>
      </c>
      <c r="C5" s="0" t="s">
        <v>175</v>
      </c>
      <c r="D5" s="0" t="n">
        <v>24</v>
      </c>
      <c r="E5" s="0" t="n">
        <v>9</v>
      </c>
      <c r="G5" s="0" t="n">
        <v>33</v>
      </c>
      <c r="H5" s="0" t="s">
        <v>223</v>
      </c>
      <c r="I5" s="0" t="n">
        <v>0</v>
      </c>
      <c r="J5" s="0" t="n">
        <v>24</v>
      </c>
    </row>
    <row r="6" customFormat="false" ht="15" hidden="false" customHeight="false" outlineLevel="0" collapsed="false">
      <c r="A6" s="0" t="s">
        <v>221</v>
      </c>
      <c r="B6" s="0" t="s">
        <v>225</v>
      </c>
      <c r="C6" s="0" t="s">
        <v>177</v>
      </c>
      <c r="D6" s="0" t="n">
        <v>0</v>
      </c>
      <c r="G6" s="0" t="n">
        <v>0</v>
      </c>
      <c r="H6" s="0" t="s">
        <v>223</v>
      </c>
      <c r="I6" s="0" t="n">
        <v>0</v>
      </c>
      <c r="J6" s="0" t="n">
        <v>0</v>
      </c>
    </row>
    <row r="7" customFormat="false" ht="15" hidden="false" customHeight="false" outlineLevel="0" collapsed="false">
      <c r="A7" s="0" t="s">
        <v>226</v>
      </c>
      <c r="B7" s="0" t="s">
        <v>222</v>
      </c>
      <c r="C7" s="0" t="s">
        <v>182</v>
      </c>
      <c r="D7" s="0" t="n">
        <v>0</v>
      </c>
      <c r="G7" s="0" t="n">
        <v>0</v>
      </c>
      <c r="H7" s="0" t="s">
        <v>227</v>
      </c>
      <c r="I7" s="0" t="n">
        <v>84</v>
      </c>
      <c r="J7" s="0" t="n">
        <v>-84</v>
      </c>
    </row>
    <row r="8" customFormat="false" ht="15" hidden="false" customHeight="false" outlineLevel="0" collapsed="false">
      <c r="A8" s="0" t="s">
        <v>226</v>
      </c>
      <c r="B8" s="0" t="s">
        <v>224</v>
      </c>
      <c r="C8" s="0" t="s">
        <v>175</v>
      </c>
      <c r="D8" s="0" t="n">
        <v>0</v>
      </c>
      <c r="F8" s="0" t="n">
        <v>12</v>
      </c>
      <c r="G8" s="0" t="n">
        <v>-12</v>
      </c>
      <c r="H8" s="0" t="s">
        <v>227</v>
      </c>
      <c r="I8" s="0" t="n">
        <v>24</v>
      </c>
      <c r="J8" s="0" t="n">
        <v>-24</v>
      </c>
    </row>
    <row r="9" customFormat="false" ht="15" hidden="false" customHeight="false" outlineLevel="0" collapsed="false">
      <c r="A9" s="0" t="s">
        <v>226</v>
      </c>
      <c r="B9" s="0" t="s">
        <v>225</v>
      </c>
      <c r="C9" s="0" t="s">
        <v>177</v>
      </c>
      <c r="D9" s="0" t="n">
        <v>0</v>
      </c>
      <c r="E9" s="0" t="n">
        <v>12</v>
      </c>
      <c r="G9" s="0" t="n">
        <v>12</v>
      </c>
      <c r="H9" s="0" t="s">
        <v>227</v>
      </c>
      <c r="I9" s="0" t="n">
        <v>0</v>
      </c>
      <c r="J9" s="0" t="n">
        <v>0</v>
      </c>
    </row>
    <row r="10" customFormat="false" ht="15" hidden="false" customHeight="false" outlineLevel="0" collapsed="false">
      <c r="A10" s="0" t="s">
        <v>228</v>
      </c>
      <c r="B10" s="0" t="s">
        <v>222</v>
      </c>
      <c r="C10" s="0" t="s">
        <v>182</v>
      </c>
      <c r="D10" s="0" t="n">
        <v>0</v>
      </c>
      <c r="G10" s="0" t="n">
        <v>0</v>
      </c>
      <c r="H10" s="0" t="s">
        <v>229</v>
      </c>
      <c r="I10" s="0" t="n">
        <v>0</v>
      </c>
      <c r="J10" s="0" t="n">
        <v>0</v>
      </c>
    </row>
    <row r="11" customFormat="false" ht="15" hidden="false" customHeight="false" outlineLevel="0" collapsed="false">
      <c r="A11" s="0" t="s">
        <v>228</v>
      </c>
      <c r="B11" s="0" t="s">
        <v>224</v>
      </c>
      <c r="C11" s="0" t="s">
        <v>175</v>
      </c>
      <c r="D11" s="0" t="n">
        <v>10</v>
      </c>
      <c r="F11" s="0" t="n">
        <v>1</v>
      </c>
      <c r="G11" s="0" t="n">
        <v>9</v>
      </c>
      <c r="H11" s="0" t="s">
        <v>229</v>
      </c>
      <c r="I11" s="0" t="n">
        <v>10</v>
      </c>
      <c r="J11" s="0" t="n">
        <v>0</v>
      </c>
    </row>
    <row r="12" customFormat="false" ht="15" hidden="false" customHeight="false" outlineLevel="0" collapsed="false">
      <c r="A12" s="0" t="s">
        <v>228</v>
      </c>
      <c r="B12" s="0" t="s">
        <v>225</v>
      </c>
      <c r="C12" s="0" t="s">
        <v>177</v>
      </c>
      <c r="D12" s="0" t="n">
        <v>8</v>
      </c>
      <c r="E12" s="0" t="n">
        <v>1</v>
      </c>
      <c r="G12" s="0" t="n">
        <v>9</v>
      </c>
      <c r="H12" s="0" t="s">
        <v>229</v>
      </c>
      <c r="I12" s="0" t="n">
        <v>9</v>
      </c>
      <c r="J12" s="0" t="n">
        <v>-1</v>
      </c>
    </row>
    <row r="13" customFormat="false" ht="15" hidden="false" customHeight="false" outlineLevel="0" collapsed="false">
      <c r="A13" s="0" t="s">
        <v>201</v>
      </c>
      <c r="B13" s="0" t="s">
        <v>222</v>
      </c>
      <c r="C13" s="0" t="s">
        <v>182</v>
      </c>
      <c r="D13" s="0" t="n">
        <v>4</v>
      </c>
      <c r="G13" s="0" t="n">
        <v>4</v>
      </c>
      <c r="H13" s="0" t="s">
        <v>230</v>
      </c>
      <c r="I13" s="0" t="n">
        <v>4</v>
      </c>
      <c r="J13" s="0" t="n">
        <v>0</v>
      </c>
    </row>
    <row r="14" customFormat="false" ht="15" hidden="false" customHeight="false" outlineLevel="0" collapsed="false">
      <c r="A14" s="0" t="s">
        <v>201</v>
      </c>
      <c r="B14" s="0" t="s">
        <v>224</v>
      </c>
      <c r="C14" s="0" t="s">
        <v>175</v>
      </c>
      <c r="D14" s="0" t="n">
        <v>16</v>
      </c>
      <c r="F14" s="0" t="n">
        <v>1</v>
      </c>
      <c r="G14" s="0" t="n">
        <v>15</v>
      </c>
      <c r="H14" s="0" t="s">
        <v>230</v>
      </c>
      <c r="I14" s="0" t="n">
        <v>16</v>
      </c>
      <c r="J14" s="0" t="n">
        <v>0</v>
      </c>
    </row>
    <row r="15" customFormat="false" ht="15" hidden="false" customHeight="false" outlineLevel="0" collapsed="false">
      <c r="A15" s="0" t="s">
        <v>201</v>
      </c>
      <c r="B15" s="0" t="s">
        <v>225</v>
      </c>
      <c r="C15" s="0" t="s">
        <v>177</v>
      </c>
      <c r="D15" s="0" t="n">
        <v>12</v>
      </c>
      <c r="E15" s="0" t="n">
        <v>1</v>
      </c>
      <c r="F15" s="0" t="n">
        <v>1</v>
      </c>
      <c r="G15" s="0" t="n">
        <v>12</v>
      </c>
      <c r="H15" s="0" t="s">
        <v>230</v>
      </c>
      <c r="I15" s="0" t="n">
        <v>12</v>
      </c>
      <c r="J15" s="0" t="n">
        <v>0</v>
      </c>
    </row>
    <row r="16" customFormat="false" ht="15" hidden="false" customHeight="false" outlineLevel="0" collapsed="false">
      <c r="A16" s="0" t="s">
        <v>231</v>
      </c>
      <c r="B16" s="0" t="s">
        <v>222</v>
      </c>
      <c r="C16" s="0" t="s">
        <v>182</v>
      </c>
      <c r="D16" s="0" t="n">
        <v>9</v>
      </c>
      <c r="F16" s="0" t="n">
        <v>1</v>
      </c>
      <c r="G16" s="0" t="n">
        <v>8</v>
      </c>
      <c r="H16" s="0" t="s">
        <v>232</v>
      </c>
      <c r="I16" s="0" t="n">
        <v>8</v>
      </c>
      <c r="J16" s="0" t="n">
        <v>1</v>
      </c>
    </row>
    <row r="17" customFormat="false" ht="15" hidden="false" customHeight="false" outlineLevel="0" collapsed="false">
      <c r="A17" s="0" t="s">
        <v>231</v>
      </c>
      <c r="B17" s="0" t="s">
        <v>224</v>
      </c>
      <c r="C17" s="0" t="s">
        <v>175</v>
      </c>
      <c r="D17" s="0" t="n">
        <v>3</v>
      </c>
      <c r="E17" s="0" t="n">
        <v>1</v>
      </c>
      <c r="F17" s="0" t="n">
        <v>3</v>
      </c>
      <c r="G17" s="0" t="n">
        <v>1</v>
      </c>
      <c r="H17" s="0" t="s">
        <v>232</v>
      </c>
      <c r="I17" s="0" t="n">
        <v>2</v>
      </c>
      <c r="J17" s="0" t="n">
        <v>1</v>
      </c>
    </row>
    <row r="18" customFormat="false" ht="15" hidden="false" customHeight="false" outlineLevel="0" collapsed="false">
      <c r="A18" s="0" t="s">
        <v>231</v>
      </c>
      <c r="B18" s="0" t="s">
        <v>225</v>
      </c>
      <c r="C18" s="0" t="s">
        <v>177</v>
      </c>
      <c r="D18" s="0" t="n">
        <v>0</v>
      </c>
      <c r="E18" s="0" t="n">
        <v>3</v>
      </c>
      <c r="G18" s="0" t="n">
        <v>3</v>
      </c>
      <c r="H18" s="0" t="s">
        <v>232</v>
      </c>
      <c r="I18" s="0" t="n">
        <v>0</v>
      </c>
      <c r="J18" s="0" t="n">
        <v>0</v>
      </c>
    </row>
    <row r="19" customFormat="false" ht="15" hidden="false" customHeight="false" outlineLevel="0" collapsed="false">
      <c r="A19" s="0" t="s">
        <v>206</v>
      </c>
      <c r="B19" s="0" t="s">
        <v>222</v>
      </c>
      <c r="C19" s="0" t="s">
        <v>182</v>
      </c>
      <c r="D19" s="0" t="n">
        <v>0</v>
      </c>
      <c r="G19" s="0" t="n">
        <v>0</v>
      </c>
      <c r="H19" s="0" t="s">
        <v>233</v>
      </c>
      <c r="I19" s="0" t="n">
        <v>1</v>
      </c>
      <c r="J19" s="0" t="n">
        <v>-1</v>
      </c>
    </row>
    <row r="20" customFormat="false" ht="15" hidden="false" customHeight="false" outlineLevel="0" collapsed="false">
      <c r="A20" s="0" t="s">
        <v>206</v>
      </c>
      <c r="B20" s="0" t="s">
        <v>224</v>
      </c>
      <c r="C20" s="0" t="s">
        <v>175</v>
      </c>
      <c r="D20" s="0" t="n">
        <v>1</v>
      </c>
      <c r="G20" s="0" t="n">
        <v>1</v>
      </c>
      <c r="H20" s="0" t="s">
        <v>233</v>
      </c>
      <c r="I20" s="0" t="n">
        <v>2</v>
      </c>
      <c r="J20" s="0" t="n">
        <v>-1</v>
      </c>
    </row>
    <row r="21" customFormat="false" ht="15" hidden="false" customHeight="false" outlineLevel="0" collapsed="false">
      <c r="A21" s="0" t="s">
        <v>206</v>
      </c>
      <c r="B21" s="0" t="s">
        <v>225</v>
      </c>
      <c r="C21" s="0" t="s">
        <v>177</v>
      </c>
      <c r="D21" s="0" t="n">
        <v>1</v>
      </c>
      <c r="F21" s="0" t="n">
        <v>1</v>
      </c>
      <c r="G21" s="0" t="n">
        <v>0</v>
      </c>
      <c r="H21" s="0" t="s">
        <v>233</v>
      </c>
      <c r="I21" s="0" t="n">
        <v>1</v>
      </c>
      <c r="J21" s="0" t="n">
        <v>0</v>
      </c>
    </row>
    <row r="22" customFormat="false" ht="15" hidden="false" customHeight="false" outlineLevel="0" collapsed="false">
      <c r="A22" s="0" t="s">
        <v>205</v>
      </c>
      <c r="B22" s="0" t="s">
        <v>222</v>
      </c>
      <c r="C22" s="0" t="s">
        <v>182</v>
      </c>
      <c r="D22" s="0" t="n">
        <v>2</v>
      </c>
      <c r="E22" s="0" t="n">
        <v>1.75</v>
      </c>
      <c r="G22" s="0" t="n">
        <v>3.75</v>
      </c>
      <c r="H22" s="0" t="s">
        <v>234</v>
      </c>
      <c r="I22" s="0" t="n">
        <v>2</v>
      </c>
      <c r="J22" s="0" t="n">
        <v>0</v>
      </c>
    </row>
    <row r="23" customFormat="false" ht="15" hidden="false" customHeight="false" outlineLevel="0" collapsed="false">
      <c r="A23" s="0" t="s">
        <v>205</v>
      </c>
      <c r="B23" s="0" t="s">
        <v>224</v>
      </c>
      <c r="C23" s="0" t="s">
        <v>175</v>
      </c>
      <c r="D23" s="0" t="n">
        <v>12</v>
      </c>
      <c r="F23" s="0" t="n">
        <v>2</v>
      </c>
      <c r="G23" s="0" t="n">
        <v>10</v>
      </c>
      <c r="H23" s="0" t="s">
        <v>234</v>
      </c>
      <c r="I23" s="0" t="n">
        <v>12</v>
      </c>
      <c r="J23" s="0" t="n">
        <v>0</v>
      </c>
    </row>
    <row r="24" customFormat="false" ht="15" hidden="false" customHeight="false" outlineLevel="0" collapsed="false">
      <c r="A24" s="0" t="s">
        <v>205</v>
      </c>
      <c r="B24" s="0" t="s">
        <v>225</v>
      </c>
      <c r="C24" s="0" t="s">
        <v>177</v>
      </c>
      <c r="D24" s="0" t="n">
        <v>11</v>
      </c>
      <c r="E24" s="0" t="n">
        <v>2</v>
      </c>
      <c r="G24" s="0" t="n">
        <v>13</v>
      </c>
      <c r="H24" s="0" t="s">
        <v>234</v>
      </c>
      <c r="I24" s="0" t="n">
        <v>11</v>
      </c>
      <c r="J24" s="0" t="n">
        <v>0</v>
      </c>
    </row>
    <row r="25" customFormat="false" ht="15" hidden="false" customHeight="false" outlineLevel="0" collapsed="false">
      <c r="A25" s="0" t="s">
        <v>235</v>
      </c>
      <c r="B25" s="0" t="s">
        <v>222</v>
      </c>
      <c r="C25" s="0" t="s">
        <v>182</v>
      </c>
      <c r="D25" s="0" t="n">
        <v>1</v>
      </c>
      <c r="E25" s="0" t="n">
        <v>1</v>
      </c>
      <c r="F25" s="0" t="n">
        <v>1</v>
      </c>
      <c r="G25" s="0" t="n">
        <v>1</v>
      </c>
      <c r="H25" s="0" t="s">
        <v>236</v>
      </c>
      <c r="I25" s="0" t="n">
        <v>1</v>
      </c>
      <c r="J25" s="0" t="n">
        <v>0</v>
      </c>
    </row>
    <row r="26" customFormat="false" ht="15" hidden="false" customHeight="false" outlineLevel="0" collapsed="false">
      <c r="A26" s="0" t="s">
        <v>235</v>
      </c>
      <c r="B26" s="0" t="s">
        <v>224</v>
      </c>
      <c r="C26" s="0" t="s">
        <v>175</v>
      </c>
      <c r="D26" s="0" t="n">
        <v>0</v>
      </c>
      <c r="E26" s="0" t="n">
        <v>1</v>
      </c>
      <c r="G26" s="0" t="n">
        <v>1</v>
      </c>
      <c r="H26" s="0" t="s">
        <v>236</v>
      </c>
      <c r="I26" s="0" t="n">
        <v>0</v>
      </c>
      <c r="J26" s="0" t="n">
        <v>0</v>
      </c>
    </row>
    <row r="27" customFormat="false" ht="15" hidden="false" customHeight="false" outlineLevel="0" collapsed="false">
      <c r="A27" s="0" t="s">
        <v>235</v>
      </c>
      <c r="B27" s="0" t="s">
        <v>225</v>
      </c>
      <c r="C27" s="0" t="s">
        <v>177</v>
      </c>
      <c r="D27" s="0" t="n">
        <v>1</v>
      </c>
      <c r="F27" s="0" t="n">
        <v>1</v>
      </c>
      <c r="G27" s="0" t="n">
        <v>0</v>
      </c>
      <c r="H27" s="0" t="s">
        <v>236</v>
      </c>
      <c r="I27" s="0" t="n">
        <v>1</v>
      </c>
      <c r="J27" s="0" t="n">
        <v>0</v>
      </c>
    </row>
    <row r="29" customFormat="false" ht="15" hidden="false" customHeight="false" outlineLevel="0" collapsed="false">
      <c r="A29" s="0" t="s">
        <v>237</v>
      </c>
    </row>
    <row r="30" customFormat="false" ht="15" hidden="false" customHeight="false" outlineLevel="0" collapsed="false">
      <c r="A30" s="0" t="s">
        <v>238</v>
      </c>
    </row>
    <row r="31" customFormat="false" ht="15" hidden="false" customHeight="false" outlineLevel="0" collapsed="false">
      <c r="A31" s="0" t="s">
        <v>239</v>
      </c>
    </row>
    <row r="32" customFormat="false" ht="15" hidden="false" customHeight="false" outlineLevel="0" collapsed="false">
      <c r="A32" s="0" t="s">
        <v>240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8"/>
    <col collapsed="false" customWidth="true" hidden="false" outlineLevel="0" max="3" min="3" style="0" width="16"/>
    <col collapsed="false" customWidth="true" hidden="false" outlineLevel="0" max="4" min="4" style="0" width="26"/>
    <col collapsed="false" customWidth="true" hidden="false" outlineLevel="0" max="5" min="5" style="0" width="64"/>
    <col collapsed="false" customWidth="true" hidden="false" outlineLevel="0" max="6" min="6" style="0" width="18"/>
    <col collapsed="false" customWidth="true" hidden="false" outlineLevel="0" max="8" min="7" style="0" width="16"/>
    <col collapsed="false" customWidth="true" hidden="false" outlineLevel="0" max="9" min="9" style="0" width="14"/>
  </cols>
  <sheetData>
    <row r="1" customFormat="false" ht="15" hidden="false" customHeight="false" outlineLevel="0" collapsed="false">
      <c r="A1" s="1" t="s">
        <v>241</v>
      </c>
    </row>
    <row r="3" customFormat="false" ht="15" hidden="false" customHeight="false" outlineLevel="0" collapsed="false">
      <c r="A3" s="2" t="s">
        <v>23</v>
      </c>
      <c r="B3" s="2" t="s">
        <v>190</v>
      </c>
      <c r="C3" s="2" t="s">
        <v>242</v>
      </c>
      <c r="D3" s="2" t="s">
        <v>243</v>
      </c>
      <c r="E3" s="2" t="s">
        <v>244</v>
      </c>
      <c r="F3" s="2" t="s">
        <v>245</v>
      </c>
      <c r="G3" s="2" t="s">
        <v>246</v>
      </c>
      <c r="H3" s="2" t="s">
        <v>247</v>
      </c>
      <c r="I3" s="2" t="s">
        <v>248</v>
      </c>
    </row>
    <row r="4" customFormat="false" ht="15" hidden="false" customHeight="false" outlineLevel="0" collapsed="false">
      <c r="A4" s="0" t="s">
        <v>249</v>
      </c>
      <c r="B4" s="0" t="s">
        <v>250</v>
      </c>
      <c r="C4" s="0" t="s">
        <v>251</v>
      </c>
      <c r="D4" s="0" t="s">
        <v>252</v>
      </c>
      <c r="E4" s="0" t="s">
        <v>253</v>
      </c>
      <c r="F4" s="0" t="n">
        <v>2170</v>
      </c>
      <c r="G4" s="0" t="n">
        <v>2240</v>
      </c>
      <c r="H4" s="0" t="n">
        <v>1436</v>
      </c>
      <c r="I4" s="0" t="n">
        <f aca="false">H4/F4</f>
        <v>0.661751152073733</v>
      </c>
    </row>
    <row r="5" customFormat="false" ht="15" hidden="false" customHeight="false" outlineLevel="0" collapsed="false">
      <c r="A5" s="0" t="s">
        <v>181</v>
      </c>
      <c r="B5" s="0" t="s">
        <v>254</v>
      </c>
      <c r="C5" s="0" t="s">
        <v>255</v>
      </c>
      <c r="D5" s="0" t="s">
        <v>256</v>
      </c>
      <c r="E5" s="0" t="s">
        <v>257</v>
      </c>
      <c r="F5" s="0" t="n">
        <v>70</v>
      </c>
      <c r="G5" s="0" t="n">
        <v>280</v>
      </c>
      <c r="H5" s="0" t="n">
        <v>210</v>
      </c>
      <c r="I5" s="0" t="n">
        <f aca="false">H5/F5</f>
        <v>3</v>
      </c>
    </row>
    <row r="6" customFormat="false" ht="15" hidden="false" customHeight="false" outlineLevel="0" collapsed="false">
      <c r="A6" s="0" t="s">
        <v>83</v>
      </c>
      <c r="B6" s="0" t="s">
        <v>254</v>
      </c>
      <c r="C6" s="0" t="s">
        <v>258</v>
      </c>
      <c r="D6" s="0" t="s">
        <v>259</v>
      </c>
      <c r="E6" s="0" t="s">
        <v>260</v>
      </c>
      <c r="F6" s="0" t="n">
        <v>1872.5</v>
      </c>
      <c r="G6" s="0" t="n">
        <v>1750</v>
      </c>
      <c r="H6" s="0" t="n">
        <v>407</v>
      </c>
      <c r="I6" s="0" t="n">
        <f aca="false">H6/F6</f>
        <v>0.217356475300401</v>
      </c>
    </row>
    <row r="8" customFormat="false" ht="15" hidden="false" customHeight="false" outlineLevel="0" collapsed="false">
      <c r="A8" s="0" t="s">
        <v>261</v>
      </c>
    </row>
    <row r="9" customFormat="false" ht="15" hidden="false" customHeight="false" outlineLevel="0" collapsed="false">
      <c r="A9" s="0" t="s">
        <v>262</v>
      </c>
    </row>
    <row r="10" customFormat="false" ht="15" hidden="false" customHeight="false" outlineLevel="0" collapsed="false">
      <c r="A10" s="0" t="s">
        <v>263</v>
      </c>
    </row>
    <row r="12" customFormat="false" ht="15" hidden="false" customHeight="false" outlineLevel="0" collapsed="false">
      <c r="A12" s="5" t="s">
        <v>264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4"/>
    <col collapsed="false" customWidth="true" hidden="false" outlineLevel="0" max="3" min="3" style="0" width="10"/>
    <col collapsed="false" customWidth="true" hidden="false" outlineLevel="0" max="4" min="4" style="0" width="12"/>
  </cols>
  <sheetData>
    <row r="1" customFormat="false" ht="15" hidden="false" customHeight="false" outlineLevel="0" collapsed="false">
      <c r="A1" s="1" t="s">
        <v>265</v>
      </c>
    </row>
    <row r="3" customFormat="false" ht="15" hidden="false" customHeight="false" outlineLevel="0" collapsed="false">
      <c r="A3" s="2" t="s">
        <v>266</v>
      </c>
      <c r="B3" s="2" t="s">
        <v>267</v>
      </c>
      <c r="C3" s="2" t="s">
        <v>268</v>
      </c>
      <c r="D3" s="2" t="s">
        <v>269</v>
      </c>
    </row>
    <row r="4" customFormat="false" ht="15" hidden="false" customHeight="false" outlineLevel="0" collapsed="false">
      <c r="A4" s="0" t="s">
        <v>270</v>
      </c>
      <c r="B4" s="0" t="n">
        <v>5</v>
      </c>
      <c r="C4" s="0" t="n">
        <v>4</v>
      </c>
      <c r="D4" s="0" t="n">
        <v>20</v>
      </c>
    </row>
    <row r="5" customFormat="false" ht="15" hidden="false" customHeight="false" outlineLevel="0" collapsed="false">
      <c r="A5" s="0" t="s">
        <v>271</v>
      </c>
      <c r="B5" s="0" t="n">
        <v>20</v>
      </c>
      <c r="C5" s="0" t="n">
        <v>4</v>
      </c>
      <c r="D5" s="0" t="n">
        <v>80</v>
      </c>
    </row>
    <row r="6" customFormat="false" ht="15" hidden="false" customHeight="false" outlineLevel="0" collapsed="false">
      <c r="A6" s="0" t="s">
        <v>272</v>
      </c>
      <c r="B6" s="0" t="n">
        <v>8</v>
      </c>
      <c r="C6" s="0" t="n">
        <v>4</v>
      </c>
      <c r="D6" s="0" t="n">
        <v>32</v>
      </c>
    </row>
    <row r="7" customFormat="false" ht="15" hidden="false" customHeight="false" outlineLevel="0" collapsed="false">
      <c r="A7" s="0" t="s">
        <v>273</v>
      </c>
      <c r="B7" s="0" t="n">
        <v>7</v>
      </c>
      <c r="C7" s="0" t="n">
        <v>4</v>
      </c>
      <c r="D7" s="0" t="n">
        <v>28</v>
      </c>
    </row>
    <row r="8" customFormat="false" ht="15" hidden="false" customHeight="false" outlineLevel="0" collapsed="false">
      <c r="A8" s="0" t="s">
        <v>274</v>
      </c>
      <c r="B8" s="0" t="n">
        <v>12</v>
      </c>
      <c r="C8" s="0" t="n">
        <v>4</v>
      </c>
      <c r="D8" s="0" t="n">
        <v>48</v>
      </c>
    </row>
    <row r="9" customFormat="false" ht="15" hidden="false" customHeight="false" outlineLevel="0" collapsed="false">
      <c r="A9" s="0" t="s">
        <v>275</v>
      </c>
      <c r="B9" s="0" t="n">
        <v>4</v>
      </c>
      <c r="C9" s="0" t="n">
        <v>4</v>
      </c>
      <c r="D9" s="0" t="n">
        <v>16</v>
      </c>
    </row>
    <row r="10" customFormat="false" ht="15" hidden="false" customHeight="false" outlineLevel="0" collapsed="false">
      <c r="A10" s="0" t="s">
        <v>276</v>
      </c>
      <c r="D10" s="0" t="n">
        <v>224</v>
      </c>
    </row>
    <row r="12" customFormat="false" ht="15" hidden="false" customHeight="false" outlineLevel="0" collapsed="false">
      <c r="A12" s="0" t="s">
        <v>277</v>
      </c>
    </row>
    <row r="13" customFormat="false" ht="15" hidden="false" customHeight="false" outlineLevel="0" collapsed="false">
      <c r="A13" s="0" t="s">
        <v>278</v>
      </c>
    </row>
    <row r="14" customFormat="false" ht="15" hidden="false" customHeight="false" outlineLevel="0" collapsed="false">
      <c r="A14" s="0" t="s">
        <v>279</v>
      </c>
    </row>
    <row r="16" customFormat="false" ht="15" hidden="false" customHeight="false" outlineLevel="0" collapsed="false">
      <c r="A16" s="5" t="s">
        <v>280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1"/>
    <col collapsed="false" customWidth="true" hidden="false" outlineLevel="0" max="3" min="3" style="0" width="12"/>
    <col collapsed="false" customWidth="true" hidden="false" outlineLevel="0" max="5" min="4" style="0" width="11"/>
    <col collapsed="false" customWidth="true" hidden="false" outlineLevel="0" max="6" min="6" style="0" width="48"/>
    <col collapsed="false" customWidth="true" hidden="false" outlineLevel="0" max="7" min="7" style="0" width="10"/>
    <col collapsed="false" customWidth="true" hidden="false" outlineLevel="0" max="9" min="8" style="0" width="12"/>
    <col collapsed="false" customWidth="true" hidden="false" outlineLevel="0" max="10" min="10" style="0" width="11"/>
  </cols>
  <sheetData>
    <row r="1" customFormat="false" ht="15" hidden="false" customHeight="false" outlineLevel="0" collapsed="false">
      <c r="A1" s="1" t="s">
        <v>281</v>
      </c>
    </row>
    <row r="3" customFormat="false" ht="15" hidden="false" customHeight="false" outlineLevel="0" collapsed="false">
      <c r="A3" s="2" t="s">
        <v>282</v>
      </c>
      <c r="B3" s="2" t="s">
        <v>283</v>
      </c>
      <c r="C3" s="2" t="s">
        <v>91</v>
      </c>
      <c r="D3" s="2" t="s">
        <v>284</v>
      </c>
      <c r="E3" s="2" t="s">
        <v>285</v>
      </c>
      <c r="F3" s="2" t="s">
        <v>286</v>
      </c>
      <c r="G3" s="2" t="s">
        <v>287</v>
      </c>
      <c r="H3" s="2" t="s">
        <v>288</v>
      </c>
      <c r="I3" s="2" t="s">
        <v>289</v>
      </c>
      <c r="J3" s="2" t="s">
        <v>290</v>
      </c>
    </row>
    <row r="4" customFormat="false" ht="15" hidden="false" customHeight="false" outlineLevel="0" collapsed="false">
      <c r="A4" s="0" t="s">
        <v>291</v>
      </c>
      <c r="B4" s="0" t="s">
        <v>223</v>
      </c>
      <c r="C4" s="0" t="s">
        <v>182</v>
      </c>
      <c r="D4" s="0" t="s">
        <v>292</v>
      </c>
      <c r="E4" s="0" t="s">
        <v>293</v>
      </c>
      <c r="F4" s="0" t="s">
        <v>294</v>
      </c>
      <c r="G4" s="0" t="n">
        <v>6</v>
      </c>
      <c r="I4" s="0" t="n">
        <v>15.66</v>
      </c>
      <c r="J4" s="0" t="s">
        <v>39</v>
      </c>
    </row>
    <row r="5" customFormat="false" ht="15" hidden="false" customHeight="false" outlineLevel="0" collapsed="false">
      <c r="A5" s="0" t="s">
        <v>291</v>
      </c>
      <c r="B5" s="0" t="s">
        <v>223</v>
      </c>
      <c r="C5" s="0" t="s">
        <v>182</v>
      </c>
      <c r="D5" s="0" t="s">
        <v>295</v>
      </c>
      <c r="E5" s="0" t="s">
        <v>296</v>
      </c>
      <c r="F5" s="0" t="s">
        <v>294</v>
      </c>
      <c r="G5" s="0" t="n">
        <v>12</v>
      </c>
      <c r="I5" s="0" t="n">
        <v>31.92</v>
      </c>
      <c r="J5" s="0" t="s">
        <v>39</v>
      </c>
    </row>
    <row r="6" customFormat="false" ht="15" hidden="false" customHeight="false" outlineLevel="0" collapsed="false">
      <c r="A6" s="0" t="s">
        <v>291</v>
      </c>
      <c r="B6" s="0" t="s">
        <v>223</v>
      </c>
      <c r="C6" s="0" t="s">
        <v>182</v>
      </c>
      <c r="D6" s="0" t="s">
        <v>297</v>
      </c>
      <c r="E6" s="0" t="s">
        <v>298</v>
      </c>
      <c r="F6" s="0" t="s">
        <v>294</v>
      </c>
      <c r="G6" s="0" t="n">
        <v>6</v>
      </c>
      <c r="I6" s="0" t="n">
        <v>15.66</v>
      </c>
      <c r="J6" s="0" t="s">
        <v>39</v>
      </c>
    </row>
    <row r="7" customFormat="false" ht="15" hidden="false" customHeight="false" outlineLevel="0" collapsed="false">
      <c r="A7" s="0" t="s">
        <v>291</v>
      </c>
      <c r="B7" s="0" t="s">
        <v>223</v>
      </c>
      <c r="C7" s="0" t="s">
        <v>182</v>
      </c>
      <c r="D7" s="0" t="s">
        <v>299</v>
      </c>
      <c r="E7" s="0" t="s">
        <v>300</v>
      </c>
      <c r="F7" s="0" t="s">
        <v>294</v>
      </c>
      <c r="G7" s="0" t="n">
        <v>6</v>
      </c>
      <c r="I7" s="0" t="n">
        <v>15.66</v>
      </c>
      <c r="J7" s="0" t="s">
        <v>39</v>
      </c>
    </row>
    <row r="8" customFormat="false" ht="15" hidden="false" customHeight="false" outlineLevel="0" collapsed="false">
      <c r="A8" s="0" t="s">
        <v>301</v>
      </c>
      <c r="B8" s="0" t="s">
        <v>223</v>
      </c>
      <c r="C8" s="0" t="s">
        <v>302</v>
      </c>
      <c r="F8" s="0" t="s">
        <v>303</v>
      </c>
      <c r="G8" s="0" t="n">
        <v>30</v>
      </c>
      <c r="J8" s="0" t="s">
        <v>304</v>
      </c>
    </row>
    <row r="10" customFormat="false" ht="15" hidden="false" customHeight="false" outlineLevel="0" collapsed="false">
      <c r="A10" s="0" t="s">
        <v>305</v>
      </c>
      <c r="B10" s="0" t="s">
        <v>227</v>
      </c>
      <c r="C10" s="0" t="s">
        <v>182</v>
      </c>
      <c r="D10" s="0" t="s">
        <v>306</v>
      </c>
      <c r="E10" s="0" t="s">
        <v>307</v>
      </c>
      <c r="F10" s="0" t="s">
        <v>308</v>
      </c>
      <c r="G10" s="0" t="n">
        <v>12</v>
      </c>
      <c r="I10" s="0" t="n">
        <v>35.76</v>
      </c>
      <c r="J10" s="0" t="s">
        <v>39</v>
      </c>
    </row>
    <row r="11" customFormat="false" ht="15" hidden="false" customHeight="false" outlineLevel="0" collapsed="false">
      <c r="A11" s="0" t="s">
        <v>305</v>
      </c>
      <c r="B11" s="0" t="s">
        <v>227</v>
      </c>
      <c r="C11" s="0" t="s">
        <v>182</v>
      </c>
      <c r="D11" s="0" t="s">
        <v>309</v>
      </c>
      <c r="E11" s="0" t="s">
        <v>310</v>
      </c>
      <c r="F11" s="0" t="s">
        <v>308</v>
      </c>
      <c r="G11" s="0" t="n">
        <v>72</v>
      </c>
      <c r="I11" s="0" t="n">
        <v>214.56</v>
      </c>
      <c r="J11" s="0" t="s">
        <v>39</v>
      </c>
    </row>
    <row r="12" customFormat="false" ht="15" hidden="false" customHeight="false" outlineLevel="0" collapsed="false">
      <c r="A12" s="0" t="s">
        <v>305</v>
      </c>
      <c r="B12" s="0" t="s">
        <v>227</v>
      </c>
      <c r="C12" s="0" t="s">
        <v>182</v>
      </c>
      <c r="D12" s="0" t="s">
        <v>311</v>
      </c>
      <c r="E12" s="0" t="s">
        <v>312</v>
      </c>
      <c r="F12" s="0" t="s">
        <v>308</v>
      </c>
      <c r="G12" s="0" t="n">
        <v>12</v>
      </c>
      <c r="I12" s="0" t="n">
        <v>35.76</v>
      </c>
      <c r="J12" s="0" t="s">
        <v>39</v>
      </c>
    </row>
    <row r="13" customFormat="false" ht="15" hidden="false" customHeight="false" outlineLevel="0" collapsed="false">
      <c r="A13" s="0" t="s">
        <v>305</v>
      </c>
      <c r="B13" s="0" t="s">
        <v>227</v>
      </c>
      <c r="C13" s="0" t="s">
        <v>182</v>
      </c>
      <c r="D13" s="0" t="s">
        <v>313</v>
      </c>
      <c r="E13" s="0" t="s">
        <v>314</v>
      </c>
      <c r="F13" s="0" t="s">
        <v>308</v>
      </c>
      <c r="G13" s="0" t="n">
        <v>12</v>
      </c>
      <c r="I13" s="0" t="n">
        <v>35.76</v>
      </c>
      <c r="J13" s="0" t="s">
        <v>39</v>
      </c>
    </row>
    <row r="14" customFormat="false" ht="15" hidden="false" customHeight="false" outlineLevel="0" collapsed="false">
      <c r="A14" s="0" t="s">
        <v>305</v>
      </c>
      <c r="B14" s="0" t="s">
        <v>227</v>
      </c>
      <c r="C14" s="0" t="s">
        <v>182</v>
      </c>
      <c r="D14" s="0" t="s">
        <v>315</v>
      </c>
      <c r="E14" s="0" t="s">
        <v>316</v>
      </c>
      <c r="F14" s="0" t="s">
        <v>317</v>
      </c>
      <c r="G14" s="0" t="n">
        <v>-60</v>
      </c>
      <c r="I14" s="0" t="n">
        <v>-178.8</v>
      </c>
      <c r="J14" s="0" t="s">
        <v>39</v>
      </c>
    </row>
    <row r="15" customFormat="false" ht="15" hidden="false" customHeight="false" outlineLevel="0" collapsed="false">
      <c r="A15" s="0" t="s">
        <v>305</v>
      </c>
      <c r="B15" s="0" t="s">
        <v>227</v>
      </c>
      <c r="C15" s="0" t="s">
        <v>182</v>
      </c>
      <c r="D15" s="0" t="s">
        <v>318</v>
      </c>
      <c r="E15" s="0" t="s">
        <v>319</v>
      </c>
      <c r="F15" s="0" t="s">
        <v>308</v>
      </c>
      <c r="G15" s="0" t="n">
        <v>12</v>
      </c>
      <c r="I15" s="0" t="n">
        <v>35.76</v>
      </c>
      <c r="J15" s="0" t="s">
        <v>39</v>
      </c>
    </row>
    <row r="16" customFormat="false" ht="15" hidden="false" customHeight="false" outlineLevel="0" collapsed="false">
      <c r="A16" s="0" t="s">
        <v>305</v>
      </c>
      <c r="B16" s="0" t="s">
        <v>227</v>
      </c>
      <c r="C16" s="0" t="s">
        <v>182</v>
      </c>
      <c r="D16" s="0" t="s">
        <v>320</v>
      </c>
      <c r="E16" s="0" t="s">
        <v>321</v>
      </c>
      <c r="F16" s="0" t="s">
        <v>308</v>
      </c>
      <c r="G16" s="0" t="n">
        <v>12</v>
      </c>
      <c r="I16" s="0" t="n">
        <v>35.76</v>
      </c>
      <c r="J16" s="0" t="s">
        <v>39</v>
      </c>
    </row>
    <row r="17" customFormat="false" ht="15" hidden="false" customHeight="false" outlineLevel="0" collapsed="false">
      <c r="A17" s="0" t="s">
        <v>305</v>
      </c>
      <c r="B17" s="0" t="s">
        <v>227</v>
      </c>
      <c r="C17" s="0" t="s">
        <v>182</v>
      </c>
      <c r="D17" s="0" t="s">
        <v>322</v>
      </c>
      <c r="E17" s="0" t="s">
        <v>323</v>
      </c>
      <c r="F17" s="0" t="s">
        <v>308</v>
      </c>
      <c r="G17" s="0" t="n">
        <v>12</v>
      </c>
      <c r="I17" s="0" t="n">
        <v>35.76</v>
      </c>
      <c r="J17" s="0" t="s">
        <v>39</v>
      </c>
    </row>
    <row r="18" customFormat="false" ht="15" hidden="false" customHeight="false" outlineLevel="0" collapsed="false">
      <c r="A18" s="0" t="s">
        <v>305</v>
      </c>
      <c r="B18" s="0" t="s">
        <v>227</v>
      </c>
      <c r="C18" s="0" t="s">
        <v>175</v>
      </c>
      <c r="D18" s="0" t="s">
        <v>324</v>
      </c>
      <c r="E18" s="0" t="s">
        <v>325</v>
      </c>
      <c r="F18" s="0" t="s">
        <v>308</v>
      </c>
      <c r="G18" s="0" t="n">
        <v>12</v>
      </c>
      <c r="I18" s="0" t="n">
        <v>39.48</v>
      </c>
      <c r="J18" s="0" t="s">
        <v>39</v>
      </c>
    </row>
    <row r="19" customFormat="false" ht="15" hidden="false" customHeight="false" outlineLevel="0" collapsed="false">
      <c r="A19" s="0" t="s">
        <v>305</v>
      </c>
      <c r="B19" s="0" t="s">
        <v>227</v>
      </c>
      <c r="C19" s="0" t="s">
        <v>175</v>
      </c>
      <c r="D19" s="0" t="s">
        <v>326</v>
      </c>
      <c r="E19" s="0" t="s">
        <v>327</v>
      </c>
      <c r="F19" s="0" t="s">
        <v>328</v>
      </c>
      <c r="G19" s="0" t="n">
        <v>12</v>
      </c>
      <c r="I19" s="0" t="n">
        <v>39.48</v>
      </c>
      <c r="J19" s="0" t="s">
        <v>39</v>
      </c>
    </row>
    <row r="20" customFormat="false" ht="15" hidden="false" customHeight="false" outlineLevel="0" collapsed="false">
      <c r="A20" s="0" t="s">
        <v>329</v>
      </c>
      <c r="B20" s="0" t="s">
        <v>227</v>
      </c>
      <c r="C20" s="0" t="s">
        <v>302</v>
      </c>
      <c r="F20" s="0" t="s">
        <v>330</v>
      </c>
      <c r="G20" s="0" t="n">
        <v>108</v>
      </c>
      <c r="J20" s="0" t="s">
        <v>331</v>
      </c>
    </row>
    <row r="22" customFormat="false" ht="15" hidden="false" customHeight="false" outlineLevel="0" collapsed="false">
      <c r="A22" s="0" t="s">
        <v>332</v>
      </c>
      <c r="B22" s="0" t="s">
        <v>229</v>
      </c>
      <c r="C22" s="0" t="s">
        <v>175</v>
      </c>
      <c r="D22" s="0" t="s">
        <v>333</v>
      </c>
      <c r="E22" s="0" t="s">
        <v>334</v>
      </c>
      <c r="F22" s="0" t="s">
        <v>335</v>
      </c>
      <c r="G22" s="0" t="n">
        <v>1</v>
      </c>
      <c r="I22" s="0" t="n">
        <v>27</v>
      </c>
      <c r="J22" s="0" t="s">
        <v>39</v>
      </c>
    </row>
    <row r="23" customFormat="false" ht="15" hidden="false" customHeight="false" outlineLevel="0" collapsed="false">
      <c r="A23" s="0" t="s">
        <v>332</v>
      </c>
      <c r="B23" s="0" t="s">
        <v>229</v>
      </c>
      <c r="C23" s="0" t="s">
        <v>175</v>
      </c>
      <c r="D23" s="0" t="s">
        <v>336</v>
      </c>
      <c r="E23" s="0" t="s">
        <v>337</v>
      </c>
      <c r="F23" s="0" t="s">
        <v>335</v>
      </c>
      <c r="G23" s="0" t="n">
        <v>1</v>
      </c>
      <c r="I23" s="0" t="n">
        <v>27.4</v>
      </c>
      <c r="J23" s="0" t="s">
        <v>39</v>
      </c>
    </row>
    <row r="24" customFormat="false" ht="15" hidden="false" customHeight="false" outlineLevel="0" collapsed="false">
      <c r="A24" s="0" t="s">
        <v>332</v>
      </c>
      <c r="B24" s="0" t="s">
        <v>229</v>
      </c>
      <c r="C24" s="0" t="s">
        <v>175</v>
      </c>
      <c r="D24" s="0" t="s">
        <v>338</v>
      </c>
      <c r="E24" s="0" t="s">
        <v>339</v>
      </c>
      <c r="F24" s="0" t="s">
        <v>335</v>
      </c>
      <c r="G24" s="0" t="n">
        <v>1</v>
      </c>
      <c r="I24" s="0" t="n">
        <v>27.4</v>
      </c>
      <c r="J24" s="0" t="s">
        <v>39</v>
      </c>
    </row>
    <row r="25" customFormat="false" ht="15" hidden="false" customHeight="false" outlineLevel="0" collapsed="false">
      <c r="A25" s="0" t="s">
        <v>332</v>
      </c>
      <c r="B25" s="0" t="s">
        <v>229</v>
      </c>
      <c r="C25" s="0" t="s">
        <v>175</v>
      </c>
      <c r="D25" s="0" t="s">
        <v>340</v>
      </c>
      <c r="E25" s="0" t="s">
        <v>341</v>
      </c>
      <c r="F25" s="0" t="s">
        <v>335</v>
      </c>
      <c r="G25" s="0" t="n">
        <v>1</v>
      </c>
      <c r="I25" s="0" t="n">
        <v>27.4</v>
      </c>
      <c r="J25" s="0" t="s">
        <v>39</v>
      </c>
    </row>
    <row r="26" customFormat="false" ht="15" hidden="false" customHeight="false" outlineLevel="0" collapsed="false">
      <c r="A26" s="0" t="s">
        <v>332</v>
      </c>
      <c r="B26" s="0" t="s">
        <v>229</v>
      </c>
      <c r="C26" s="0" t="s">
        <v>175</v>
      </c>
      <c r="D26" s="0" t="s">
        <v>342</v>
      </c>
      <c r="E26" s="0" t="s">
        <v>343</v>
      </c>
      <c r="F26" s="0" t="s">
        <v>335</v>
      </c>
      <c r="G26" s="0" t="n">
        <v>1</v>
      </c>
      <c r="I26" s="0" t="n">
        <v>27.4</v>
      </c>
      <c r="J26" s="0" t="s">
        <v>39</v>
      </c>
    </row>
    <row r="27" customFormat="false" ht="15" hidden="false" customHeight="false" outlineLevel="0" collapsed="false">
      <c r="A27" s="0" t="s">
        <v>332</v>
      </c>
      <c r="B27" s="0" t="s">
        <v>229</v>
      </c>
      <c r="C27" s="0" t="s">
        <v>175</v>
      </c>
      <c r="D27" s="0" t="s">
        <v>344</v>
      </c>
      <c r="E27" s="0" t="s">
        <v>345</v>
      </c>
      <c r="F27" s="0" t="s">
        <v>335</v>
      </c>
      <c r="G27" s="0" t="n">
        <v>1</v>
      </c>
      <c r="I27" s="0" t="n">
        <v>27.4</v>
      </c>
      <c r="J27" s="0" t="s">
        <v>39</v>
      </c>
    </row>
    <row r="28" customFormat="false" ht="15" hidden="false" customHeight="false" outlineLevel="0" collapsed="false">
      <c r="A28" s="0" t="s">
        <v>332</v>
      </c>
      <c r="B28" s="0" t="s">
        <v>229</v>
      </c>
      <c r="C28" s="0" t="s">
        <v>175</v>
      </c>
      <c r="D28" s="0" t="s">
        <v>346</v>
      </c>
      <c r="E28" s="0" t="s">
        <v>347</v>
      </c>
      <c r="F28" s="0" t="s">
        <v>335</v>
      </c>
      <c r="G28" s="0" t="n">
        <v>1</v>
      </c>
      <c r="I28" s="0" t="n">
        <v>27.4</v>
      </c>
      <c r="J28" s="0" t="s">
        <v>39</v>
      </c>
    </row>
    <row r="29" customFormat="false" ht="15" hidden="false" customHeight="false" outlineLevel="0" collapsed="false">
      <c r="A29" s="0" t="s">
        <v>332</v>
      </c>
      <c r="B29" s="0" t="s">
        <v>229</v>
      </c>
      <c r="C29" s="0" t="s">
        <v>175</v>
      </c>
      <c r="D29" s="0" t="s">
        <v>348</v>
      </c>
      <c r="E29" s="0" t="s">
        <v>349</v>
      </c>
      <c r="F29" s="0" t="s">
        <v>335</v>
      </c>
      <c r="G29" s="0" t="n">
        <v>1</v>
      </c>
      <c r="I29" s="0" t="n">
        <v>27</v>
      </c>
      <c r="J29" s="0" t="s">
        <v>39</v>
      </c>
    </row>
    <row r="30" customFormat="false" ht="15" hidden="false" customHeight="false" outlineLevel="0" collapsed="false">
      <c r="A30" s="0" t="s">
        <v>332</v>
      </c>
      <c r="B30" s="0" t="s">
        <v>229</v>
      </c>
      <c r="C30" s="0" t="s">
        <v>175</v>
      </c>
      <c r="D30" s="0" t="s">
        <v>350</v>
      </c>
      <c r="E30" s="0" t="s">
        <v>351</v>
      </c>
      <c r="F30" s="0" t="s">
        <v>335</v>
      </c>
      <c r="G30" s="0" t="n">
        <v>1</v>
      </c>
      <c r="I30" s="0" t="n">
        <v>27.4</v>
      </c>
      <c r="J30" s="0" t="s">
        <v>39</v>
      </c>
    </row>
    <row r="31" customFormat="false" ht="15" hidden="false" customHeight="false" outlineLevel="0" collapsed="false">
      <c r="A31" s="0" t="s">
        <v>332</v>
      </c>
      <c r="B31" s="0" t="s">
        <v>229</v>
      </c>
      <c r="C31" s="0" t="s">
        <v>175</v>
      </c>
      <c r="D31" s="0" t="s">
        <v>352</v>
      </c>
      <c r="E31" s="0" t="s">
        <v>353</v>
      </c>
      <c r="F31" s="0" t="s">
        <v>335</v>
      </c>
      <c r="G31" s="0" t="n">
        <v>1</v>
      </c>
      <c r="I31" s="0" t="n">
        <v>27.4</v>
      </c>
      <c r="J31" s="0" t="s">
        <v>39</v>
      </c>
    </row>
    <row r="32" customFormat="false" ht="15" hidden="false" customHeight="false" outlineLevel="0" collapsed="false">
      <c r="A32" s="0" t="s">
        <v>332</v>
      </c>
      <c r="B32" s="0" t="s">
        <v>229</v>
      </c>
      <c r="C32" s="0" t="s">
        <v>177</v>
      </c>
      <c r="D32" s="0" t="s">
        <v>354</v>
      </c>
      <c r="E32" s="0" t="s">
        <v>355</v>
      </c>
      <c r="F32" s="0" t="s">
        <v>335</v>
      </c>
      <c r="G32" s="0" t="n">
        <v>1</v>
      </c>
      <c r="I32" s="0" t="n">
        <v>30.09</v>
      </c>
      <c r="J32" s="0" t="s">
        <v>39</v>
      </c>
    </row>
    <row r="33" customFormat="false" ht="15" hidden="false" customHeight="false" outlineLevel="0" collapsed="false">
      <c r="A33" s="0" t="s">
        <v>332</v>
      </c>
      <c r="B33" s="0" t="s">
        <v>229</v>
      </c>
      <c r="C33" s="0" t="s">
        <v>177</v>
      </c>
      <c r="D33" s="0" t="s">
        <v>356</v>
      </c>
      <c r="E33" s="0" t="s">
        <v>357</v>
      </c>
      <c r="F33" s="0" t="s">
        <v>335</v>
      </c>
      <c r="G33" s="0" t="n">
        <v>1</v>
      </c>
      <c r="I33" s="0" t="n">
        <v>30.09</v>
      </c>
      <c r="J33" s="0" t="s">
        <v>39</v>
      </c>
    </row>
    <row r="34" customFormat="false" ht="15" hidden="false" customHeight="false" outlineLevel="0" collapsed="false">
      <c r="A34" s="0" t="s">
        <v>332</v>
      </c>
      <c r="B34" s="0" t="s">
        <v>229</v>
      </c>
      <c r="C34" s="0" t="s">
        <v>177</v>
      </c>
      <c r="D34" s="0" t="s">
        <v>358</v>
      </c>
      <c r="E34" s="0" t="s">
        <v>359</v>
      </c>
      <c r="F34" s="0" t="s">
        <v>335</v>
      </c>
      <c r="G34" s="0" t="n">
        <v>1</v>
      </c>
      <c r="I34" s="0" t="n">
        <v>27.4</v>
      </c>
      <c r="J34" s="0" t="s">
        <v>39</v>
      </c>
    </row>
    <row r="35" customFormat="false" ht="15" hidden="false" customHeight="false" outlineLevel="0" collapsed="false">
      <c r="A35" s="0" t="s">
        <v>332</v>
      </c>
      <c r="B35" s="0" t="s">
        <v>229</v>
      </c>
      <c r="C35" s="0" t="s">
        <v>177</v>
      </c>
      <c r="D35" s="0" t="s">
        <v>360</v>
      </c>
      <c r="E35" s="0" t="s">
        <v>361</v>
      </c>
      <c r="F35" s="0" t="s">
        <v>335</v>
      </c>
      <c r="G35" s="0" t="n">
        <v>1</v>
      </c>
      <c r="I35" s="0" t="n">
        <v>30.09</v>
      </c>
      <c r="J35" s="0" t="s">
        <v>39</v>
      </c>
    </row>
    <row r="36" customFormat="false" ht="15" hidden="false" customHeight="false" outlineLevel="0" collapsed="false">
      <c r="A36" s="0" t="s">
        <v>332</v>
      </c>
      <c r="B36" s="0" t="s">
        <v>229</v>
      </c>
      <c r="C36" s="0" t="s">
        <v>177</v>
      </c>
      <c r="D36" s="0" t="s">
        <v>362</v>
      </c>
      <c r="E36" s="0" t="s">
        <v>363</v>
      </c>
      <c r="F36" s="0" t="s">
        <v>335</v>
      </c>
      <c r="G36" s="0" t="n">
        <v>1</v>
      </c>
      <c r="I36" s="0" t="n">
        <v>27.4</v>
      </c>
      <c r="J36" s="0" t="s">
        <v>39</v>
      </c>
    </row>
    <row r="37" customFormat="false" ht="15" hidden="false" customHeight="false" outlineLevel="0" collapsed="false">
      <c r="A37" s="0" t="s">
        <v>332</v>
      </c>
      <c r="B37" s="0" t="s">
        <v>229</v>
      </c>
      <c r="C37" s="0" t="s">
        <v>177</v>
      </c>
      <c r="D37" s="0" t="s">
        <v>364</v>
      </c>
      <c r="E37" s="0" t="s">
        <v>365</v>
      </c>
      <c r="F37" s="0" t="s">
        <v>335</v>
      </c>
      <c r="G37" s="0" t="n">
        <v>1</v>
      </c>
      <c r="I37" s="0" t="n">
        <v>30.09</v>
      </c>
      <c r="J37" s="0" t="s">
        <v>39</v>
      </c>
    </row>
    <row r="38" customFormat="false" ht="15" hidden="false" customHeight="false" outlineLevel="0" collapsed="false">
      <c r="A38" s="0" t="s">
        <v>332</v>
      </c>
      <c r="B38" s="0" t="s">
        <v>229</v>
      </c>
      <c r="C38" s="0" t="s">
        <v>177</v>
      </c>
      <c r="D38" s="0" t="s">
        <v>366</v>
      </c>
      <c r="E38" s="0" t="s">
        <v>367</v>
      </c>
      <c r="F38" s="0" t="s">
        <v>335</v>
      </c>
      <c r="G38" s="0" t="n">
        <v>1</v>
      </c>
      <c r="I38" s="0" t="n">
        <v>27.4</v>
      </c>
      <c r="J38" s="0" t="s">
        <v>39</v>
      </c>
    </row>
    <row r="39" customFormat="false" ht="15" hidden="false" customHeight="false" outlineLevel="0" collapsed="false">
      <c r="A39" s="0" t="s">
        <v>332</v>
      </c>
      <c r="B39" s="0" t="s">
        <v>229</v>
      </c>
      <c r="C39" s="0" t="s">
        <v>177</v>
      </c>
      <c r="D39" s="0" t="s">
        <v>368</v>
      </c>
      <c r="E39" s="0" t="s">
        <v>369</v>
      </c>
      <c r="F39" s="0" t="s">
        <v>335</v>
      </c>
      <c r="G39" s="0" t="n">
        <v>1</v>
      </c>
      <c r="I39" s="0" t="n">
        <v>30.09</v>
      </c>
      <c r="J39" s="0" t="s">
        <v>39</v>
      </c>
    </row>
    <row r="40" customFormat="false" ht="15" hidden="false" customHeight="false" outlineLevel="0" collapsed="false">
      <c r="A40" s="0" t="s">
        <v>332</v>
      </c>
      <c r="B40" s="0" t="s">
        <v>229</v>
      </c>
      <c r="C40" s="0" t="s">
        <v>177</v>
      </c>
      <c r="D40" s="0" t="s">
        <v>370</v>
      </c>
      <c r="E40" s="0" t="s">
        <v>371</v>
      </c>
      <c r="F40" s="0" t="s">
        <v>335</v>
      </c>
      <c r="G40" s="0" t="n">
        <v>1</v>
      </c>
      <c r="I40" s="0" t="n">
        <v>30.09</v>
      </c>
      <c r="J40" s="0" t="s">
        <v>39</v>
      </c>
    </row>
    <row r="41" customFormat="false" ht="15" hidden="false" customHeight="false" outlineLevel="0" collapsed="false">
      <c r="A41" s="0" t="s">
        <v>372</v>
      </c>
      <c r="B41" s="0" t="s">
        <v>229</v>
      </c>
      <c r="C41" s="0" t="s">
        <v>302</v>
      </c>
      <c r="F41" s="0" t="s">
        <v>373</v>
      </c>
      <c r="G41" s="0" t="n">
        <v>19</v>
      </c>
      <c r="J41" s="0" t="s">
        <v>374</v>
      </c>
    </row>
    <row r="43" customFormat="false" ht="15" hidden="false" customHeight="false" outlineLevel="0" collapsed="false">
      <c r="A43" s="0" t="s">
        <v>375</v>
      </c>
      <c r="B43" s="0" t="s">
        <v>230</v>
      </c>
      <c r="C43" s="0" t="s">
        <v>182</v>
      </c>
      <c r="D43" s="0" t="s">
        <v>376</v>
      </c>
      <c r="E43" s="0" t="s">
        <v>377</v>
      </c>
      <c r="F43" s="0" t="s">
        <v>378</v>
      </c>
      <c r="G43" s="0" t="n">
        <v>1</v>
      </c>
      <c r="I43" s="0" t="n">
        <v>12.99</v>
      </c>
      <c r="J43" s="0" t="s">
        <v>39</v>
      </c>
    </row>
    <row r="44" customFormat="false" ht="15" hidden="false" customHeight="false" outlineLevel="0" collapsed="false">
      <c r="A44" s="0" t="s">
        <v>375</v>
      </c>
      <c r="B44" s="0" t="s">
        <v>230</v>
      </c>
      <c r="C44" s="0" t="s">
        <v>182</v>
      </c>
      <c r="D44" s="0" t="s">
        <v>379</v>
      </c>
      <c r="E44" s="0" t="s">
        <v>380</v>
      </c>
      <c r="F44" s="0" t="s">
        <v>378</v>
      </c>
      <c r="G44" s="0" t="n">
        <v>1</v>
      </c>
      <c r="I44" s="0" t="n">
        <v>12.99</v>
      </c>
      <c r="J44" s="0" t="s">
        <v>39</v>
      </c>
    </row>
    <row r="45" customFormat="false" ht="15" hidden="false" customHeight="false" outlineLevel="0" collapsed="false">
      <c r="A45" s="0" t="s">
        <v>375</v>
      </c>
      <c r="B45" s="0" t="s">
        <v>230</v>
      </c>
      <c r="C45" s="0" t="s">
        <v>182</v>
      </c>
      <c r="D45" s="0" t="s">
        <v>318</v>
      </c>
      <c r="E45" s="0" t="s">
        <v>319</v>
      </c>
      <c r="F45" s="0" t="s">
        <v>378</v>
      </c>
      <c r="G45" s="0" t="n">
        <v>1</v>
      </c>
      <c r="I45" s="0" t="n">
        <v>12.99</v>
      </c>
      <c r="J45" s="0" t="s">
        <v>39</v>
      </c>
    </row>
    <row r="46" customFormat="false" ht="15" hidden="false" customHeight="false" outlineLevel="0" collapsed="false">
      <c r="A46" s="0" t="s">
        <v>375</v>
      </c>
      <c r="B46" s="0" t="s">
        <v>230</v>
      </c>
      <c r="C46" s="0" t="s">
        <v>182</v>
      </c>
      <c r="D46" s="0" t="s">
        <v>381</v>
      </c>
      <c r="E46" s="0" t="s">
        <v>382</v>
      </c>
      <c r="F46" s="0" t="s">
        <v>378</v>
      </c>
      <c r="G46" s="0" t="n">
        <v>1</v>
      </c>
      <c r="I46" s="0" t="n">
        <v>12.99</v>
      </c>
      <c r="J46" s="0" t="s">
        <v>39</v>
      </c>
    </row>
    <row r="47" customFormat="false" ht="15" hidden="false" customHeight="false" outlineLevel="0" collapsed="false">
      <c r="A47" s="0" t="s">
        <v>375</v>
      </c>
      <c r="B47" s="0" t="s">
        <v>230</v>
      </c>
      <c r="C47" s="0" t="s">
        <v>182</v>
      </c>
      <c r="D47" s="0" t="s">
        <v>381</v>
      </c>
      <c r="E47" s="0" t="s">
        <v>382</v>
      </c>
      <c r="F47" s="0" t="s">
        <v>378</v>
      </c>
      <c r="G47" s="0" t="n">
        <v>1</v>
      </c>
      <c r="J47" s="0" t="s">
        <v>383</v>
      </c>
    </row>
    <row r="48" customFormat="false" ht="15" hidden="false" customHeight="false" outlineLevel="0" collapsed="false">
      <c r="A48" s="0" t="s">
        <v>375</v>
      </c>
      <c r="B48" s="0" t="s">
        <v>230</v>
      </c>
      <c r="C48" s="0" t="s">
        <v>182</v>
      </c>
      <c r="D48" s="0" t="s">
        <v>299</v>
      </c>
      <c r="E48" s="0" t="s">
        <v>300</v>
      </c>
      <c r="F48" s="0" t="s">
        <v>378</v>
      </c>
      <c r="G48" s="0" t="n">
        <v>1</v>
      </c>
      <c r="I48" s="0" t="n">
        <v>12.99</v>
      </c>
      <c r="J48" s="0" t="s">
        <v>39</v>
      </c>
    </row>
    <row r="49" customFormat="false" ht="15" hidden="false" customHeight="false" outlineLevel="0" collapsed="false">
      <c r="A49" s="0" t="s">
        <v>375</v>
      </c>
      <c r="B49" s="0" t="s">
        <v>230</v>
      </c>
      <c r="C49" s="0" t="s">
        <v>182</v>
      </c>
      <c r="D49" s="0" t="s">
        <v>384</v>
      </c>
      <c r="E49" s="0" t="s">
        <v>385</v>
      </c>
      <c r="F49" s="0" t="s">
        <v>378</v>
      </c>
      <c r="G49" s="0" t="n">
        <v>-1</v>
      </c>
      <c r="I49" s="0" t="n">
        <v>-12.99</v>
      </c>
      <c r="J49" s="0" t="s">
        <v>39</v>
      </c>
    </row>
    <row r="50" customFormat="false" ht="15" hidden="false" customHeight="false" outlineLevel="0" collapsed="false">
      <c r="A50" s="0" t="s">
        <v>375</v>
      </c>
      <c r="B50" s="0" t="s">
        <v>230</v>
      </c>
      <c r="C50" s="0" t="s">
        <v>175</v>
      </c>
      <c r="D50" s="0" t="s">
        <v>386</v>
      </c>
      <c r="E50" s="0" t="s">
        <v>387</v>
      </c>
      <c r="F50" s="0" t="s">
        <v>378</v>
      </c>
      <c r="G50" s="0" t="n">
        <v>1</v>
      </c>
      <c r="I50" s="0" t="n">
        <v>13.46</v>
      </c>
      <c r="J50" s="0" t="s">
        <v>39</v>
      </c>
    </row>
    <row r="51" customFormat="false" ht="15" hidden="false" customHeight="false" outlineLevel="0" collapsed="false">
      <c r="A51" s="0" t="s">
        <v>375</v>
      </c>
      <c r="B51" s="0" t="s">
        <v>230</v>
      </c>
      <c r="C51" s="0" t="s">
        <v>175</v>
      </c>
      <c r="D51" s="0" t="s">
        <v>388</v>
      </c>
      <c r="E51" s="0" t="s">
        <v>389</v>
      </c>
      <c r="F51" s="0" t="s">
        <v>378</v>
      </c>
      <c r="G51" s="0" t="n">
        <v>1</v>
      </c>
      <c r="I51" s="0" t="n">
        <v>13.46</v>
      </c>
      <c r="J51" s="0" t="s">
        <v>39</v>
      </c>
    </row>
    <row r="52" customFormat="false" ht="15" hidden="false" customHeight="false" outlineLevel="0" collapsed="false">
      <c r="A52" s="0" t="s">
        <v>375</v>
      </c>
      <c r="B52" s="0" t="s">
        <v>230</v>
      </c>
      <c r="C52" s="0" t="s">
        <v>175</v>
      </c>
      <c r="D52" s="0" t="s">
        <v>390</v>
      </c>
      <c r="E52" s="0" t="s">
        <v>391</v>
      </c>
      <c r="F52" s="0" t="s">
        <v>378</v>
      </c>
      <c r="G52" s="0" t="n">
        <v>1</v>
      </c>
      <c r="I52" s="0" t="n">
        <v>13.46</v>
      </c>
      <c r="J52" s="0" t="s">
        <v>39</v>
      </c>
    </row>
    <row r="53" customFormat="false" ht="15" hidden="false" customHeight="false" outlineLevel="0" collapsed="false">
      <c r="A53" s="0" t="s">
        <v>375</v>
      </c>
      <c r="B53" s="0" t="s">
        <v>230</v>
      </c>
      <c r="C53" s="0" t="s">
        <v>175</v>
      </c>
      <c r="D53" s="0" t="s">
        <v>392</v>
      </c>
      <c r="E53" s="0" t="s">
        <v>393</v>
      </c>
      <c r="F53" s="0" t="s">
        <v>378</v>
      </c>
      <c r="G53" s="0" t="n">
        <v>1</v>
      </c>
      <c r="I53" s="0" t="n">
        <v>13.46</v>
      </c>
      <c r="J53" s="0" t="s">
        <v>39</v>
      </c>
    </row>
    <row r="54" customFormat="false" ht="15" hidden="false" customHeight="false" outlineLevel="0" collapsed="false">
      <c r="A54" s="0" t="s">
        <v>375</v>
      </c>
      <c r="B54" s="0" t="s">
        <v>230</v>
      </c>
      <c r="C54" s="0" t="s">
        <v>175</v>
      </c>
      <c r="D54" s="0" t="s">
        <v>394</v>
      </c>
      <c r="E54" s="0" t="s">
        <v>395</v>
      </c>
      <c r="F54" s="0" t="s">
        <v>378</v>
      </c>
      <c r="G54" s="0" t="n">
        <v>1</v>
      </c>
      <c r="I54" s="0" t="n">
        <v>13.46</v>
      </c>
      <c r="J54" s="0" t="s">
        <v>39</v>
      </c>
    </row>
    <row r="55" customFormat="false" ht="15" hidden="false" customHeight="false" outlineLevel="0" collapsed="false">
      <c r="A55" s="0" t="s">
        <v>375</v>
      </c>
      <c r="B55" s="0" t="s">
        <v>230</v>
      </c>
      <c r="C55" s="0" t="s">
        <v>175</v>
      </c>
      <c r="D55" s="0" t="s">
        <v>396</v>
      </c>
      <c r="E55" s="0" t="s">
        <v>397</v>
      </c>
      <c r="F55" s="0" t="s">
        <v>378</v>
      </c>
      <c r="G55" s="0" t="n">
        <v>2</v>
      </c>
      <c r="I55" s="0" t="n">
        <v>26.92</v>
      </c>
      <c r="J55" s="0" t="s">
        <v>39</v>
      </c>
    </row>
    <row r="56" customFormat="false" ht="15" hidden="false" customHeight="false" outlineLevel="0" collapsed="false">
      <c r="A56" s="0" t="s">
        <v>375</v>
      </c>
      <c r="B56" s="0" t="s">
        <v>230</v>
      </c>
      <c r="C56" s="0" t="s">
        <v>175</v>
      </c>
      <c r="D56" s="0" t="s">
        <v>398</v>
      </c>
      <c r="E56" s="0" t="s">
        <v>399</v>
      </c>
      <c r="F56" s="0" t="s">
        <v>378</v>
      </c>
      <c r="G56" s="0" t="n">
        <v>1</v>
      </c>
      <c r="I56" s="0" t="n">
        <v>13.46</v>
      </c>
      <c r="J56" s="0" t="s">
        <v>39</v>
      </c>
    </row>
    <row r="57" customFormat="false" ht="15" hidden="false" customHeight="false" outlineLevel="0" collapsed="false">
      <c r="A57" s="0" t="s">
        <v>375</v>
      </c>
      <c r="B57" s="0" t="s">
        <v>230</v>
      </c>
      <c r="C57" s="0" t="s">
        <v>175</v>
      </c>
      <c r="D57" s="0" t="s">
        <v>326</v>
      </c>
      <c r="E57" s="0" t="s">
        <v>327</v>
      </c>
      <c r="F57" s="0" t="s">
        <v>378</v>
      </c>
      <c r="G57" s="0" t="n">
        <v>1</v>
      </c>
      <c r="I57" s="0" t="n">
        <v>13.46</v>
      </c>
      <c r="J57" s="0" t="s">
        <v>39</v>
      </c>
    </row>
    <row r="58" customFormat="false" ht="15" hidden="false" customHeight="false" outlineLevel="0" collapsed="false">
      <c r="A58" s="0" t="s">
        <v>375</v>
      </c>
      <c r="B58" s="0" t="s">
        <v>230</v>
      </c>
      <c r="C58" s="0" t="s">
        <v>175</v>
      </c>
      <c r="D58" s="0" t="s">
        <v>400</v>
      </c>
      <c r="E58" s="0" t="s">
        <v>401</v>
      </c>
      <c r="F58" s="0" t="s">
        <v>378</v>
      </c>
      <c r="G58" s="0" t="n">
        <v>1</v>
      </c>
      <c r="I58" s="0" t="n">
        <v>13.46</v>
      </c>
      <c r="J58" s="0" t="s">
        <v>39</v>
      </c>
    </row>
    <row r="59" customFormat="false" ht="15" hidden="false" customHeight="false" outlineLevel="0" collapsed="false">
      <c r="A59" s="0" t="s">
        <v>375</v>
      </c>
      <c r="B59" s="0" t="s">
        <v>230</v>
      </c>
      <c r="C59" s="0" t="s">
        <v>175</v>
      </c>
      <c r="D59" s="0" t="s">
        <v>402</v>
      </c>
      <c r="E59" s="0" t="s">
        <v>403</v>
      </c>
      <c r="F59" s="0" t="s">
        <v>378</v>
      </c>
      <c r="G59" s="0" t="n">
        <v>1</v>
      </c>
      <c r="I59" s="0" t="n">
        <v>13.46</v>
      </c>
      <c r="J59" s="0" t="s">
        <v>39</v>
      </c>
    </row>
    <row r="60" customFormat="false" ht="15" hidden="false" customHeight="false" outlineLevel="0" collapsed="false">
      <c r="A60" s="0" t="s">
        <v>375</v>
      </c>
      <c r="B60" s="0" t="s">
        <v>230</v>
      </c>
      <c r="C60" s="0" t="s">
        <v>175</v>
      </c>
      <c r="D60" s="0" t="s">
        <v>404</v>
      </c>
      <c r="E60" s="0" t="s">
        <v>405</v>
      </c>
      <c r="F60" s="0" t="s">
        <v>378</v>
      </c>
      <c r="G60" s="0" t="n">
        <v>1</v>
      </c>
      <c r="I60" s="0" t="n">
        <v>13.46</v>
      </c>
      <c r="J60" s="0" t="s">
        <v>39</v>
      </c>
    </row>
    <row r="61" customFormat="false" ht="15" hidden="false" customHeight="false" outlineLevel="0" collapsed="false">
      <c r="A61" s="0" t="s">
        <v>375</v>
      </c>
      <c r="B61" s="0" t="s">
        <v>230</v>
      </c>
      <c r="C61" s="0" t="s">
        <v>175</v>
      </c>
      <c r="D61" s="0" t="s">
        <v>406</v>
      </c>
      <c r="E61" s="0" t="s">
        <v>407</v>
      </c>
      <c r="F61" s="0" t="s">
        <v>378</v>
      </c>
      <c r="G61" s="0" t="n">
        <v>2</v>
      </c>
      <c r="I61" s="0" t="n">
        <v>26.92</v>
      </c>
      <c r="J61" s="0" t="s">
        <v>39</v>
      </c>
    </row>
    <row r="62" customFormat="false" ht="15" hidden="false" customHeight="false" outlineLevel="0" collapsed="false">
      <c r="A62" s="0" t="s">
        <v>375</v>
      </c>
      <c r="B62" s="0" t="s">
        <v>230</v>
      </c>
      <c r="C62" s="0" t="s">
        <v>175</v>
      </c>
      <c r="D62" s="0" t="s">
        <v>408</v>
      </c>
      <c r="E62" s="0" t="s">
        <v>409</v>
      </c>
      <c r="F62" s="0" t="s">
        <v>378</v>
      </c>
      <c r="G62" s="0" t="n">
        <v>1</v>
      </c>
      <c r="I62" s="0" t="n">
        <v>13.46</v>
      </c>
      <c r="J62" s="0" t="s">
        <v>39</v>
      </c>
    </row>
    <row r="63" customFormat="false" ht="15" hidden="false" customHeight="false" outlineLevel="0" collapsed="false">
      <c r="A63" s="0" t="s">
        <v>375</v>
      </c>
      <c r="B63" s="0" t="s">
        <v>230</v>
      </c>
      <c r="C63" s="0" t="s">
        <v>175</v>
      </c>
      <c r="D63" s="0" t="s">
        <v>410</v>
      </c>
      <c r="E63" s="0" t="s">
        <v>411</v>
      </c>
      <c r="F63" s="0" t="s">
        <v>378</v>
      </c>
      <c r="G63" s="0" t="n">
        <v>1</v>
      </c>
      <c r="I63" s="0" t="n">
        <v>13.46</v>
      </c>
      <c r="J63" s="0" t="s">
        <v>39</v>
      </c>
    </row>
    <row r="64" customFormat="false" ht="15" hidden="false" customHeight="false" outlineLevel="0" collapsed="false">
      <c r="A64" s="0" t="s">
        <v>375</v>
      </c>
      <c r="B64" s="0" t="s">
        <v>230</v>
      </c>
      <c r="C64" s="0" t="s">
        <v>177</v>
      </c>
      <c r="D64" s="0" t="s">
        <v>412</v>
      </c>
      <c r="E64" s="0" t="s">
        <v>413</v>
      </c>
      <c r="F64" s="0" t="s">
        <v>378</v>
      </c>
      <c r="G64" s="0" t="n">
        <v>1</v>
      </c>
      <c r="I64" s="0" t="n">
        <v>13.71</v>
      </c>
      <c r="J64" s="0" t="s">
        <v>39</v>
      </c>
    </row>
    <row r="65" customFormat="false" ht="15" hidden="false" customHeight="false" outlineLevel="0" collapsed="false">
      <c r="A65" s="0" t="s">
        <v>375</v>
      </c>
      <c r="B65" s="0" t="s">
        <v>230</v>
      </c>
      <c r="C65" s="0" t="s">
        <v>177</v>
      </c>
      <c r="D65" s="0" t="s">
        <v>354</v>
      </c>
      <c r="E65" s="0" t="s">
        <v>355</v>
      </c>
      <c r="F65" s="0" t="s">
        <v>378</v>
      </c>
      <c r="G65" s="0" t="n">
        <v>2</v>
      </c>
      <c r="I65" s="0" t="n">
        <v>27.42</v>
      </c>
      <c r="J65" s="0" t="s">
        <v>39</v>
      </c>
    </row>
    <row r="66" customFormat="false" ht="15" hidden="false" customHeight="false" outlineLevel="0" collapsed="false">
      <c r="A66" s="0" t="s">
        <v>375</v>
      </c>
      <c r="B66" s="0" t="s">
        <v>230</v>
      </c>
      <c r="C66" s="0" t="s">
        <v>177</v>
      </c>
      <c r="D66" s="0" t="s">
        <v>414</v>
      </c>
      <c r="E66" s="0" t="s">
        <v>415</v>
      </c>
      <c r="F66" s="0" t="s">
        <v>378</v>
      </c>
      <c r="G66" s="0" t="n">
        <v>1</v>
      </c>
      <c r="I66" s="0" t="n">
        <v>13.71</v>
      </c>
      <c r="J66" s="0" t="s">
        <v>39</v>
      </c>
    </row>
    <row r="67" customFormat="false" ht="15" hidden="false" customHeight="false" outlineLevel="0" collapsed="false">
      <c r="A67" s="0" t="s">
        <v>375</v>
      </c>
      <c r="B67" s="0" t="s">
        <v>230</v>
      </c>
      <c r="C67" s="0" t="s">
        <v>177</v>
      </c>
      <c r="D67" s="0" t="s">
        <v>358</v>
      </c>
      <c r="E67" s="0" t="s">
        <v>359</v>
      </c>
      <c r="F67" s="0" t="s">
        <v>378</v>
      </c>
      <c r="G67" s="0" t="n">
        <v>2</v>
      </c>
      <c r="I67" s="0" t="n">
        <v>27.42</v>
      </c>
      <c r="J67" s="0" t="s">
        <v>39</v>
      </c>
    </row>
    <row r="68" customFormat="false" ht="15" hidden="false" customHeight="false" outlineLevel="0" collapsed="false">
      <c r="A68" s="0" t="s">
        <v>375</v>
      </c>
      <c r="B68" s="0" t="s">
        <v>230</v>
      </c>
      <c r="C68" s="0" t="s">
        <v>177</v>
      </c>
      <c r="D68" s="0" t="s">
        <v>416</v>
      </c>
      <c r="E68" s="0" t="s">
        <v>417</v>
      </c>
      <c r="F68" s="0" t="s">
        <v>378</v>
      </c>
      <c r="G68" s="0" t="n">
        <v>1</v>
      </c>
      <c r="I68" s="0" t="n">
        <v>13.71</v>
      </c>
      <c r="J68" s="0" t="s">
        <v>39</v>
      </c>
    </row>
    <row r="69" customFormat="false" ht="15" hidden="false" customHeight="false" outlineLevel="0" collapsed="false">
      <c r="A69" s="0" t="s">
        <v>375</v>
      </c>
      <c r="B69" s="0" t="s">
        <v>230</v>
      </c>
      <c r="C69" s="0" t="s">
        <v>177</v>
      </c>
      <c r="D69" s="0" t="s">
        <v>418</v>
      </c>
      <c r="E69" s="0" t="s">
        <v>419</v>
      </c>
      <c r="F69" s="0" t="s">
        <v>378</v>
      </c>
      <c r="G69" s="0" t="n">
        <v>1</v>
      </c>
      <c r="I69" s="0" t="n">
        <v>13.71</v>
      </c>
      <c r="J69" s="0" t="s">
        <v>39</v>
      </c>
    </row>
    <row r="70" customFormat="false" ht="15" hidden="false" customHeight="false" outlineLevel="0" collapsed="false">
      <c r="A70" s="0" t="s">
        <v>375</v>
      </c>
      <c r="B70" s="0" t="s">
        <v>230</v>
      </c>
      <c r="C70" s="0" t="s">
        <v>177</v>
      </c>
      <c r="D70" s="0" t="s">
        <v>420</v>
      </c>
      <c r="E70" s="0" t="s">
        <v>421</v>
      </c>
      <c r="F70" s="0" t="s">
        <v>378</v>
      </c>
      <c r="G70" s="0" t="n">
        <v>2</v>
      </c>
      <c r="I70" s="0" t="n">
        <v>27.42</v>
      </c>
      <c r="J70" s="0" t="s">
        <v>39</v>
      </c>
    </row>
    <row r="71" customFormat="false" ht="15" hidden="false" customHeight="false" outlineLevel="0" collapsed="false">
      <c r="A71" s="0" t="s">
        <v>375</v>
      </c>
      <c r="B71" s="0" t="s">
        <v>230</v>
      </c>
      <c r="C71" s="0" t="s">
        <v>177</v>
      </c>
      <c r="D71" s="0" t="s">
        <v>422</v>
      </c>
      <c r="E71" s="0" t="s">
        <v>423</v>
      </c>
      <c r="F71" s="0" t="s">
        <v>378</v>
      </c>
      <c r="G71" s="0" t="n">
        <v>1</v>
      </c>
      <c r="I71" s="0" t="n">
        <v>13.71</v>
      </c>
      <c r="J71" s="0" t="s">
        <v>39</v>
      </c>
    </row>
    <row r="72" customFormat="false" ht="15" hidden="false" customHeight="false" outlineLevel="0" collapsed="false">
      <c r="A72" s="0" t="s">
        <v>375</v>
      </c>
      <c r="B72" s="0" t="s">
        <v>230</v>
      </c>
      <c r="C72" s="0" t="s">
        <v>177</v>
      </c>
      <c r="D72" s="0" t="s">
        <v>424</v>
      </c>
      <c r="E72" s="0" t="s">
        <v>425</v>
      </c>
      <c r="F72" s="0" t="s">
        <v>378</v>
      </c>
      <c r="G72" s="0" t="n">
        <v>1</v>
      </c>
      <c r="I72" s="0" t="n">
        <v>13.71</v>
      </c>
      <c r="J72" s="0" t="s">
        <v>39</v>
      </c>
    </row>
    <row r="73" customFormat="false" ht="15" hidden="false" customHeight="false" outlineLevel="0" collapsed="false">
      <c r="A73" s="0" t="s">
        <v>426</v>
      </c>
      <c r="B73" s="0" t="s">
        <v>230</v>
      </c>
      <c r="C73" s="0" t="s">
        <v>302</v>
      </c>
      <c r="F73" s="0" t="s">
        <v>427</v>
      </c>
      <c r="G73" s="0" t="n">
        <v>32</v>
      </c>
      <c r="J73" s="0" t="s">
        <v>428</v>
      </c>
    </row>
    <row r="75" customFormat="false" ht="15" hidden="false" customHeight="false" outlineLevel="0" collapsed="false">
      <c r="A75" s="0" t="s">
        <v>429</v>
      </c>
      <c r="B75" s="0" t="s">
        <v>233</v>
      </c>
      <c r="C75" s="0" t="s">
        <v>182</v>
      </c>
      <c r="D75" s="0" t="s">
        <v>318</v>
      </c>
      <c r="E75" s="0" t="s">
        <v>319</v>
      </c>
      <c r="F75" s="0" t="s">
        <v>430</v>
      </c>
      <c r="G75" s="0" t="n">
        <v>1</v>
      </c>
      <c r="I75" s="0" t="n">
        <v>22.1</v>
      </c>
      <c r="J75" s="0" t="s">
        <v>39</v>
      </c>
    </row>
    <row r="76" customFormat="false" ht="15" hidden="false" customHeight="false" outlineLevel="0" collapsed="false">
      <c r="A76" s="0" t="s">
        <v>429</v>
      </c>
      <c r="B76" s="0" t="s">
        <v>233</v>
      </c>
      <c r="C76" s="0" t="s">
        <v>175</v>
      </c>
      <c r="D76" s="0" t="s">
        <v>431</v>
      </c>
      <c r="E76" s="0" t="s">
        <v>432</v>
      </c>
      <c r="F76" s="0" t="s">
        <v>430</v>
      </c>
      <c r="G76" s="0" t="n">
        <v>1</v>
      </c>
      <c r="I76" s="0" t="n">
        <v>25.9</v>
      </c>
      <c r="J76" s="0" t="s">
        <v>39</v>
      </c>
    </row>
    <row r="77" customFormat="false" ht="15" hidden="false" customHeight="false" outlineLevel="0" collapsed="false">
      <c r="A77" s="0" t="s">
        <v>429</v>
      </c>
      <c r="B77" s="0" t="s">
        <v>233</v>
      </c>
      <c r="C77" s="0" t="s">
        <v>175</v>
      </c>
      <c r="D77" s="0" t="s">
        <v>406</v>
      </c>
      <c r="E77" s="0" t="s">
        <v>407</v>
      </c>
      <c r="F77" s="0" t="s">
        <v>430</v>
      </c>
      <c r="G77" s="0" t="n">
        <v>1</v>
      </c>
      <c r="I77" s="0" t="n">
        <v>25.9</v>
      </c>
      <c r="J77" s="0" t="s">
        <v>39</v>
      </c>
    </row>
    <row r="78" customFormat="false" ht="15" hidden="false" customHeight="false" outlineLevel="0" collapsed="false">
      <c r="A78" s="0" t="s">
        <v>429</v>
      </c>
      <c r="B78" s="0" t="s">
        <v>233</v>
      </c>
      <c r="C78" s="0" t="s">
        <v>177</v>
      </c>
      <c r="D78" s="0" t="s">
        <v>433</v>
      </c>
      <c r="E78" s="0" t="s">
        <v>434</v>
      </c>
      <c r="F78" s="0" t="s">
        <v>430</v>
      </c>
      <c r="G78" s="0" t="n">
        <v>1</v>
      </c>
      <c r="I78" s="0" t="n">
        <v>25.9</v>
      </c>
      <c r="J78" s="0" t="s">
        <v>39</v>
      </c>
    </row>
    <row r="79" customFormat="false" ht="15" hidden="false" customHeight="false" outlineLevel="0" collapsed="false">
      <c r="A79" s="0" t="s">
        <v>435</v>
      </c>
      <c r="B79" s="0" t="s">
        <v>233</v>
      </c>
      <c r="C79" s="0" t="s">
        <v>302</v>
      </c>
      <c r="F79" s="0" t="s">
        <v>427</v>
      </c>
      <c r="G79" s="0" t="n">
        <v>4</v>
      </c>
      <c r="J79" s="0" t="s">
        <v>436</v>
      </c>
    </row>
    <row r="81" customFormat="false" ht="15" hidden="false" customHeight="false" outlineLevel="0" collapsed="false">
      <c r="A81" s="0" t="s">
        <v>437</v>
      </c>
      <c r="B81" s="0" t="s">
        <v>232</v>
      </c>
      <c r="C81" s="0" t="s">
        <v>182</v>
      </c>
      <c r="D81" s="0" t="s">
        <v>438</v>
      </c>
      <c r="E81" s="0" t="s">
        <v>439</v>
      </c>
      <c r="F81" s="0" t="s">
        <v>440</v>
      </c>
      <c r="G81" s="0" t="n">
        <v>1</v>
      </c>
      <c r="I81" s="0" t="n">
        <v>18.61</v>
      </c>
      <c r="J81" s="0" t="s">
        <v>39</v>
      </c>
    </row>
    <row r="82" customFormat="false" ht="15" hidden="false" customHeight="false" outlineLevel="0" collapsed="false">
      <c r="A82" s="0" t="s">
        <v>437</v>
      </c>
      <c r="B82" s="0" t="s">
        <v>232</v>
      </c>
      <c r="C82" s="0" t="s">
        <v>182</v>
      </c>
      <c r="D82" s="0" t="s">
        <v>376</v>
      </c>
      <c r="E82" s="0" t="s">
        <v>377</v>
      </c>
      <c r="F82" s="0" t="s">
        <v>440</v>
      </c>
      <c r="G82" s="0" t="n">
        <v>1</v>
      </c>
      <c r="I82" s="0" t="n">
        <v>18.61</v>
      </c>
      <c r="J82" s="0" t="s">
        <v>39</v>
      </c>
    </row>
    <row r="83" customFormat="false" ht="15" hidden="false" customHeight="false" outlineLevel="0" collapsed="false">
      <c r="A83" s="0" t="s">
        <v>437</v>
      </c>
      <c r="B83" s="0" t="s">
        <v>232</v>
      </c>
      <c r="C83" s="0" t="s">
        <v>182</v>
      </c>
      <c r="D83" s="0" t="s">
        <v>292</v>
      </c>
      <c r="E83" s="0" t="s">
        <v>293</v>
      </c>
      <c r="F83" s="0" t="s">
        <v>440</v>
      </c>
      <c r="G83" s="0" t="n">
        <v>2</v>
      </c>
      <c r="I83" s="0" t="n">
        <v>37.22</v>
      </c>
      <c r="J83" s="0" t="s">
        <v>39</v>
      </c>
    </row>
    <row r="84" customFormat="false" ht="15" hidden="false" customHeight="false" outlineLevel="0" collapsed="false">
      <c r="A84" s="0" t="s">
        <v>437</v>
      </c>
      <c r="B84" s="0" t="s">
        <v>232</v>
      </c>
      <c r="C84" s="0" t="s">
        <v>182</v>
      </c>
      <c r="D84" s="0" t="s">
        <v>313</v>
      </c>
      <c r="E84" s="0" t="s">
        <v>314</v>
      </c>
      <c r="F84" s="0" t="s">
        <v>440</v>
      </c>
      <c r="G84" s="0" t="n">
        <v>1</v>
      </c>
      <c r="I84" s="0" t="n">
        <v>18.61</v>
      </c>
      <c r="J84" s="0" t="s">
        <v>39</v>
      </c>
    </row>
    <row r="85" customFormat="false" ht="15" hidden="false" customHeight="false" outlineLevel="0" collapsed="false">
      <c r="A85" s="0" t="s">
        <v>437</v>
      </c>
      <c r="B85" s="0" t="s">
        <v>232</v>
      </c>
      <c r="C85" s="0" t="s">
        <v>182</v>
      </c>
      <c r="D85" s="0" t="s">
        <v>441</v>
      </c>
      <c r="E85" s="0" t="s">
        <v>442</v>
      </c>
      <c r="F85" s="0" t="s">
        <v>443</v>
      </c>
      <c r="G85" s="0" t="n">
        <v>1</v>
      </c>
      <c r="I85" s="0" t="n">
        <v>18.61</v>
      </c>
      <c r="J85" s="0" t="s">
        <v>39</v>
      </c>
    </row>
    <row r="86" customFormat="false" ht="15" hidden="false" customHeight="false" outlineLevel="0" collapsed="false">
      <c r="A86" s="0" t="s">
        <v>437</v>
      </c>
      <c r="B86" s="0" t="s">
        <v>232</v>
      </c>
      <c r="C86" s="0" t="s">
        <v>182</v>
      </c>
      <c r="D86" s="0" t="s">
        <v>381</v>
      </c>
      <c r="E86" s="0" t="s">
        <v>382</v>
      </c>
      <c r="F86" s="0" t="s">
        <v>440</v>
      </c>
      <c r="G86" s="0" t="n">
        <v>1</v>
      </c>
      <c r="I86" s="0" t="n">
        <v>18.61</v>
      </c>
      <c r="J86" s="0" t="s">
        <v>39</v>
      </c>
    </row>
    <row r="87" customFormat="false" ht="15" hidden="false" customHeight="false" outlineLevel="0" collapsed="false">
      <c r="A87" s="0" t="s">
        <v>437</v>
      </c>
      <c r="B87" s="0" t="s">
        <v>232</v>
      </c>
      <c r="C87" s="0" t="s">
        <v>182</v>
      </c>
      <c r="D87" s="0" t="s">
        <v>444</v>
      </c>
      <c r="E87" s="0" t="s">
        <v>445</v>
      </c>
      <c r="F87" s="0" t="s">
        <v>440</v>
      </c>
      <c r="G87" s="0" t="n">
        <v>1</v>
      </c>
      <c r="I87" s="0" t="n">
        <v>18.61</v>
      </c>
      <c r="J87" s="0" t="s">
        <v>39</v>
      </c>
    </row>
    <row r="88" customFormat="false" ht="15" hidden="false" customHeight="false" outlineLevel="0" collapsed="false">
      <c r="A88" s="0" t="s">
        <v>437</v>
      </c>
      <c r="B88" s="0" t="s">
        <v>232</v>
      </c>
      <c r="C88" s="0" t="s">
        <v>175</v>
      </c>
      <c r="D88" s="0" t="s">
        <v>446</v>
      </c>
      <c r="E88" s="0" t="s">
        <v>447</v>
      </c>
      <c r="F88" s="0" t="s">
        <v>443</v>
      </c>
      <c r="G88" s="0" t="n">
        <v>1</v>
      </c>
      <c r="I88" s="0" t="n">
        <v>19.48</v>
      </c>
      <c r="J88" s="0" t="s">
        <v>39</v>
      </c>
    </row>
    <row r="89" customFormat="false" ht="15" hidden="false" customHeight="false" outlineLevel="0" collapsed="false">
      <c r="A89" s="0" t="s">
        <v>437</v>
      </c>
      <c r="B89" s="0" t="s">
        <v>232</v>
      </c>
      <c r="C89" s="0" t="s">
        <v>175</v>
      </c>
      <c r="D89" s="0" t="s">
        <v>431</v>
      </c>
      <c r="E89" s="0" t="s">
        <v>432</v>
      </c>
      <c r="F89" s="0" t="s">
        <v>448</v>
      </c>
      <c r="G89" s="0" t="n">
        <v>1</v>
      </c>
      <c r="I89" s="0" t="n">
        <v>19.48</v>
      </c>
      <c r="J89" s="0" t="s">
        <v>39</v>
      </c>
    </row>
    <row r="90" customFormat="false" ht="15" hidden="false" customHeight="false" outlineLevel="0" collapsed="false">
      <c r="A90" s="0" t="s">
        <v>449</v>
      </c>
      <c r="B90" s="0" t="s">
        <v>232</v>
      </c>
      <c r="C90" s="0" t="s">
        <v>302</v>
      </c>
      <c r="F90" s="0" t="s">
        <v>427</v>
      </c>
      <c r="G90" s="0" t="n">
        <v>10</v>
      </c>
      <c r="J90" s="0" t="s">
        <v>450</v>
      </c>
    </row>
    <row r="92" customFormat="false" ht="15" hidden="false" customHeight="false" outlineLevel="0" collapsed="false">
      <c r="A92" s="0" t="s">
        <v>451</v>
      </c>
      <c r="B92" s="0" t="s">
        <v>234</v>
      </c>
      <c r="C92" s="0" t="s">
        <v>182</v>
      </c>
      <c r="D92" s="0" t="s">
        <v>452</v>
      </c>
      <c r="E92" s="0" t="s">
        <v>453</v>
      </c>
      <c r="F92" s="0" t="s">
        <v>454</v>
      </c>
      <c r="G92" s="0" t="n">
        <v>1</v>
      </c>
      <c r="I92" s="0" t="n">
        <v>16.43</v>
      </c>
      <c r="J92" s="0" t="s">
        <v>39</v>
      </c>
    </row>
    <row r="93" customFormat="false" ht="15" hidden="false" customHeight="false" outlineLevel="0" collapsed="false">
      <c r="A93" s="0" t="s">
        <v>451</v>
      </c>
      <c r="B93" s="0" t="s">
        <v>234</v>
      </c>
      <c r="C93" s="0" t="s">
        <v>182</v>
      </c>
      <c r="D93" s="0" t="s">
        <v>455</v>
      </c>
      <c r="E93" s="0" t="s">
        <v>456</v>
      </c>
      <c r="F93" s="0" t="s">
        <v>454</v>
      </c>
      <c r="G93" s="0" t="n">
        <v>1</v>
      </c>
      <c r="I93" s="0" t="n">
        <v>16.43</v>
      </c>
      <c r="J93" s="0" t="s">
        <v>39</v>
      </c>
    </row>
    <row r="94" customFormat="false" ht="15" hidden="false" customHeight="false" outlineLevel="0" collapsed="false">
      <c r="A94" s="0" t="s">
        <v>451</v>
      </c>
      <c r="B94" s="0" t="s">
        <v>234</v>
      </c>
      <c r="C94" s="0" t="s">
        <v>175</v>
      </c>
      <c r="D94" s="0" t="s">
        <v>386</v>
      </c>
      <c r="E94" s="0" t="s">
        <v>387</v>
      </c>
      <c r="F94" s="0" t="s">
        <v>454</v>
      </c>
      <c r="G94" s="0" t="n">
        <v>1</v>
      </c>
      <c r="I94" s="0" t="n">
        <v>17.11</v>
      </c>
      <c r="J94" s="0" t="s">
        <v>39</v>
      </c>
    </row>
    <row r="95" customFormat="false" ht="15" hidden="false" customHeight="false" outlineLevel="0" collapsed="false">
      <c r="A95" s="0" t="s">
        <v>451</v>
      </c>
      <c r="B95" s="0" t="s">
        <v>234</v>
      </c>
      <c r="C95" s="0" t="s">
        <v>175</v>
      </c>
      <c r="D95" s="0" t="s">
        <v>390</v>
      </c>
      <c r="E95" s="0" t="s">
        <v>391</v>
      </c>
      <c r="F95" s="0" t="s">
        <v>457</v>
      </c>
      <c r="G95" s="0" t="n">
        <v>0</v>
      </c>
      <c r="J95" s="0" t="s">
        <v>383</v>
      </c>
    </row>
    <row r="96" customFormat="false" ht="15" hidden="false" customHeight="false" outlineLevel="0" collapsed="false">
      <c r="A96" s="0" t="s">
        <v>451</v>
      </c>
      <c r="B96" s="0" t="s">
        <v>234</v>
      </c>
      <c r="C96" s="0" t="s">
        <v>175</v>
      </c>
      <c r="D96" s="0" t="s">
        <v>392</v>
      </c>
      <c r="E96" s="0" t="s">
        <v>393</v>
      </c>
      <c r="F96" s="0" t="s">
        <v>454</v>
      </c>
      <c r="G96" s="0" t="n">
        <v>1</v>
      </c>
      <c r="I96" s="0" t="n">
        <v>17.11</v>
      </c>
      <c r="J96" s="0" t="s">
        <v>39</v>
      </c>
    </row>
    <row r="97" customFormat="false" ht="15" hidden="false" customHeight="false" outlineLevel="0" collapsed="false">
      <c r="A97" s="0" t="s">
        <v>451</v>
      </c>
      <c r="B97" s="0" t="s">
        <v>234</v>
      </c>
      <c r="C97" s="0" t="s">
        <v>175</v>
      </c>
      <c r="D97" s="0" t="s">
        <v>394</v>
      </c>
      <c r="E97" s="0" t="s">
        <v>395</v>
      </c>
      <c r="F97" s="0" t="s">
        <v>454</v>
      </c>
      <c r="G97" s="0" t="n">
        <v>1</v>
      </c>
      <c r="I97" s="0" t="n">
        <v>17.11</v>
      </c>
      <c r="J97" s="0" t="s">
        <v>39</v>
      </c>
    </row>
    <row r="98" customFormat="false" ht="15" hidden="false" customHeight="false" outlineLevel="0" collapsed="false">
      <c r="A98" s="0" t="s">
        <v>451</v>
      </c>
      <c r="B98" s="0" t="s">
        <v>234</v>
      </c>
      <c r="C98" s="0" t="s">
        <v>175</v>
      </c>
      <c r="D98" s="0" t="s">
        <v>338</v>
      </c>
      <c r="E98" s="0" t="s">
        <v>339</v>
      </c>
      <c r="F98" s="0" t="s">
        <v>454</v>
      </c>
      <c r="G98" s="0" t="n">
        <v>1</v>
      </c>
      <c r="I98" s="0" t="n">
        <v>17.11</v>
      </c>
      <c r="J98" s="0" t="s">
        <v>39</v>
      </c>
    </row>
    <row r="99" customFormat="false" ht="15" hidden="false" customHeight="false" outlineLevel="0" collapsed="false">
      <c r="A99" s="0" t="s">
        <v>451</v>
      </c>
      <c r="B99" s="0" t="s">
        <v>234</v>
      </c>
      <c r="C99" s="0" t="s">
        <v>175</v>
      </c>
      <c r="D99" s="0" t="s">
        <v>340</v>
      </c>
      <c r="E99" s="0" t="s">
        <v>341</v>
      </c>
      <c r="F99" s="0" t="s">
        <v>454</v>
      </c>
      <c r="G99" s="0" t="n">
        <v>1</v>
      </c>
      <c r="I99" s="0" t="n">
        <v>17.11</v>
      </c>
      <c r="J99" s="0" t="s">
        <v>39</v>
      </c>
    </row>
    <row r="100" customFormat="false" ht="15" hidden="false" customHeight="false" outlineLevel="0" collapsed="false">
      <c r="A100" s="0" t="s">
        <v>451</v>
      </c>
      <c r="B100" s="0" t="s">
        <v>234</v>
      </c>
      <c r="C100" s="0" t="s">
        <v>175</v>
      </c>
      <c r="D100" s="0" t="s">
        <v>400</v>
      </c>
      <c r="E100" s="0" t="s">
        <v>401</v>
      </c>
      <c r="F100" s="0" t="s">
        <v>458</v>
      </c>
      <c r="G100" s="0" t="n">
        <v>1</v>
      </c>
      <c r="I100" s="0" t="n">
        <v>17.11</v>
      </c>
      <c r="J100" s="0" t="s">
        <v>39</v>
      </c>
    </row>
    <row r="101" customFormat="false" ht="15" hidden="false" customHeight="false" outlineLevel="0" collapsed="false">
      <c r="A101" s="0" t="s">
        <v>451</v>
      </c>
      <c r="B101" s="0" t="s">
        <v>234</v>
      </c>
      <c r="C101" s="0" t="s">
        <v>175</v>
      </c>
      <c r="D101" s="0" t="s">
        <v>459</v>
      </c>
      <c r="E101" s="0" t="s">
        <v>460</v>
      </c>
      <c r="F101" s="0" t="s">
        <v>454</v>
      </c>
      <c r="G101" s="0" t="n">
        <v>1</v>
      </c>
      <c r="I101" s="0" t="n">
        <v>17.11</v>
      </c>
      <c r="J101" s="0" t="s">
        <v>39</v>
      </c>
    </row>
    <row r="102" customFormat="false" ht="15" hidden="false" customHeight="false" outlineLevel="0" collapsed="false">
      <c r="A102" s="0" t="s">
        <v>451</v>
      </c>
      <c r="B102" s="0" t="s">
        <v>234</v>
      </c>
      <c r="C102" s="0" t="s">
        <v>175</v>
      </c>
      <c r="D102" s="0" t="s">
        <v>461</v>
      </c>
      <c r="E102" s="0" t="s">
        <v>462</v>
      </c>
      <c r="F102" s="0" t="s">
        <v>454</v>
      </c>
      <c r="G102" s="0" t="n">
        <v>1</v>
      </c>
      <c r="I102" s="0" t="n">
        <v>17.11</v>
      </c>
      <c r="J102" s="0" t="s">
        <v>39</v>
      </c>
    </row>
    <row r="103" customFormat="false" ht="15" hidden="false" customHeight="false" outlineLevel="0" collapsed="false">
      <c r="A103" s="0" t="s">
        <v>451</v>
      </c>
      <c r="B103" s="0" t="s">
        <v>234</v>
      </c>
      <c r="C103" s="0" t="s">
        <v>175</v>
      </c>
      <c r="D103" s="0" t="s">
        <v>348</v>
      </c>
      <c r="E103" s="0" t="s">
        <v>463</v>
      </c>
      <c r="F103" s="0" t="s">
        <v>454</v>
      </c>
      <c r="G103" s="0" t="n">
        <v>1</v>
      </c>
      <c r="I103" s="0" t="n">
        <v>17.11</v>
      </c>
      <c r="J103" s="0" t="s">
        <v>39</v>
      </c>
    </row>
    <row r="104" customFormat="false" ht="15" hidden="false" customHeight="false" outlineLevel="0" collapsed="false">
      <c r="A104" s="0" t="s">
        <v>451</v>
      </c>
      <c r="B104" s="0" t="s">
        <v>234</v>
      </c>
      <c r="C104" s="0" t="s">
        <v>175</v>
      </c>
      <c r="D104" s="0" t="s">
        <v>402</v>
      </c>
      <c r="E104" s="0" t="s">
        <v>403</v>
      </c>
      <c r="F104" s="0" t="s">
        <v>454</v>
      </c>
      <c r="G104" s="0" t="n">
        <v>1</v>
      </c>
      <c r="I104" s="0" t="n">
        <v>17.11</v>
      </c>
      <c r="J104" s="0" t="s">
        <v>39</v>
      </c>
    </row>
    <row r="105" customFormat="false" ht="15" hidden="false" customHeight="false" outlineLevel="0" collapsed="false">
      <c r="A105" s="0" t="s">
        <v>451</v>
      </c>
      <c r="B105" s="0" t="s">
        <v>234</v>
      </c>
      <c r="C105" s="0" t="s">
        <v>175</v>
      </c>
      <c r="D105" s="0" t="s">
        <v>464</v>
      </c>
      <c r="E105" s="0" t="s">
        <v>465</v>
      </c>
      <c r="F105" s="0" t="s">
        <v>454</v>
      </c>
      <c r="G105" s="0" t="n">
        <v>2</v>
      </c>
      <c r="I105" s="0" t="n">
        <v>34.22</v>
      </c>
      <c r="J105" s="0" t="s">
        <v>39</v>
      </c>
    </row>
    <row r="106" customFormat="false" ht="15" hidden="false" customHeight="false" outlineLevel="0" collapsed="false">
      <c r="A106" s="0" t="s">
        <v>451</v>
      </c>
      <c r="B106" s="0" t="s">
        <v>234</v>
      </c>
      <c r="C106" s="0" t="s">
        <v>177</v>
      </c>
      <c r="D106" s="0" t="s">
        <v>466</v>
      </c>
      <c r="E106" s="0" t="s">
        <v>467</v>
      </c>
      <c r="F106" s="0" t="s">
        <v>454</v>
      </c>
      <c r="G106" s="0" t="n">
        <v>1</v>
      </c>
      <c r="I106" s="0" t="n">
        <v>17.11</v>
      </c>
      <c r="J106" s="0" t="s">
        <v>39</v>
      </c>
    </row>
    <row r="107" customFormat="false" ht="15" hidden="false" customHeight="false" outlineLevel="0" collapsed="false">
      <c r="A107" s="0" t="s">
        <v>451</v>
      </c>
      <c r="B107" s="0" t="s">
        <v>234</v>
      </c>
      <c r="C107" s="0" t="s">
        <v>177</v>
      </c>
      <c r="D107" s="0" t="s">
        <v>414</v>
      </c>
      <c r="E107" s="0" t="s">
        <v>415</v>
      </c>
      <c r="F107" s="0" t="s">
        <v>454</v>
      </c>
      <c r="G107" s="0" t="n">
        <v>1</v>
      </c>
      <c r="I107" s="0" t="n">
        <v>17.11</v>
      </c>
      <c r="J107" s="0" t="s">
        <v>39</v>
      </c>
    </row>
    <row r="108" customFormat="false" ht="15" hidden="false" customHeight="false" outlineLevel="0" collapsed="false">
      <c r="A108" s="0" t="s">
        <v>451</v>
      </c>
      <c r="B108" s="0" t="s">
        <v>234</v>
      </c>
      <c r="C108" s="0" t="s">
        <v>177</v>
      </c>
      <c r="D108" s="0" t="s">
        <v>468</v>
      </c>
      <c r="E108" s="0" t="s">
        <v>469</v>
      </c>
      <c r="F108" s="0" t="s">
        <v>454</v>
      </c>
      <c r="G108" s="0" t="n">
        <v>1</v>
      </c>
      <c r="I108" s="0" t="n">
        <v>17.11</v>
      </c>
      <c r="J108" s="0" t="s">
        <v>39</v>
      </c>
    </row>
    <row r="109" customFormat="false" ht="15" hidden="false" customHeight="false" outlineLevel="0" collapsed="false">
      <c r="A109" s="0" t="s">
        <v>451</v>
      </c>
      <c r="B109" s="0" t="s">
        <v>234</v>
      </c>
      <c r="C109" s="0" t="s">
        <v>177</v>
      </c>
      <c r="D109" s="0" t="s">
        <v>416</v>
      </c>
      <c r="E109" s="0" t="s">
        <v>417</v>
      </c>
      <c r="F109" s="0" t="s">
        <v>454</v>
      </c>
      <c r="G109" s="0" t="n">
        <v>1</v>
      </c>
      <c r="I109" s="0" t="n">
        <v>17.11</v>
      </c>
      <c r="J109" s="0" t="s">
        <v>39</v>
      </c>
    </row>
    <row r="110" customFormat="false" ht="15" hidden="false" customHeight="false" outlineLevel="0" collapsed="false">
      <c r="A110" s="0" t="s">
        <v>451</v>
      </c>
      <c r="B110" s="0" t="s">
        <v>234</v>
      </c>
      <c r="C110" s="0" t="s">
        <v>177</v>
      </c>
      <c r="D110" s="0" t="s">
        <v>470</v>
      </c>
      <c r="E110" s="0" t="s">
        <v>471</v>
      </c>
      <c r="F110" s="0" t="s">
        <v>454</v>
      </c>
      <c r="G110" s="0" t="n">
        <v>1</v>
      </c>
      <c r="I110" s="0" t="n">
        <v>17.11</v>
      </c>
      <c r="J110" s="0" t="s">
        <v>39</v>
      </c>
    </row>
    <row r="111" customFormat="false" ht="15" hidden="false" customHeight="false" outlineLevel="0" collapsed="false">
      <c r="A111" s="0" t="s">
        <v>451</v>
      </c>
      <c r="B111" s="0" t="s">
        <v>234</v>
      </c>
      <c r="C111" s="0" t="s">
        <v>177</v>
      </c>
      <c r="D111" s="0" t="s">
        <v>366</v>
      </c>
      <c r="E111" s="0" t="s">
        <v>367</v>
      </c>
      <c r="F111" s="0" t="s">
        <v>454</v>
      </c>
      <c r="G111" s="0" t="n">
        <v>1</v>
      </c>
      <c r="I111" s="0" t="n">
        <v>17.11</v>
      </c>
      <c r="J111" s="0" t="s">
        <v>39</v>
      </c>
    </row>
    <row r="112" customFormat="false" ht="15" hidden="false" customHeight="false" outlineLevel="0" collapsed="false">
      <c r="A112" s="0" t="s">
        <v>451</v>
      </c>
      <c r="B112" s="0" t="s">
        <v>234</v>
      </c>
      <c r="C112" s="0" t="s">
        <v>177</v>
      </c>
      <c r="D112" s="0" t="s">
        <v>422</v>
      </c>
      <c r="E112" s="0" t="s">
        <v>423</v>
      </c>
      <c r="F112" s="0" t="s">
        <v>454</v>
      </c>
      <c r="G112" s="0" t="n">
        <v>1</v>
      </c>
      <c r="I112" s="0" t="n">
        <v>17.11</v>
      </c>
      <c r="J112" s="0" t="s">
        <v>39</v>
      </c>
    </row>
    <row r="113" customFormat="false" ht="15" hidden="false" customHeight="false" outlineLevel="0" collapsed="false">
      <c r="A113" s="0" t="s">
        <v>451</v>
      </c>
      <c r="B113" s="0" t="s">
        <v>234</v>
      </c>
      <c r="C113" s="0" t="s">
        <v>177</v>
      </c>
      <c r="D113" s="0" t="s">
        <v>472</v>
      </c>
      <c r="E113" s="0" t="s">
        <v>473</v>
      </c>
      <c r="F113" s="0" t="s">
        <v>454</v>
      </c>
      <c r="G113" s="0" t="n">
        <v>1</v>
      </c>
      <c r="I113" s="0" t="n">
        <v>17.11</v>
      </c>
      <c r="J113" s="0" t="s">
        <v>39</v>
      </c>
    </row>
    <row r="114" customFormat="false" ht="15" hidden="false" customHeight="false" outlineLevel="0" collapsed="false">
      <c r="A114" s="0" t="s">
        <v>451</v>
      </c>
      <c r="B114" s="0" t="s">
        <v>234</v>
      </c>
      <c r="C114" s="0" t="s">
        <v>177</v>
      </c>
      <c r="D114" s="0" t="s">
        <v>474</v>
      </c>
      <c r="E114" s="0" t="s">
        <v>475</v>
      </c>
      <c r="F114" s="0" t="s">
        <v>454</v>
      </c>
      <c r="G114" s="0" t="n">
        <v>1</v>
      </c>
      <c r="I114" s="0" t="n">
        <v>17.11</v>
      </c>
      <c r="J114" s="0" t="s">
        <v>39</v>
      </c>
    </row>
    <row r="115" customFormat="false" ht="15" hidden="false" customHeight="false" outlineLevel="0" collapsed="false">
      <c r="A115" s="0" t="s">
        <v>451</v>
      </c>
      <c r="B115" s="0" t="s">
        <v>234</v>
      </c>
      <c r="C115" s="0" t="s">
        <v>177</v>
      </c>
      <c r="D115" s="0" t="s">
        <v>370</v>
      </c>
      <c r="E115" s="0" t="s">
        <v>371</v>
      </c>
      <c r="F115" s="0" t="s">
        <v>454</v>
      </c>
      <c r="G115" s="0" t="n">
        <v>1</v>
      </c>
      <c r="I115" s="0" t="n">
        <v>17.11</v>
      </c>
      <c r="J115" s="0" t="s">
        <v>39</v>
      </c>
    </row>
    <row r="116" customFormat="false" ht="15" hidden="false" customHeight="false" outlineLevel="0" collapsed="false">
      <c r="A116" s="0" t="s">
        <v>451</v>
      </c>
      <c r="B116" s="0" t="s">
        <v>234</v>
      </c>
      <c r="C116" s="0" t="s">
        <v>177</v>
      </c>
      <c r="D116" s="0" t="s">
        <v>424</v>
      </c>
      <c r="E116" s="0" t="s">
        <v>425</v>
      </c>
      <c r="F116" s="0" t="s">
        <v>454</v>
      </c>
      <c r="G116" s="0" t="n">
        <v>1</v>
      </c>
      <c r="I116" s="0" t="n">
        <v>17.11</v>
      </c>
      <c r="J116" s="0" t="s">
        <v>39</v>
      </c>
    </row>
    <row r="117" customFormat="false" ht="15" hidden="false" customHeight="false" outlineLevel="0" collapsed="false">
      <c r="A117" s="0" t="s">
        <v>476</v>
      </c>
      <c r="B117" s="0" t="s">
        <v>234</v>
      </c>
      <c r="C117" s="0" t="s">
        <v>302</v>
      </c>
      <c r="F117" s="0" t="s">
        <v>427</v>
      </c>
      <c r="G117" s="0" t="n">
        <v>25</v>
      </c>
      <c r="J117" s="0" t="s">
        <v>477</v>
      </c>
    </row>
    <row r="119" customFormat="false" ht="15" hidden="false" customHeight="false" outlineLevel="0" collapsed="false">
      <c r="A119" s="0" t="s">
        <v>478</v>
      </c>
      <c r="B119" s="0" t="s">
        <v>479</v>
      </c>
      <c r="C119" s="0" t="s">
        <v>182</v>
      </c>
      <c r="D119" s="0" t="s">
        <v>480</v>
      </c>
      <c r="E119" s="0" t="s">
        <v>481</v>
      </c>
      <c r="F119" s="0" t="s">
        <v>482</v>
      </c>
      <c r="G119" s="0" t="n">
        <v>1</v>
      </c>
      <c r="I119" s="0" t="n">
        <v>18.9</v>
      </c>
      <c r="J119" s="0" t="s">
        <v>39</v>
      </c>
    </row>
    <row r="120" customFormat="false" ht="15" hidden="false" customHeight="false" outlineLevel="0" collapsed="false">
      <c r="A120" s="0" t="s">
        <v>478</v>
      </c>
      <c r="B120" s="0" t="s">
        <v>479</v>
      </c>
      <c r="C120" s="0" t="s">
        <v>175</v>
      </c>
      <c r="D120" s="0" t="s">
        <v>348</v>
      </c>
      <c r="E120" s="0" t="s">
        <v>349</v>
      </c>
      <c r="F120" s="0" t="s">
        <v>482</v>
      </c>
      <c r="G120" s="0" t="n">
        <v>1</v>
      </c>
      <c r="I120" s="0" t="n">
        <v>19.8</v>
      </c>
      <c r="J120" s="0" t="s">
        <v>39</v>
      </c>
    </row>
    <row r="121" customFormat="false" ht="15" hidden="false" customHeight="false" outlineLevel="0" collapsed="false">
      <c r="A121" s="0" t="s">
        <v>478</v>
      </c>
      <c r="B121" s="0" t="s">
        <v>479</v>
      </c>
      <c r="C121" s="0" t="s">
        <v>175</v>
      </c>
      <c r="D121" s="0" t="s">
        <v>483</v>
      </c>
      <c r="E121" s="0" t="s">
        <v>484</v>
      </c>
      <c r="F121" s="0" t="s">
        <v>482</v>
      </c>
      <c r="G121" s="0" t="n">
        <v>-1</v>
      </c>
      <c r="I121" s="0" t="n">
        <v>-19.8</v>
      </c>
      <c r="J121" s="0" t="s">
        <v>39</v>
      </c>
    </row>
    <row r="122" customFormat="false" ht="15" hidden="false" customHeight="false" outlineLevel="0" collapsed="false">
      <c r="A122" s="0" t="s">
        <v>485</v>
      </c>
      <c r="B122" s="0" t="s">
        <v>479</v>
      </c>
      <c r="C122" s="0" t="s">
        <v>302</v>
      </c>
      <c r="F122" s="0" t="s">
        <v>427</v>
      </c>
      <c r="G122" s="0" t="n">
        <v>1</v>
      </c>
      <c r="J122" s="0" t="s">
        <v>255</v>
      </c>
    </row>
    <row r="124" customFormat="false" ht="15" hidden="false" customHeight="false" outlineLevel="0" collapsed="false">
      <c r="A124" s="0" t="s">
        <v>486</v>
      </c>
      <c r="B124" s="0" t="s">
        <v>487</v>
      </c>
      <c r="C124" s="0" t="s">
        <v>177</v>
      </c>
      <c r="D124" s="0" t="s">
        <v>488</v>
      </c>
      <c r="E124" s="0" t="s">
        <v>489</v>
      </c>
      <c r="F124" s="0" t="s">
        <v>490</v>
      </c>
      <c r="G124" s="0" t="n">
        <v>1</v>
      </c>
      <c r="I124" s="0" t="n">
        <v>19.11</v>
      </c>
      <c r="J124" s="0" t="s">
        <v>39</v>
      </c>
    </row>
    <row r="125" customFormat="false" ht="15" hidden="false" customHeight="false" outlineLevel="0" collapsed="false">
      <c r="A125" s="0" t="s">
        <v>491</v>
      </c>
      <c r="B125" s="0" t="s">
        <v>487</v>
      </c>
      <c r="C125" s="0" t="s">
        <v>302</v>
      </c>
      <c r="F125" s="0" t="s">
        <v>427</v>
      </c>
      <c r="G125" s="0" t="n">
        <v>1</v>
      </c>
      <c r="J125" s="0" t="s">
        <v>255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3" min="2" style="0" width="28"/>
    <col collapsed="false" customWidth="true" hidden="false" outlineLevel="0" max="4" min="4" style="0" width="12"/>
  </cols>
  <sheetData>
    <row r="1" customFormat="false" ht="15" hidden="false" customHeight="false" outlineLevel="0" collapsed="false">
      <c r="A1" s="1" t="s">
        <v>492</v>
      </c>
    </row>
    <row r="3" customFormat="false" ht="28.35" hidden="false" customHeight="false" outlineLevel="0" collapsed="false">
      <c r="A3" s="3" t="s">
        <v>23</v>
      </c>
      <c r="B3" s="3" t="s">
        <v>493</v>
      </c>
      <c r="C3" s="3" t="s">
        <v>494</v>
      </c>
      <c r="D3" s="3" t="s">
        <v>495</v>
      </c>
    </row>
    <row r="4" customFormat="false" ht="15" hidden="false" customHeight="false" outlineLevel="0" collapsed="false">
      <c r="A4" s="0" t="s">
        <v>66</v>
      </c>
      <c r="B4" s="0" t="n">
        <v>12.9</v>
      </c>
      <c r="C4" s="0" t="n">
        <v>0</v>
      </c>
      <c r="D4" s="0" t="n">
        <f aca="false">B4+C4</f>
        <v>12.9</v>
      </c>
    </row>
    <row r="5" customFormat="false" ht="15" hidden="false" customHeight="false" outlineLevel="0" collapsed="false">
      <c r="A5" s="0" t="s">
        <v>38</v>
      </c>
      <c r="B5" s="0" t="n">
        <v>52.9</v>
      </c>
      <c r="C5" s="0" t="n">
        <v>0</v>
      </c>
      <c r="D5" s="0" t="n">
        <f aca="false">B5+C5</f>
        <v>52.9</v>
      </c>
    </row>
    <row r="6" customFormat="false" ht="15" hidden="false" customHeight="false" outlineLevel="0" collapsed="false">
      <c r="A6" s="0" t="s">
        <v>155</v>
      </c>
      <c r="B6" s="0" t="n">
        <v>0.92</v>
      </c>
      <c r="C6" s="0" t="n">
        <f aca="false">Calcul!E10</f>
        <v>14.36</v>
      </c>
      <c r="D6" s="0" t="n">
        <f aca="false">B6+C6</f>
        <v>15.28</v>
      </c>
    </row>
    <row r="7" customFormat="false" ht="15" hidden="false" customHeight="false" outlineLevel="0" collapsed="false">
      <c r="A7" s="0" t="s">
        <v>496</v>
      </c>
      <c r="B7" s="0" t="n">
        <v>5.96</v>
      </c>
      <c r="C7" s="0" t="n">
        <v>0</v>
      </c>
      <c r="D7" s="0" t="n">
        <f aca="false">B7+C7</f>
        <v>5.96</v>
      </c>
    </row>
    <row r="8" customFormat="false" ht="15" hidden="false" customHeight="false" outlineLevel="0" collapsed="false">
      <c r="A8" s="0" t="s">
        <v>157</v>
      </c>
      <c r="B8" s="0" t="n">
        <v>0</v>
      </c>
      <c r="C8" s="0" t="n">
        <f aca="false">Calcul!E11</f>
        <v>2.1</v>
      </c>
      <c r="D8" s="0" t="n">
        <f aca="false">B8+C8</f>
        <v>2.1</v>
      </c>
    </row>
    <row r="9" customFormat="false" ht="15" hidden="false" customHeight="false" outlineLevel="0" collapsed="false">
      <c r="A9" s="0" t="s">
        <v>159</v>
      </c>
      <c r="B9" s="0" t="n">
        <v>0</v>
      </c>
      <c r="C9" s="0" t="n">
        <f aca="false">Calcul!E12</f>
        <v>4.07</v>
      </c>
      <c r="D9" s="0" t="n">
        <f aca="false">B9+C9</f>
        <v>4.07</v>
      </c>
    </row>
    <row r="10" customFormat="false" ht="15" hidden="false" customHeight="false" outlineLevel="0" collapsed="false">
      <c r="A10" s="0" t="s">
        <v>46</v>
      </c>
      <c r="B10" s="0" t="n">
        <v>0</v>
      </c>
      <c r="C10" s="0" t="n">
        <f aca="false">Calcul!E4</f>
        <v>0</v>
      </c>
      <c r="D10" s="0" t="n">
        <f aca="false">B10+C10</f>
        <v>0</v>
      </c>
    </row>
    <row r="11" customFormat="false" ht="15" hidden="false" customHeight="false" outlineLevel="0" collapsed="false">
      <c r="A11" s="0" t="s">
        <v>70</v>
      </c>
      <c r="B11" s="0" t="n">
        <v>0</v>
      </c>
      <c r="C11" s="0" t="n">
        <f aca="false">Calcul!E5</f>
        <v>0</v>
      </c>
      <c r="D11" s="0" t="n">
        <f aca="false">B11+C11</f>
        <v>0</v>
      </c>
    </row>
    <row r="12" customFormat="false" ht="15" hidden="false" customHeight="false" outlineLevel="0" collapsed="false">
      <c r="A12" s="0" t="s">
        <v>51</v>
      </c>
      <c r="B12" s="0" t="n">
        <v>0</v>
      </c>
      <c r="C12" s="0" t="n">
        <f aca="false">Calcul!E7</f>
        <v>0</v>
      </c>
      <c r="D12" s="0" t="n">
        <f aca="false">B12+C12</f>
        <v>0</v>
      </c>
    </row>
    <row r="13" customFormat="false" ht="15" hidden="false" customHeight="false" outlineLevel="0" collapsed="false">
      <c r="A13" s="0" t="s">
        <v>153</v>
      </c>
      <c r="B13" s="0" t="n">
        <v>0</v>
      </c>
      <c r="C13" s="0" t="n">
        <f aca="false">Calcul!E9</f>
        <v>0</v>
      </c>
      <c r="D13" s="0" t="n">
        <f aca="false">B13+C13</f>
        <v>0</v>
      </c>
    </row>
    <row r="14" customFormat="false" ht="15" hidden="false" customHeight="false" outlineLevel="0" collapsed="false">
      <c r="A14" s="4" t="s">
        <v>128</v>
      </c>
      <c r="B14" s="4" t="n">
        <f aca="false">SUM(B4:B13)</f>
        <v>72.68</v>
      </c>
      <c r="C14" s="4" t="n">
        <f aca="false">SUM(C4:C13)</f>
        <v>20.53</v>
      </c>
      <c r="D14" s="4" t="n">
        <f aca="false">SUM(D4:D13)</f>
        <v>93.21</v>
      </c>
    </row>
    <row r="16" customFormat="false" ht="15" hidden="false" customHeight="false" outlineLevel="0" collapsed="false">
      <c r="A16" s="5" t="s">
        <v>497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70"/>
  </cols>
  <sheetData>
    <row r="1" customFormat="false" ht="15" hidden="false" customHeight="false" outlineLevel="0" collapsed="false">
      <c r="A1" s="1" t="s">
        <v>498</v>
      </c>
    </row>
    <row r="2" customFormat="false" ht="15" hidden="false" customHeight="false" outlineLevel="0" collapsed="false">
      <c r="A2" s="0" t="s">
        <v>499</v>
      </c>
    </row>
    <row r="3" customFormat="false" ht="15" hidden="false" customHeight="false" outlineLevel="0" collapsed="false">
      <c r="A3" s="0" t="s">
        <v>500</v>
      </c>
    </row>
    <row r="4" customFormat="false" ht="15" hidden="false" customHeight="false" outlineLevel="0" collapsed="false">
      <c r="A4" s="0" t="s">
        <v>501</v>
      </c>
    </row>
    <row r="5" customFormat="false" ht="15" hidden="false" customHeight="false" outlineLevel="0" collapsed="false">
      <c r="A5" s="0" t="s">
        <v>502</v>
      </c>
    </row>
    <row r="6" customFormat="false" ht="15" hidden="false" customHeight="false" outlineLevel="0" collapsed="false">
      <c r="A6" s="0" t="s">
        <v>503</v>
      </c>
    </row>
    <row r="7" customFormat="false" ht="15" hidden="false" customHeight="false" outlineLevel="0" collapsed="false">
      <c r="A7" s="0" t="s">
        <v>504</v>
      </c>
    </row>
    <row r="8" customFormat="false" ht="15" hidden="false" customHeight="false" outlineLevel="0" collapsed="false">
      <c r="A8" s="0" t="s">
        <v>505</v>
      </c>
    </row>
    <row r="9" customFormat="false" ht="15" hidden="false" customHeight="false" outlineLevel="0" collapsed="false">
      <c r="A9" s="0" t="s">
        <v>506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2026-10-27T08:14:00Z</dcterms:created>
  <dc:creator>openpyxl</dc:creator>
  <dc:description/>
  <dc:language>en-US</dc:language>
  <cp:lastModifiedBy/>
  <dcterms:modified xsi:type="dcterms:W3CDTF">2026-10-27T08:14:00Z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