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lcul" sheetId="2" state="visible" r:id="rId2"/>
    <sheet xmlns:r="http://schemas.openxmlformats.org/officeDocument/2006/relationships" name="Euros" sheetId="3" state="visible" r:id="rId3"/>
    <sheet xmlns:r="http://schemas.openxmlformats.org/officeDocument/2006/relationships" name="Perimetre" sheetId="4" state="visible" r:id="rId4"/>
    <sheet xmlns:r="http://schemas.openxmlformats.org/officeDocument/2006/relationships" name="Metho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Sources - alcool cuit dans les plats DES MENUS. Volumes menus copies de R1-alcool-cuisine-controles.xlsx (onglet 3) ; deja retranche = reperes du service (annexe 7).</t>
        </is>
      </c>
    </row>
    <row r="3">
      <c r="A3" s="2" t="inlineStr">
        <is>
          <t>Alcool</t>
        </is>
      </c>
      <c r="B3" s="2" t="inlineStr">
        <is>
          <t>Menus ex1 (L)</t>
        </is>
      </c>
      <c r="C3" s="2" t="inlineStr">
        <is>
          <t>Menus ex2 (L)</t>
        </is>
      </c>
      <c r="D3" s="2" t="inlineStr">
        <is>
          <t>Menus ex3 (L)</t>
        </is>
      </c>
      <c r="E3" s="2" t="inlineStr">
        <is>
          <t>Deja retranche service ex1 (L)</t>
        </is>
      </c>
      <c r="F3" s="2" t="inlineStr">
        <is>
          <t>ex2</t>
        </is>
      </c>
      <c r="G3" s="2" t="inlineStr">
        <is>
          <t>ex3</t>
        </is>
      </c>
      <c r="H3" s="2" t="inlineStr">
        <is>
          <t>Plafond stock/achats (L)</t>
        </is>
      </c>
    </row>
    <row r="4">
      <c r="A4" t="inlineStr">
        <is>
          <t>Ravelin</t>
        </is>
      </c>
      <c r="B4" t="n">
        <v>25</v>
      </c>
      <c r="C4" t="n">
        <v>39.8</v>
      </c>
      <c r="D4" t="n">
        <v>35.1</v>
      </c>
      <c r="E4" t="n">
        <v>162.32</v>
      </c>
      <c r="F4" t="n">
        <v>162.57</v>
      </c>
      <c r="G4" t="n">
        <v>155.54</v>
      </c>
      <c r="H4" t="inlineStr"/>
    </row>
    <row r="5">
      <c r="A5" t="inlineStr">
        <is>
          <t>Macvin</t>
        </is>
      </c>
      <c r="B5" t="n">
        <v>24.65</v>
      </c>
      <c r="C5" t="n">
        <v>14.38</v>
      </c>
      <c r="D5" t="n">
        <v>15.32</v>
      </c>
      <c r="E5" t="n">
        <v>77.73999999999999</v>
      </c>
      <c r="F5" t="n">
        <v>88.31999999999999</v>
      </c>
      <c r="G5" t="n">
        <v>74.06</v>
      </c>
      <c r="H5" t="inlineStr"/>
    </row>
    <row r="6">
      <c r="A6" t="inlineStr">
        <is>
          <t>Vin jaune</t>
        </is>
      </c>
      <c r="B6" t="n">
        <v>3.73</v>
      </c>
      <c r="C6" t="n">
        <v>3.5</v>
      </c>
      <c r="D6" t="n">
        <v>3.83</v>
      </c>
      <c r="E6" t="n">
        <v>37.17</v>
      </c>
      <c r="F6" t="n">
        <v>36.93</v>
      </c>
      <c r="G6" t="n">
        <v>37.48</v>
      </c>
      <c r="H6" t="inlineStr"/>
    </row>
    <row r="7">
      <c r="A7" t="inlineStr">
        <is>
          <t>Calvados</t>
        </is>
      </c>
      <c r="B7" t="n">
        <v>5.27</v>
      </c>
      <c r="C7" t="n">
        <v>3.84</v>
      </c>
      <c r="D7" t="n">
        <v>3.42</v>
      </c>
      <c r="E7" t="n">
        <v>33.1</v>
      </c>
      <c r="F7" t="n">
        <v>30.02</v>
      </c>
      <c r="G7" t="n">
        <v>30.05</v>
      </c>
      <c r="H7" t="inlineStr"/>
    </row>
    <row r="8">
      <c r="A8" t="inlineStr">
        <is>
          <t>Porto</t>
        </is>
      </c>
      <c r="B8" t="n">
        <v>2.65</v>
      </c>
      <c r="C8" t="n">
        <v>3.69</v>
      </c>
      <c r="D8" t="n">
        <v>4.25</v>
      </c>
      <c r="E8" t="n">
        <v>3.98</v>
      </c>
      <c r="F8" t="n">
        <v>5.83</v>
      </c>
      <c r="G8" t="n">
        <v>5.56</v>
      </c>
      <c r="H8" t="inlineStr"/>
    </row>
    <row r="9">
      <c r="A9" t="inlineStr">
        <is>
          <t>Creme cassis</t>
        </is>
      </c>
      <c r="B9" t="n">
        <v>5.3</v>
      </c>
      <c r="C9" t="n">
        <v>5.39</v>
      </c>
      <c r="D9" t="n">
        <v>5.18</v>
      </c>
      <c r="E9" t="n">
        <v>10.64</v>
      </c>
      <c r="F9" t="n">
        <v>11.32</v>
      </c>
      <c r="G9" t="n">
        <v>11.32</v>
      </c>
      <c r="H9" t="inlineStr"/>
    </row>
    <row r="10">
      <c r="A10" t="inlineStr">
        <is>
          <t>Bailey's</t>
        </is>
      </c>
      <c r="B10" t="n">
        <v>0</v>
      </c>
      <c r="C10" t="n">
        <v>6.86</v>
      </c>
      <c r="D10" t="n">
        <v>7.5</v>
      </c>
      <c r="E10" t="n">
        <v>0</v>
      </c>
      <c r="F10" t="n">
        <v>0</v>
      </c>
      <c r="G10" t="n">
        <v>0</v>
      </c>
      <c r="H10" t="inlineStr"/>
    </row>
    <row r="11">
      <c r="A11" t="inlineStr">
        <is>
          <t>Marc bourgogne</t>
        </is>
      </c>
      <c r="B11" t="n">
        <v>5.3</v>
      </c>
      <c r="C11" t="n">
        <v>0.28</v>
      </c>
      <c r="D11" t="n">
        <v>0</v>
      </c>
      <c r="E11" t="n">
        <v>0</v>
      </c>
      <c r="F11" t="n">
        <v>0</v>
      </c>
      <c r="G11" t="n">
        <v>0</v>
      </c>
      <c r="H11" t="n">
        <v>2.1</v>
      </c>
    </row>
    <row r="12">
      <c r="A12" t="inlineStr">
        <is>
          <t>Liqueur poire</t>
        </is>
      </c>
      <c r="B12" t="n">
        <v>0</v>
      </c>
      <c r="C12" t="n">
        <v>1.75</v>
      </c>
      <c r="D12" t="n">
        <v>2.32</v>
      </c>
      <c r="E12" t="n">
        <v>0</v>
      </c>
      <c r="F12" t="n">
        <v>0</v>
      </c>
      <c r="G12" t="n">
        <v>0</v>
      </c>
      <c r="H12" t="inlineStr"/>
    </row>
    <row r="14">
      <c r="A14" t="inlineStr">
        <is>
          <t>Ravelin : abandonne. L'annexe 7-1 (p.51) etablit que le service retranche deja 16 232 cl de ravelin sur le seul exercice 1 (dont 'Fondue Jurassienne 372 x 10'), contre 7 670 cl chiffres : supplement nul sur les 3 exercices.</t>
        </is>
      </c>
    </row>
    <row r="15">
      <c r="A15" t="inlineStr">
        <is>
          <t>Marc de Bourgogne : plafond global 210 cl (280 cl factures code 550252 moins 1 bouteille en stock au 31/03/2025). Baba au marc = dessert du menu Bourguignon ; marc a la carte = 0.</t>
        </is>
      </c>
    </row>
    <row r="16">
      <c r="A16" t="inlineStr">
        <is>
          <t>Probabilite de choix a l'interieur d'un menu : convention uniforme 1/n (non lue en caisse). Sans effet sur ravelin (plat unique) ; pour Bailey's / poire / marc elle encadre le volume (onglet Methode).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Calcul par FORMULE du supplement MENUS, exercice par exercice, planche a zero.</t>
        </is>
      </c>
    </row>
    <row r="3">
      <c r="A3" s="2" t="inlineStr">
        <is>
          <t>Alcool</t>
        </is>
      </c>
      <c r="B3" s="2" t="inlineStr">
        <is>
          <t>Supplement menus ex1 =MAX(0,menus-retranche)</t>
        </is>
      </c>
      <c r="C3" s="2" t="inlineStr">
        <is>
          <t>ex2</t>
        </is>
      </c>
      <c r="D3" s="2" t="inlineStr">
        <is>
          <t>ex3</t>
        </is>
      </c>
      <c r="E3" s="2" t="inlineStr">
        <is>
          <t>Supplement menus 3 ans</t>
        </is>
      </c>
    </row>
    <row r="4">
      <c r="A4" t="inlineStr">
        <is>
          <t>Ravelin</t>
        </is>
      </c>
      <c r="B4">
        <f>MAX(0,Sources!B4-Sources!E4)</f>
        <v/>
      </c>
      <c r="C4">
        <f>MAX(0,Sources!C4-Sources!F4)</f>
        <v/>
      </c>
      <c r="D4">
        <f>MAX(0,Sources!D4-Sources!G4)</f>
        <v/>
      </c>
      <c r="E4">
        <f>SUM(B4:D4)</f>
        <v/>
      </c>
    </row>
    <row r="5">
      <c r="A5" t="inlineStr">
        <is>
          <t>Macvin</t>
        </is>
      </c>
      <c r="B5">
        <f>MAX(0,Sources!B5-Sources!E5)</f>
        <v/>
      </c>
      <c r="C5">
        <f>MAX(0,Sources!C5-Sources!F5)</f>
        <v/>
      </c>
      <c r="D5">
        <f>MAX(0,Sources!D5-Sources!G5)</f>
        <v/>
      </c>
      <c r="E5">
        <f>SUM(B5:D5)</f>
        <v/>
      </c>
    </row>
    <row r="6">
      <c r="A6" t="inlineStr">
        <is>
          <t>Vin jaune</t>
        </is>
      </c>
      <c r="B6">
        <f>MAX(0,Sources!B6-Sources!E6)</f>
        <v/>
      </c>
      <c r="C6">
        <f>MAX(0,Sources!C6-Sources!F6)</f>
        <v/>
      </c>
      <c r="D6">
        <f>MAX(0,Sources!D6-Sources!G6)</f>
        <v/>
      </c>
      <c r="E6">
        <f>SUM(B6:D6)</f>
        <v/>
      </c>
    </row>
    <row r="7">
      <c r="A7" t="inlineStr">
        <is>
          <t>Calvados</t>
        </is>
      </c>
      <c r="B7">
        <f>MAX(0,Sources!B7-Sources!E7)</f>
        <v/>
      </c>
      <c r="C7">
        <f>MAX(0,Sources!C7-Sources!F7)</f>
        <v/>
      </c>
      <c r="D7">
        <f>MAX(0,Sources!D7-Sources!G7)</f>
        <v/>
      </c>
      <c r="E7">
        <f>SUM(B7:D7)</f>
        <v/>
      </c>
    </row>
    <row r="8">
      <c r="A8" t="inlineStr">
        <is>
          <t>Porto</t>
        </is>
      </c>
      <c r="B8">
        <f>MAX(0,Sources!B8-Sources!E8)</f>
        <v/>
      </c>
      <c r="C8">
        <f>MAX(0,Sources!C8-Sources!F8)</f>
        <v/>
      </c>
      <c r="D8">
        <f>MAX(0,Sources!D8-Sources!G8)</f>
        <v/>
      </c>
      <c r="E8">
        <f>SUM(B8:D8)</f>
        <v/>
      </c>
    </row>
    <row r="9">
      <c r="A9" t="inlineStr">
        <is>
          <t>Creme cassis</t>
        </is>
      </c>
      <c r="B9">
        <f>MAX(0,Sources!B9-Sources!E9)</f>
        <v/>
      </c>
      <c r="C9">
        <f>MAX(0,Sources!C9-Sources!F9)</f>
        <v/>
      </c>
      <c r="D9">
        <f>MAX(0,Sources!D9-Sources!G9)</f>
        <v/>
      </c>
      <c r="E9">
        <f>SUM(B9:D9)</f>
        <v/>
      </c>
    </row>
    <row r="10">
      <c r="A10" t="inlineStr">
        <is>
          <t>Bailey's</t>
        </is>
      </c>
      <c r="B10">
        <f>MAX(0,Sources!B10-Sources!E10)</f>
        <v/>
      </c>
      <c r="C10">
        <f>MAX(0,Sources!C10-Sources!F10)</f>
        <v/>
      </c>
      <c r="D10">
        <f>MAX(0,Sources!D10-Sources!G10)</f>
        <v/>
      </c>
      <c r="E10">
        <f>SUM(B10:D10)</f>
        <v/>
      </c>
    </row>
    <row r="11">
      <c r="A11" t="inlineStr">
        <is>
          <t>Marc bourgogne</t>
        </is>
      </c>
      <c r="B11">
        <f>2.10</f>
        <v/>
      </c>
      <c r="C11" t="n">
        <v>0</v>
      </c>
      <c r="D11" t="n">
        <v>0</v>
      </c>
      <c r="E11">
        <f>2.10</f>
        <v/>
      </c>
    </row>
    <row r="12">
      <c r="A12" t="inlineStr">
        <is>
          <t>Liqueur poire</t>
        </is>
      </c>
      <c r="B12">
        <f>MAX(0,Sources!B12-Sources!E12)</f>
        <v/>
      </c>
      <c r="C12">
        <f>MAX(0,Sources!C12-Sources!F12)</f>
        <v/>
      </c>
      <c r="D12">
        <f>MAX(0,Sources!D12-Sources!G12)</f>
        <v/>
      </c>
      <c r="E12">
        <f>SUM(B12:D12)</f>
        <v/>
      </c>
    </row>
    <row r="13">
      <c r="A13" s="3" t="inlineStr">
        <is>
          <t>TOTAL</t>
        </is>
      </c>
      <c r="E13" s="3">
        <f>SUM(E4:E12)</f>
        <v/>
      </c>
    </row>
    <row r="15">
      <c r="A15" t="inlineStr">
        <is>
          <t>Seuls subsistent Bailey's (14,36 L), liqueur de poire (4,07 L) et marc de Bourgogne (2,10 L) = 20,53 L. Les six autres alcools ont un supplement menus nul (le service retranche deja davantage, ou le ravelin est abandonne).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Conversion litres -&gt; euros de CA liquides reconstitue (TTC). Prix de vente au verre : ANNEXE-B1 (2022-2023).</t>
        </is>
      </c>
    </row>
    <row r="3">
      <c r="A3" s="2" t="inlineStr">
        <is>
          <t>Alcool (supplement menus)</t>
        </is>
      </c>
      <c r="B3" s="2" t="inlineStr">
        <is>
          <t>Litres</t>
        </is>
      </c>
      <c r="C3" s="2" t="inlineStr">
        <is>
          <t>cl/verre</t>
        </is>
      </c>
      <c r="D3" s="2" t="inlineStr">
        <is>
          <t>Prix verre TTC (B1)</t>
        </is>
      </c>
      <c r="E3" s="2" t="inlineStr">
        <is>
          <t>Prix au cl =prix/cl</t>
        </is>
      </c>
      <c r="F3" s="2" t="inlineStr">
        <is>
          <t>CA liquides TTC =litres*100*prix_cl</t>
        </is>
      </c>
    </row>
    <row r="4">
      <c r="A4" t="inlineStr">
        <is>
          <t>Bailey's</t>
        </is>
      </c>
      <c r="B4" t="n">
        <v>14.36</v>
      </c>
      <c r="C4" t="n">
        <v>4</v>
      </c>
      <c r="D4" t="n">
        <v>5.2</v>
      </c>
      <c r="E4">
        <f>D4/C4</f>
        <v/>
      </c>
      <c r="F4">
        <f>B4*100*E4</f>
        <v/>
      </c>
    </row>
    <row r="5">
      <c r="A5" t="inlineStr">
        <is>
          <t>Liqueur poire</t>
        </is>
      </c>
      <c r="B5" t="n">
        <v>4.07</v>
      </c>
      <c r="C5" t="n">
        <v>4</v>
      </c>
      <c r="D5" t="n">
        <v>5.2</v>
      </c>
      <c r="E5">
        <f>D5/C5</f>
        <v/>
      </c>
      <c r="F5">
        <f>B5*100*E5</f>
        <v/>
      </c>
    </row>
    <row r="6">
      <c r="A6" t="inlineStr">
        <is>
          <t>Marc bourgogne</t>
        </is>
      </c>
      <c r="B6" t="n">
        <v>2.1</v>
      </c>
      <c r="C6" t="n">
        <v>4</v>
      </c>
      <c r="D6" t="n">
        <v>6.5</v>
      </c>
      <c r="E6">
        <f>D6/C6</f>
        <v/>
      </c>
      <c r="F6">
        <f>B6*100*E6</f>
        <v/>
      </c>
    </row>
    <row r="7">
      <c r="A7" s="3" t="inlineStr">
        <is>
          <t>TOTAL CA liquides TTC</t>
        </is>
      </c>
      <c r="F7" s="3">
        <f>SUM(F4:F6)</f>
        <v/>
      </c>
    </row>
    <row r="9">
      <c r="A9" t="inlineStr">
        <is>
          <t>Effet sur le CA liquides reconstitue (TTC), avant coefficient liquides/solides et TVA. Prix du verre de l'exercice 2022-2023 (B1) ; les prix des exercices 2023-2024 et 2024-2025 ne figurent pas au dossier (annexes B correspondantes absentes).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Controle d'absence de double comptage entre les deux pages couplees.</t>
        </is>
      </c>
    </row>
    <row r="3">
      <c r="A3" s="2" t="inlineStr">
        <is>
          <t>Alcool</t>
        </is>
      </c>
      <c r="B3" s="2" t="inlineStr">
        <is>
          <t>A LA CARTE (R2-alcool-cuisine) L</t>
        </is>
      </c>
      <c r="C3" s="2" t="inlineStr">
        <is>
          <t>DANS LES MENUS (cette page) L</t>
        </is>
      </c>
      <c r="D3" s="2" t="inlineStr">
        <is>
          <t>Total L</t>
        </is>
      </c>
    </row>
    <row r="4">
      <c r="A4" t="inlineStr">
        <is>
          <t>Vin jaune</t>
        </is>
      </c>
      <c r="B4" t="n">
        <v>12.9</v>
      </c>
      <c r="C4" t="n">
        <v>0</v>
      </c>
      <c r="D4">
        <f>B4+C4</f>
        <v/>
      </c>
    </row>
    <row r="5">
      <c r="A5" t="inlineStr">
        <is>
          <t>Porto</t>
        </is>
      </c>
      <c r="B5" t="n">
        <v>52.9</v>
      </c>
      <c r="C5" t="n">
        <v>0</v>
      </c>
      <c r="D5">
        <f>B5+C5</f>
        <v/>
      </c>
    </row>
    <row r="6">
      <c r="A6" t="inlineStr">
        <is>
          <t>Bailey's</t>
        </is>
      </c>
      <c r="B6" t="n">
        <v>0.92</v>
      </c>
      <c r="C6" t="n">
        <v>14.36</v>
      </c>
      <c r="D6">
        <f>B6+C6</f>
        <v/>
      </c>
    </row>
    <row r="7">
      <c r="A7" t="inlineStr">
        <is>
          <t>Grand Marnier</t>
        </is>
      </c>
      <c r="B7" t="n">
        <v>5.96</v>
      </c>
      <c r="C7" t="n">
        <v>0</v>
      </c>
      <c r="D7">
        <f>B7+C7</f>
        <v/>
      </c>
    </row>
    <row r="8">
      <c r="A8" t="inlineStr">
        <is>
          <t>Marc bourgogne</t>
        </is>
      </c>
      <c r="B8" t="n">
        <v>0</v>
      </c>
      <c r="C8" t="n">
        <v>2.1</v>
      </c>
      <c r="D8">
        <f>B8+C8</f>
        <v/>
      </c>
    </row>
    <row r="9">
      <c r="A9" t="inlineStr">
        <is>
          <t>Liqueur poire</t>
        </is>
      </c>
      <c r="B9" t="n">
        <v>0</v>
      </c>
      <c r="C9" t="n">
        <v>4.07</v>
      </c>
      <c r="D9">
        <f>B9+C9</f>
        <v/>
      </c>
    </row>
    <row r="10">
      <c r="A10" t="inlineStr">
        <is>
          <t>Ravelin</t>
        </is>
      </c>
      <c r="B10" t="n">
        <v>0</v>
      </c>
      <c r="C10" t="n">
        <v>0</v>
      </c>
      <c r="D10">
        <f>B10+C10</f>
        <v/>
      </c>
    </row>
    <row r="11">
      <c r="A11" t="inlineStr">
        <is>
          <t>Macvin</t>
        </is>
      </c>
      <c r="B11" t="n">
        <v>0</v>
      </c>
      <c r="C11" t="n">
        <v>0</v>
      </c>
      <c r="D11">
        <f>B11+C11</f>
        <v/>
      </c>
    </row>
    <row r="12">
      <c r="A12" t="inlineStr">
        <is>
          <t>Calvados</t>
        </is>
      </c>
      <c r="B12" t="n">
        <v>0</v>
      </c>
      <c r="C12" t="n">
        <v>0</v>
      </c>
      <c r="D12">
        <f>B12+C12</f>
        <v/>
      </c>
    </row>
    <row r="13">
      <c r="A13" t="inlineStr">
        <is>
          <t>Creme cassis</t>
        </is>
      </c>
      <c r="B13" t="n">
        <v>0</v>
      </c>
      <c r="C13" t="n">
        <v>0</v>
      </c>
      <c r="D13">
        <f>B13+C13</f>
        <v/>
      </c>
    </row>
    <row r="14">
      <c r="A14" s="3" t="inlineStr">
        <is>
          <t>TOTAL</t>
        </is>
      </c>
      <c r="B14" s="3">
        <f>SUM(B4:B13)</f>
        <v/>
      </c>
      <c r="C14" s="3">
        <f>SUM(C4:C13)</f>
        <v/>
      </c>
      <c r="D14" s="3">
        <f>SUM(D4:D13)</f>
        <v/>
      </c>
    </row>
    <row r="16">
      <c r="A16" t="inlineStr">
        <is>
          <t>Les deux colonnes sont disjointes : aucun litre n'apparait a la fois en 'carte' et en 'menus'. Le Bailey's figure dans les deux pages pour des portions DISTINCTES (0,92 L de dessert IVRESSE vendu a la carte ; 14,36 L de desserts servis dans les menus) : jamais le meme litre. Total general = 72,68 L (carte) + 20,53 L (menus) = 93,21 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METHODE - R2-alcool-plats-menus (plats DES MENUS uniquement)</t>
        </is>
      </c>
    </row>
    <row r="2">
      <c r="A2" t="inlineStr"/>
    </row>
    <row r="3">
      <c r="A3" t="inlineStr">
        <is>
          <t>PERIMETRE. Cette page ne porte QUE l'alcool cuit dans les plats servis a l'interieur d'un MENU au forfait. L'alcool cuit dans les plats vendus A LA CARTE est traite dans R2-alcool-cuisine.xlsx. Perimetres disjoints, additifs (voir onglet Perimetre).</t>
        </is>
      </c>
    </row>
    <row r="4">
      <c r="A4" t="inlineStr"/>
    </row>
    <row r="5">
      <c r="A5" t="inlineStr">
        <is>
          <t>ETAPE 1 - Volume menus. Pour chaque alcool et chaque exercice : nombre de menus factures au prix catalogue x dose du courriel du 30/03/2026 x probabilite de choix de l'option dans le menu. La probabilite est une convention uniforme 1/n (n options au meme service), NON lue en caisse (un menu se vend au forfait, le plat choisi n'a pas de ligne de ticket) ; elle vaut 1 pour un plat unique (fondue du menu Dahu).</t>
        </is>
      </c>
    </row>
    <row r="6">
      <c r="A6" t="inlineStr">
        <is>
          <t>ETAPE 2 - Supplement menus = MAX(0 ; volume menus - deja retranche par le service), exercice par exercice, planche a zero.</t>
        </is>
      </c>
    </row>
    <row r="7">
      <c r="A7" t="inlineStr">
        <is>
          <t>ETAPE 3 - Plafonnement. Marc de Bourgogne ramene a 210 cl (volume sorti du stock sur 3 exercices).</t>
        </is>
      </c>
    </row>
    <row r="8">
      <c r="A8" t="inlineStr"/>
    </row>
    <row r="9">
      <c r="A9" t="inlineStr">
        <is>
          <t>RESULTAT (onglet Calcul) : Bailey's 14,36 + liqueur de poire 4,07 + marc de Bourgogne 2,10 = 20,53 L.</t>
        </is>
      </c>
    </row>
    <row r="10">
      <c r="A10" t="inlineStr"/>
    </row>
    <row r="11">
      <c r="A11" t="inlineStr">
        <is>
          <t>RAVELIN ABANDONNE. L'annexe 7-1 (p.51) etablit que le service retranche deja 16 232 cl de ravelin sur le seul exercice 1, contre 7 670 cl chiffres : supplement nul. (L'ancienne piece R1 imprimait encore 98,14 L parce qu'elle portait le ravelin a 76,7 L sur l'exercice 1 ; retire le ravelin, elle donne 21,44 L, dont 20,53 L de menus.)</t>
        </is>
      </c>
    </row>
    <row r="12">
      <c r="A12" t="inlineStr">
        <is>
          <t>MACVIN, CREME DE CASSIS, CALVADOS, VIN JAUNE, PORTO : supplement menus nul. Le service retranche deja, exercice par exercice, plus que le volume cuit dans les menus (reperes D/E/G/Q et part desserts des cremes, pris tels que le service les imprime).</t>
        </is>
      </c>
    </row>
    <row r="13">
      <c r="A13" t="inlineStr"/>
    </row>
    <row r="14">
      <c r="A14" t="inlineStr">
        <is>
          <t>DOUBLE COMPTAGE. Les 20,53 L de cette page ne recoupent AUCUN litre de R2-alcool-cuisine.xlsx : voir onglet Perimetre. Le Bailey's apparait dans les deux pages pour des portions distinctes (0,92 L a la carte, 14,36 L dans les menus).</t>
        </is>
      </c>
    </row>
    <row r="15">
      <c r="A15" t="inlineStr"/>
    </row>
    <row r="16">
      <c r="A16" t="inlineStr">
        <is>
          <t>LIMITES. Le modele de probabilite des menus (bornes 1/n, cartes-periodes) repose sur la piece 54-boissons-4-menus-par-periode.xlsx, non jointe au dossier : les 20,53 L sont donc etayes pour les doses (courriel 30/03) et les achats (annexe 6, factures), mais la ventilation fine des menus par carte-periode appelle la production de cette piece. Prix de vente : annexe B1 (2022-2023) seule disponible.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2026-10-25T19:15:07Z</dcterms:created>
  <dcterms:modified xmlns:dcterms="http://purl.org/dc/terms/" xmlns:xsi="http://www.w3.org/2001/XMLSchema-instance" xsi:type="dcterms:W3CDTF">2026-10-25T19:15:07Z</dcterms:modified>
</cp:coreProperties>
</file>