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ources" sheetId="1" state="visible" r:id="rId3"/>
    <sheet name="Exposition" sheetId="2" state="visible" r:id="rId4"/>
    <sheet name="Scenarios" sheetId="3" state="visible" r:id="rId5"/>
    <sheet name="Method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<sst xmlns="http://schemas.openxmlformats.org/spreadsheetml/2006/main" count="140" uniqueCount="134">
  <si>
    <t xml:space="preserve">SOURCES : montants notifiés par le service (aucune valeur calculée ici)</t>
  </si>
  <si>
    <t xml:space="preserve">Poste</t>
  </si>
  <si>
    <t xml:space="preserve">Montant (€)</t>
  </si>
  <si>
    <t xml:space="preserve">Pièce / page</t>
  </si>
  <si>
    <t xml:space="preserve">IS (droits)</t>
  </si>
  <si>
    <t xml:space="preserve">Proposition 18/05/2026, p. 60-62 (42 908 + 27 120 + 27 482)</t>
  </si>
  <si>
    <t xml:space="preserve">Intérêts de retard IS (art. 1727)</t>
  </si>
  <si>
    <t xml:space="preserve">p. 60-62 (2 918 + 1 193 + 550)</t>
  </si>
  <si>
    <t xml:space="preserve">Majoration 40 % sur IS (art. 1729)</t>
  </si>
  <si>
    <t xml:space="preserve">p. 61-62 (17 163 + 10 848 + 10 993)</t>
  </si>
  <si>
    <t xml:space="preserve">TVA (droits)</t>
  </si>
  <si>
    <t xml:space="preserve">p. 65</t>
  </si>
  <si>
    <t xml:space="preserve">Intérêts de retard TVA (art. 1727)</t>
  </si>
  <si>
    <t xml:space="preserve">p. 65 (1 483 + 743 + 381)</t>
  </si>
  <si>
    <t xml:space="preserve">Majoration 40 % sur TVA (art. 1729)</t>
  </si>
  <si>
    <t xml:space="preserve">p. 63-65 (8 016 + 5 942 + 5 861)</t>
  </si>
  <si>
    <t xml:space="preserve">Amende 100 % art. 1759 (18/05/2026, avant désignation)</t>
  </si>
  <si>
    <t xml:space="preserve">p. 58 (193 234,55 + 138 863,57 + 139 727,76)</t>
  </si>
  <si>
    <t xml:space="preserve">Supplément notifié M. PASTEUR (3 ans)</t>
  </si>
  <si>
    <t xml:space="preserve">Proposition 19/10/2026 PASTEUR, p. 67-80 (83 391 + 56 724 + 56 830)</t>
  </si>
  <si>
    <t xml:space="preserve">  dont majoration 40 % (IR + PS) PASTEUR</t>
  </si>
  <si>
    <t xml:space="preserve">p. 67-77 (16 277 + 6 647 / 11 068 + 4 777 / 10 947 + 5 198)</t>
  </si>
  <si>
    <t xml:space="preserve">  dont intérêts de retard PASTEUR</t>
  </si>
  <si>
    <t xml:space="preserve">p. 67-77</t>
  </si>
  <si>
    <t xml:space="preserve">Supplément notifié Mme BEHEM (3 ans)</t>
  </si>
  <si>
    <t xml:space="preserve">Proposition 19/10/2026 BEHEM (73 859 + 48 124 + 50 720)</t>
  </si>
  <si>
    <t xml:space="preserve">  dont majoration 40 % (IR + PS) BEHEM</t>
  </si>
  <si>
    <t xml:space="preserve">(14 356 + 5 944 / 9 820 + 4 266 / 9 756 + 4 653)</t>
  </si>
  <si>
    <t xml:space="preserve">  dont intérêts de retard BEHEM</t>
  </si>
  <si>
    <t xml:space="preserve">avis BEHEM</t>
  </si>
  <si>
    <t xml:space="preserve">Discordance TTC 2022-2023</t>
  </si>
  <si>
    <t xml:space="preserve">18/05/2026 p. 52 et 58</t>
  </si>
  <si>
    <t xml:space="preserve">Discordance TTC 2023-2024</t>
  </si>
  <si>
    <t xml:space="preserve">idem</t>
  </si>
  <si>
    <t xml:space="preserve">Discordance TTC 2024-2025</t>
  </si>
  <si>
    <t xml:space="preserve">Minoration HT 2022-2023</t>
  </si>
  <si>
    <t xml:space="preserve">p. 53</t>
  </si>
  <si>
    <t xml:space="preserve">Minoration HT 2023-2024</t>
  </si>
  <si>
    <t xml:space="preserve">Minoration HT 2024-2025</t>
  </si>
  <si>
    <t xml:space="preserve">Part TVA distribuée « en sus » par foyer 2023</t>
  </si>
  <si>
    <t xml:space="preserve">19/10/2026 p. 60 et 62</t>
  </si>
  <si>
    <t xml:space="preserve">Part TVA distribuée « en sus » par foyer 2024</t>
  </si>
  <si>
    <t xml:space="preserve">Part TVA distribuée « en sus » par foyer 2025</t>
  </si>
  <si>
    <t xml:space="preserve">Cuisine extrapolée totale (3 ans)</t>
  </si>
  <si>
    <t xml:space="preserve">18/05/2026 p. 52 : 445 675,21 + 433 859,81 + 434 947,14</t>
  </si>
  <si>
    <t xml:space="preserve">Cuisine réelle de caisse (3 ans)</t>
  </si>
  <si>
    <t xml:space="preserve">annexes D-1 à D-3 (CA solides)</t>
  </si>
  <si>
    <t xml:space="preserve">Sur-versement : CA total reconstitué en trop (3 ex.)</t>
  </si>
  <si>
    <t xml:space="preserve">R2-sur-versement-chiffrage.xlsx (12 199 + 12 336 + 12 965)</t>
  </si>
  <si>
    <t xml:space="preserve">Crémant : base distribuée en trop (3 ex., TTC)</t>
  </si>
  <si>
    <t xml:space="preserve">R2-cremant-jour-par-jour.xlsx, Chiffrage</t>
  </si>
  <si>
    <t xml:space="preserve">Alcool de cuisine à la carte : total reconstitué TTC</t>
  </si>
  <si>
    <t xml:space="preserve">R2-alcool-cuisine.xlsx, Euros_exercices</t>
  </si>
  <si>
    <t xml:space="preserve">Alcool des plats de menus : total reconstitué TTC</t>
  </si>
  <si>
    <t xml:space="preserve">R2-alcool-plats-menus.xlsx (ordre de grandeur)</t>
  </si>
  <si>
    <t xml:space="preserve">Repère du service 3,2725 : excès 2022-2023</t>
  </si>
  <si>
    <t xml:space="preserve">R2-coefficient-revente.xlsx (597 265 - 574 118)</t>
  </si>
  <si>
    <t xml:space="preserve">Repère mesuré 2,383251 : excès 3 ans</t>
  </si>
  <si>
    <t xml:space="preserve">R2-coefficient-revente.xlsx, Confrontation</t>
  </si>
  <si>
    <t xml:space="preserve">EXPOSITION : chaque total est une formule</t>
  </si>
  <si>
    <t xml:space="preserve">Grandeur</t>
  </si>
  <si>
    <t xml:space="preserve">Formule</t>
  </si>
  <si>
    <t xml:space="preserve">Attendu</t>
  </si>
  <si>
    <t xml:space="preserve">Société maintenue (IS + int. + 40 % + TVA + int. + 40 %)</t>
  </si>
  <si>
    <t xml:space="preserve">213 148</t>
  </si>
  <si>
    <t xml:space="preserve">Associés notifiés (PASTEUR + BEHEM)</t>
  </si>
  <si>
    <t xml:space="preserve">369 648</t>
  </si>
  <si>
    <t xml:space="preserve">Exposition réelle après désignation</t>
  </si>
  <si>
    <t xml:space="preserve">582 796</t>
  </si>
  <si>
    <t xml:space="preserve">Rappel initial 18/05/2026 (société + amende 1759)</t>
  </si>
  <si>
    <t xml:space="preserve">684 974</t>
  </si>
  <si>
    <t xml:space="preserve">Écart rappel initial - exposition réelle</t>
  </si>
  <si>
    <t xml:space="preserve">102 178</t>
  </si>
  <si>
    <t xml:space="preserve">Base distribuée = somme des discordances TTC</t>
  </si>
  <si>
    <t xml:space="preserve">471 826</t>
  </si>
  <si>
    <t xml:space="preserve">Base RCM par foyer = TTC ÷ 2</t>
  </si>
  <si>
    <t xml:space="preserve">235 913</t>
  </si>
  <si>
    <t xml:space="preserve">Assiette IR par foyer = base × 1,25</t>
  </si>
  <si>
    <t xml:space="preserve">294 891</t>
  </si>
  <si>
    <t xml:space="preserve">Supplément d'assiette (+25 %) par foyer</t>
  </si>
  <si>
    <t xml:space="preserve">58 978</t>
  </si>
  <si>
    <t xml:space="preserve">Majorations de 40 % : société (IS + TVA)</t>
  </si>
  <si>
    <t xml:space="preserve">58 823</t>
  </si>
  <si>
    <t xml:space="preserve">Majorations de 40 % : foyers (PASTEUR + BEHEM)</t>
  </si>
  <si>
    <t xml:space="preserve">103 709</t>
  </si>
  <si>
    <t xml:space="preserve">Majorations de 40 % : total</t>
  </si>
  <si>
    <t xml:space="preserve">162 532</t>
  </si>
  <si>
    <t xml:space="preserve">Part des 40 % dans l'exposition réelle</t>
  </si>
  <si>
    <t xml:space="preserve">27,9 %</t>
  </si>
  <si>
    <t xml:space="preserve">Intérêts de retard : total (société + foyers)</t>
  </si>
  <si>
    <t xml:space="preserve">16 143</t>
  </si>
  <si>
    <t xml:space="preserve">Exposition hors majorations de 40 % et intérêts</t>
  </si>
  <si>
    <t xml:space="preserve">404 121</t>
  </si>
  <si>
    <t xml:space="preserve">Part TVA distribuée par foyer (3 ans)</t>
  </si>
  <si>
    <t xml:space="preserve">24 963</t>
  </si>
  <si>
    <t xml:space="preserve">Part TVA distribuée, deux foyers</t>
  </si>
  <si>
    <t xml:space="preserve">49 926</t>
  </si>
  <si>
    <t xml:space="preserve">Contrôle : (Σ TTC - Σ HT) ÷ 2</t>
  </si>
  <si>
    <t xml:space="preserve">Cuisine « fantôme » = extrapolée - réelle</t>
  </si>
  <si>
    <t xml:space="preserve">354 921</t>
  </si>
  <si>
    <t xml:space="preserve">Part de la cuisine fantôme dans la base 471 826</t>
  </si>
  <si>
    <t xml:space="preserve">75,2 %</t>
  </si>
  <si>
    <t xml:space="preserve">Postes liquides chiffrés (sur-versement + crémant + cuisine + menus), TTC</t>
  </si>
  <si>
    <t xml:space="preserve">96 149</t>
  </si>
  <si>
    <t xml:space="preserve">Part des postes liquides chiffrés dans la base</t>
  </si>
  <si>
    <t xml:space="preserve">20,4 %</t>
  </si>
  <si>
    <t xml:space="preserve">Excès au repère mesuré, part de la base</t>
  </si>
  <si>
    <t xml:space="preserve">94,3 %</t>
  </si>
  <si>
    <t xml:space="preserve">SCÉNARIOS : réduction de la reconstitution répercutée proportionnellement (approximation : IS à 15 % et barème IR non linéaires)</t>
  </si>
  <si>
    <t xml:space="preserve">Réduction de la reconstitution</t>
  </si>
  <si>
    <t xml:space="preserve">Taux</t>
  </si>
  <si>
    <t xml:space="preserve">Base RCM / foyer</t>
  </si>
  <si>
    <t xml:space="preserve">Assiette IR / foyer</t>
  </si>
  <si>
    <t xml:space="preserve">Société (≈)</t>
  </si>
  <si>
    <t xml:space="preserve">Associés (≈)</t>
  </si>
  <si>
    <t xml:space="preserve">Total (≈)</t>
  </si>
  <si>
    <t xml:space="preserve">Maintien intégral</t>
  </si>
  <si>
    <t xml:space="preserve">Réduction de 25 %</t>
  </si>
  <si>
    <t xml:space="preserve">Réduction de 50 %</t>
  </si>
  <si>
    <t xml:space="preserve">Réduction de 75 %</t>
  </si>
  <si>
    <t xml:space="preserve">Annulation totale</t>
  </si>
  <si>
    <t xml:space="preserve">Attendus : base 235 913 / 176 935 / 117 957 / 58 978 / 0 ; total 582 796 / 437 097 / 291 398 / 145 699 / 0.</t>
  </si>
  <si>
    <t xml:space="preserve">Dégrèvement des seules sanctions, droits maintenus (en tout état de cause)</t>
  </si>
  <si>
    <t xml:space="preserve">Majorations de 40 % (société + foyers)</t>
  </si>
  <si>
    <t xml:space="preserve">Exposition après décharge des 40 % (intérêts maintenus)</t>
  </si>
  <si>
    <t xml:space="preserve">Part TVA retirée de la base distribuée (deux foyers, base)</t>
  </si>
  <si>
    <t xml:space="preserve">MÉTHODE</t>
  </si>
  <si>
    <t xml:space="preserve">1. Sources : montants lus sur la proposition du 18/05/2026 (société), sur les deux propositions du 19/10/2026 (foyers, PDF scannés, OCR relu) et sur les pièces R2 des postes de la reconstitution. Aucun chiffre n'est recalculé dans l'onglet Sources.</t>
  </si>
  <si>
    <t xml:space="preserve">2. Exposition : 213 148 = six postes société ; 369 648 = deux suppléments notifiés ; 582 796 = exposition réelle ; 684 974 = rappel initial avec l'amende de 100 % écartée par la désignation du 16/06/2026.</t>
  </si>
  <si>
    <t xml:space="preserve">3. Base distribuée 471 826 = Σ discordances TTC ; 235 913 par foyer = ÷ 2 ; 294 891 = × 1,25. La part TVA (24 963 par foyer) est contrôlée par (Σ TTC - Σ HT) ÷ 2.</t>
  </si>
  <si>
    <t xml:space="preserve">4. Sanctions : 162 532 = 58 823 (société) + 54 914 (PASTEUR) + 48 795 (BEHEM) ; 27,9 % de 582 796. Intérêts 16 143.</t>
  </si>
  <si>
    <t xml:space="preserve">5. Scénarios : proportionnalité stricte sur la base (exacte) et sur l'impôt (approximation : tranche IS à 15 % jusqu'à 42 500 € et barème progressif de l'IR). Les totaux société et associés sont donc des ordres de grandeur, signalés « ≈ ».</t>
  </si>
  <si>
    <t xml:space="preserve">6. Postes liquides chiffrés (96 149 € TTC) : somme de quatre postes aux périmètres disjoints (sur-versement vin au verre, crémant jeté, alcool de cuisine à la carte, alcool des plats de menus), calculés chacun par la mécanique du service (abattement 15 % puis rapport liquides/solides). Plancher : dégustation et cocktails non convertis en euros.</t>
  </si>
  <si>
    <t xml:space="preserve">7. Recalculé sous LibreOffice (valeurs en cache) ; chaque cellule de résultat est une formule.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</si>
</sst>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7EFD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EFD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0" t="s">
        <v>4</v>
      </c>
      <c r="B4" s="0" t="n">
        <v>97510</v>
      </c>
      <c r="C4" s="0" t="s">
        <v>5</v>
      </c>
    </row>
    <row r="5" customFormat="false" ht="15" hidden="false" customHeight="false" outlineLevel="0" collapsed="false">
      <c r="A5" s="0" t="s">
        <v>6</v>
      </c>
      <c r="B5" s="0" t="n">
        <v>4661</v>
      </c>
      <c r="C5" s="0" t="s">
        <v>7</v>
      </c>
    </row>
    <row r="6" customFormat="false" ht="15" hidden="false" customHeight="false" outlineLevel="0" collapsed="false">
      <c r="A6" s="0" t="s">
        <v>8</v>
      </c>
      <c r="B6" s="0" t="n">
        <v>39004</v>
      </c>
      <c r="C6" s="0" t="s">
        <v>9</v>
      </c>
    </row>
    <row r="7" customFormat="false" ht="15" hidden="false" customHeight="false" outlineLevel="0" collapsed="false">
      <c r="A7" s="0" t="s">
        <v>10</v>
      </c>
      <c r="B7" s="0" t="n">
        <v>49547</v>
      </c>
      <c r="C7" s="0" t="s">
        <v>11</v>
      </c>
    </row>
    <row r="8" customFormat="false" ht="15" hidden="false" customHeight="false" outlineLevel="0" collapsed="false">
      <c r="A8" s="0" t="s">
        <v>12</v>
      </c>
      <c r="B8" s="0" t="n">
        <v>2607</v>
      </c>
      <c r="C8" s="0" t="s">
        <v>13</v>
      </c>
    </row>
    <row r="9" customFormat="false" ht="15" hidden="false" customHeight="false" outlineLevel="0" collapsed="false">
      <c r="A9" s="0" t="s">
        <v>14</v>
      </c>
      <c r="B9" s="0" t="n">
        <v>19819</v>
      </c>
      <c r="C9" s="0" t="s">
        <v>15</v>
      </c>
    </row>
    <row r="10" customFormat="false" ht="15" hidden="false" customHeight="false" outlineLevel="0" collapsed="false">
      <c r="A10" s="0" t="s">
        <v>16</v>
      </c>
      <c r="B10" s="0" t="n">
        <v>471826</v>
      </c>
      <c r="C10" s="0" t="s">
        <v>17</v>
      </c>
    </row>
    <row r="11" customFormat="false" ht="15" hidden="false" customHeight="false" outlineLevel="0" collapsed="false">
      <c r="A11" s="0" t="s">
        <v>18</v>
      </c>
      <c r="B11" s="0" t="n">
        <v>196945</v>
      </c>
      <c r="C11" s="0" t="s">
        <v>19</v>
      </c>
    </row>
    <row r="12" customFormat="false" ht="15" hidden="false" customHeight="false" outlineLevel="0" collapsed="false">
      <c r="A12" s="0" t="s">
        <v>20</v>
      </c>
      <c r="B12" s="0" t="n">
        <v>54914</v>
      </c>
      <c r="C12" s="0" t="s">
        <v>21</v>
      </c>
    </row>
    <row r="13" customFormat="false" ht="15" hidden="false" customHeight="false" outlineLevel="0" collapsed="false">
      <c r="A13" s="0" t="s">
        <v>22</v>
      </c>
      <c r="B13" s="0" t="n">
        <v>4747</v>
      </c>
      <c r="C13" s="0" t="s">
        <v>23</v>
      </c>
    </row>
    <row r="14" customFormat="false" ht="15" hidden="false" customHeight="false" outlineLevel="0" collapsed="false">
      <c r="A14" s="0" t="s">
        <v>24</v>
      </c>
      <c r="B14" s="0" t="n">
        <v>172703</v>
      </c>
      <c r="C14" s="0" t="s">
        <v>25</v>
      </c>
    </row>
    <row r="15" customFormat="false" ht="15" hidden="false" customHeight="false" outlineLevel="0" collapsed="false">
      <c r="A15" s="0" t="s">
        <v>26</v>
      </c>
      <c r="B15" s="0" t="n">
        <v>48795</v>
      </c>
      <c r="C15" s="0" t="s">
        <v>27</v>
      </c>
    </row>
    <row r="16" customFormat="false" ht="15" hidden="false" customHeight="false" outlineLevel="0" collapsed="false">
      <c r="A16" s="0" t="s">
        <v>28</v>
      </c>
      <c r="B16" s="0" t="n">
        <v>4128</v>
      </c>
      <c r="C16" s="0" t="s">
        <v>29</v>
      </c>
    </row>
    <row r="17" customFormat="false" ht="15" hidden="false" customHeight="false" outlineLevel="0" collapsed="false">
      <c r="A17" s="0" t="s">
        <v>30</v>
      </c>
      <c r="B17" s="0" t="n">
        <v>193234.55</v>
      </c>
      <c r="C17" s="0" t="s">
        <v>31</v>
      </c>
    </row>
    <row r="18" customFormat="false" ht="15" hidden="false" customHeight="false" outlineLevel="0" collapsed="false">
      <c r="A18" s="0" t="s">
        <v>32</v>
      </c>
      <c r="B18" s="0" t="n">
        <v>138863.57</v>
      </c>
      <c r="C18" s="0" t="s">
        <v>33</v>
      </c>
    </row>
    <row r="19" customFormat="false" ht="15" hidden="false" customHeight="false" outlineLevel="0" collapsed="false">
      <c r="A19" s="0" t="s">
        <v>34</v>
      </c>
      <c r="B19" s="0" t="n">
        <v>139727.76</v>
      </c>
      <c r="C19" s="0" t="s">
        <v>33</v>
      </c>
    </row>
    <row r="20" customFormat="false" ht="15" hidden="false" customHeight="false" outlineLevel="0" collapsed="false">
      <c r="A20" s="0" t="s">
        <v>35</v>
      </c>
      <c r="B20" s="0" t="n">
        <v>172813.45</v>
      </c>
      <c r="C20" s="0" t="s">
        <v>36</v>
      </c>
    </row>
    <row r="21" customFormat="false" ht="15" hidden="false" customHeight="false" outlineLevel="0" collapsed="false">
      <c r="A21" s="0" t="s">
        <v>37</v>
      </c>
      <c r="B21" s="0" t="n">
        <v>124009.56</v>
      </c>
      <c r="C21" s="0" t="s">
        <v>36</v>
      </c>
    </row>
    <row r="22" customFormat="false" ht="15" hidden="false" customHeight="false" outlineLevel="0" collapsed="false">
      <c r="A22" s="0" t="s">
        <v>38</v>
      </c>
      <c r="B22" s="0" t="n">
        <v>125076.16</v>
      </c>
      <c r="C22" s="0" t="s">
        <v>36</v>
      </c>
    </row>
    <row r="23" customFormat="false" ht="15" hidden="false" customHeight="false" outlineLevel="0" collapsed="false">
      <c r="A23" s="0" t="s">
        <v>39</v>
      </c>
      <c r="B23" s="0" t="n">
        <v>10210</v>
      </c>
      <c r="C23" s="0" t="s">
        <v>40</v>
      </c>
    </row>
    <row r="24" customFormat="false" ht="15" hidden="false" customHeight="false" outlineLevel="0" collapsed="false">
      <c r="A24" s="0" t="s">
        <v>41</v>
      </c>
      <c r="B24" s="0" t="n">
        <v>7427</v>
      </c>
      <c r="C24" s="0" t="s">
        <v>33</v>
      </c>
    </row>
    <row r="25" customFormat="false" ht="15" hidden="false" customHeight="false" outlineLevel="0" collapsed="false">
      <c r="A25" s="0" t="s">
        <v>42</v>
      </c>
      <c r="B25" s="0" t="n">
        <v>7326</v>
      </c>
      <c r="C25" s="0" t="s">
        <v>33</v>
      </c>
    </row>
    <row r="26" customFormat="false" ht="15" hidden="false" customHeight="false" outlineLevel="0" collapsed="false">
      <c r="A26" s="0" t="s">
        <v>43</v>
      </c>
      <c r="B26" s="0" t="n">
        <v>1314482</v>
      </c>
      <c r="C26" s="0" t="s">
        <v>44</v>
      </c>
    </row>
    <row r="27" customFormat="false" ht="15" hidden="false" customHeight="false" outlineLevel="0" collapsed="false">
      <c r="A27" s="0" t="s">
        <v>45</v>
      </c>
      <c r="B27" s="0" t="n">
        <v>959561</v>
      </c>
      <c r="C27" s="0" t="s">
        <v>46</v>
      </c>
    </row>
    <row r="28" customFormat="false" ht="15" hidden="false" customHeight="false" outlineLevel="0" collapsed="false">
      <c r="A28" s="0" t="s">
        <v>47</v>
      </c>
      <c r="B28" s="0" t="n">
        <v>37500</v>
      </c>
      <c r="C28" s="0" t="s">
        <v>48</v>
      </c>
    </row>
    <row r="29" customFormat="false" ht="15" hidden="false" customHeight="false" outlineLevel="0" collapsed="false">
      <c r="A29" s="0" t="s">
        <v>49</v>
      </c>
      <c r="B29" s="0" t="n">
        <v>30103</v>
      </c>
      <c r="C29" s="0" t="s">
        <v>50</v>
      </c>
    </row>
    <row r="30" customFormat="false" ht="15" hidden="false" customHeight="false" outlineLevel="0" collapsed="false">
      <c r="A30" s="0" t="s">
        <v>51</v>
      </c>
      <c r="B30" s="0" t="n">
        <v>17466</v>
      </c>
      <c r="C30" s="0" t="s">
        <v>52</v>
      </c>
    </row>
    <row r="31" customFormat="false" ht="15" hidden="false" customHeight="false" outlineLevel="0" collapsed="false">
      <c r="A31" s="0" t="s">
        <v>53</v>
      </c>
      <c r="B31" s="0" t="n">
        <v>11080</v>
      </c>
      <c r="C31" s="0" t="s">
        <v>54</v>
      </c>
    </row>
    <row r="32" customFormat="false" ht="15" hidden="false" customHeight="false" outlineLevel="0" collapsed="false">
      <c r="A32" s="0" t="s">
        <v>55</v>
      </c>
      <c r="B32" s="0" t="n">
        <v>23147</v>
      </c>
      <c r="C32" s="0" t="s">
        <v>56</v>
      </c>
    </row>
    <row r="33" customFormat="false" ht="15" hidden="false" customHeight="false" outlineLevel="0" collapsed="false">
      <c r="A33" s="0" t="s">
        <v>57</v>
      </c>
      <c r="B33" s="0" t="n">
        <v>444807</v>
      </c>
      <c r="C33" s="0" t="s">
        <v>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  <c r="B2" s="2" t="s">
        <v>61</v>
      </c>
      <c r="C2" s="2" t="s">
        <v>62</v>
      </c>
    </row>
    <row r="3" customFormat="false" ht="15" hidden="false" customHeight="false" outlineLevel="0" collapsed="false">
      <c r="A3" s="0" t="s">
        <v>63</v>
      </c>
      <c r="B3" s="0" t="n">
        <f aca="false">SUM(Sources!B4:B9)</f>
        <v>213148</v>
      </c>
      <c r="C3" s="0" t="s">
        <v>64</v>
      </c>
    </row>
    <row r="4" customFormat="false" ht="15" hidden="false" customHeight="false" outlineLevel="0" collapsed="false">
      <c r="A4" s="0" t="s">
        <v>65</v>
      </c>
      <c r="B4" s="0" t="n">
        <f aca="false">Sources!B11+Sources!B14</f>
        <v>369648</v>
      </c>
      <c r="C4" s="0" t="s">
        <v>66</v>
      </c>
    </row>
    <row r="5" customFormat="false" ht="15" hidden="false" customHeight="false" outlineLevel="0" collapsed="false">
      <c r="A5" s="0" t="s">
        <v>67</v>
      </c>
      <c r="B5" s="0" t="n">
        <f aca="false">B3+B4</f>
        <v>582796</v>
      </c>
      <c r="C5" s="0" t="s">
        <v>68</v>
      </c>
    </row>
    <row r="6" customFormat="false" ht="15" hidden="false" customHeight="false" outlineLevel="0" collapsed="false">
      <c r="A6" s="0" t="s">
        <v>69</v>
      </c>
      <c r="B6" s="0" t="n">
        <f aca="false">B3+Sources!B10</f>
        <v>684974</v>
      </c>
      <c r="C6" s="0" t="s">
        <v>70</v>
      </c>
    </row>
    <row r="7" customFormat="false" ht="15" hidden="false" customHeight="false" outlineLevel="0" collapsed="false">
      <c r="A7" s="0" t="s">
        <v>71</v>
      </c>
      <c r="B7" s="0" t="n">
        <f aca="false">B6-B5</f>
        <v>102178</v>
      </c>
      <c r="C7" s="0" t="s">
        <v>72</v>
      </c>
    </row>
    <row r="8" customFormat="false" ht="15" hidden="false" customHeight="false" outlineLevel="0" collapsed="false">
      <c r="A8" s="0" t="s">
        <v>73</v>
      </c>
      <c r="B8" s="0" t="n">
        <f aca="false">ROUND(Sources!B17+Sources!B18+Sources!B19,0)</f>
        <v>471826</v>
      </c>
      <c r="C8" s="0" t="s">
        <v>74</v>
      </c>
    </row>
    <row r="9" customFormat="false" ht="15" hidden="false" customHeight="false" outlineLevel="0" collapsed="false">
      <c r="A9" s="0" t="s">
        <v>75</v>
      </c>
      <c r="B9" s="0" t="n">
        <f aca="false">ROUND(B8/2,0)</f>
        <v>235913</v>
      </c>
      <c r="C9" s="0" t="s">
        <v>76</v>
      </c>
    </row>
    <row r="10" customFormat="false" ht="15" hidden="false" customHeight="false" outlineLevel="0" collapsed="false">
      <c r="A10" s="0" t="s">
        <v>77</v>
      </c>
      <c r="B10" s="0" t="n">
        <f aca="false">ROUND(B9*1.25,0)</f>
        <v>294891</v>
      </c>
      <c r="C10" s="0" t="s">
        <v>78</v>
      </c>
    </row>
    <row r="11" customFormat="false" ht="15" hidden="false" customHeight="false" outlineLevel="0" collapsed="false">
      <c r="A11" s="0" t="s">
        <v>79</v>
      </c>
      <c r="B11" s="0" t="n">
        <f aca="false">B10-B9</f>
        <v>58978</v>
      </c>
      <c r="C11" s="0" t="s">
        <v>80</v>
      </c>
    </row>
    <row r="12" customFormat="false" ht="15" hidden="false" customHeight="false" outlineLevel="0" collapsed="false">
      <c r="A12" s="0" t="s">
        <v>81</v>
      </c>
      <c r="B12" s="0" t="n">
        <f aca="false">Sources!B6+Sources!B9</f>
        <v>58823</v>
      </c>
      <c r="C12" s="0" t="s">
        <v>82</v>
      </c>
    </row>
    <row r="13" customFormat="false" ht="15" hidden="false" customHeight="false" outlineLevel="0" collapsed="false">
      <c r="A13" s="0" t="s">
        <v>83</v>
      </c>
      <c r="B13" s="0" t="n">
        <f aca="false">Sources!B12+Sources!B15</f>
        <v>103709</v>
      </c>
      <c r="C13" s="0" t="s">
        <v>84</v>
      </c>
    </row>
    <row r="14" customFormat="false" ht="15" hidden="false" customHeight="false" outlineLevel="0" collapsed="false">
      <c r="A14" s="0" t="s">
        <v>85</v>
      </c>
      <c r="B14" s="0" t="n">
        <f aca="false">B12+B13</f>
        <v>162532</v>
      </c>
      <c r="C14" s="0" t="s">
        <v>86</v>
      </c>
    </row>
    <row r="15" customFormat="false" ht="15" hidden="false" customHeight="false" outlineLevel="0" collapsed="false">
      <c r="A15" s="0" t="s">
        <v>87</v>
      </c>
      <c r="B15" s="3" t="n">
        <f aca="false">B14/B5</f>
        <v>0.27888317696072</v>
      </c>
      <c r="C15" s="4" t="s">
        <v>88</v>
      </c>
    </row>
    <row r="16" customFormat="false" ht="15" hidden="false" customHeight="false" outlineLevel="0" collapsed="false">
      <c r="A16" s="0" t="s">
        <v>89</v>
      </c>
      <c r="B16" s="0" t="n">
        <f aca="false">Sources!B5+Sources!B8+Sources!B13+Sources!B16</f>
        <v>16143</v>
      </c>
      <c r="C16" s="0" t="s">
        <v>90</v>
      </c>
    </row>
    <row r="17" customFormat="false" ht="15" hidden="false" customHeight="false" outlineLevel="0" collapsed="false">
      <c r="A17" s="0" t="s">
        <v>91</v>
      </c>
      <c r="B17" s="0" t="n">
        <f aca="false">B5-B14-B16</f>
        <v>404121</v>
      </c>
      <c r="C17" s="0" t="s">
        <v>92</v>
      </c>
    </row>
    <row r="18" customFormat="false" ht="15" hidden="false" customHeight="false" outlineLevel="0" collapsed="false">
      <c r="A18" s="0" t="s">
        <v>93</v>
      </c>
      <c r="B18" s="0" t="n">
        <f aca="false">Sources!B23+Sources!B24+Sources!B25</f>
        <v>24963</v>
      </c>
      <c r="C18" s="0" t="s">
        <v>94</v>
      </c>
    </row>
    <row r="19" customFormat="false" ht="15" hidden="false" customHeight="false" outlineLevel="0" collapsed="false">
      <c r="A19" s="0" t="s">
        <v>95</v>
      </c>
      <c r="B19" s="0" t="n">
        <f aca="false">B18*2</f>
        <v>49926</v>
      </c>
      <c r="C19" s="0" t="s">
        <v>96</v>
      </c>
    </row>
    <row r="20" customFormat="false" ht="15" hidden="false" customHeight="false" outlineLevel="0" collapsed="false">
      <c r="A20" s="0" t="s">
        <v>97</v>
      </c>
      <c r="B20" s="0" t="n">
        <f aca="false">ROUND((Sources!B17+Sources!B18+Sources!B19-Sources!B20-Sources!B21-Sources!B22)/2,0)</f>
        <v>24963</v>
      </c>
      <c r="C20" s="0" t="s">
        <v>94</v>
      </c>
    </row>
    <row r="21" customFormat="false" ht="15" hidden="false" customHeight="false" outlineLevel="0" collapsed="false">
      <c r="A21" s="0" t="s">
        <v>98</v>
      </c>
      <c r="B21" s="0" t="n">
        <f aca="false">Sources!B26-Sources!B27</f>
        <v>354921</v>
      </c>
      <c r="C21" s="0" t="s">
        <v>99</v>
      </c>
    </row>
    <row r="22" customFormat="false" ht="15" hidden="false" customHeight="false" outlineLevel="0" collapsed="false">
      <c r="A22" s="0" t="s">
        <v>100</v>
      </c>
      <c r="B22" s="3" t="n">
        <f aca="false">B21/B8</f>
        <v>0.752228575788532</v>
      </c>
      <c r="C22" s="4" t="s">
        <v>101</v>
      </c>
    </row>
    <row r="23" customFormat="false" ht="15" hidden="false" customHeight="false" outlineLevel="0" collapsed="false">
      <c r="A23" s="0" t="s">
        <v>102</v>
      </c>
      <c r="B23" s="0" t="n">
        <f aca="false">Sources!B28+Sources!B29+Sources!B30+Sources!B31</f>
        <v>96149</v>
      </c>
      <c r="C23" s="0" t="s">
        <v>103</v>
      </c>
    </row>
    <row r="24" customFormat="false" ht="15" hidden="false" customHeight="false" outlineLevel="0" collapsed="false">
      <c r="A24" s="0" t="s">
        <v>104</v>
      </c>
      <c r="B24" s="3" t="n">
        <f aca="false">B23/B8</f>
        <v>0.203780630995325</v>
      </c>
      <c r="C24" s="4" t="s">
        <v>105</v>
      </c>
    </row>
    <row r="25" customFormat="false" ht="15" hidden="false" customHeight="false" outlineLevel="0" collapsed="false">
      <c r="A25" s="0" t="s">
        <v>106</v>
      </c>
      <c r="B25" s="3" t="n">
        <f aca="false">Sources!B33/B8</f>
        <v>0.942735245620208</v>
      </c>
      <c r="C25" s="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22"/>
  </cols>
  <sheetData>
    <row r="1" customFormat="false" ht="15" hidden="false" customHeight="false" outlineLevel="0" collapsed="false">
      <c r="A1" s="1" t="s">
        <v>108</v>
      </c>
    </row>
    <row r="3" customFormat="false" ht="15" hidden="false" customHeight="false" outlineLevel="0" collapsed="false">
      <c r="A3" s="2" t="s">
        <v>109</v>
      </c>
      <c r="B3" s="2" t="s">
        <v>110</v>
      </c>
      <c r="C3" s="2" t="s">
        <v>111</v>
      </c>
      <c r="D3" s="2" t="s">
        <v>112</v>
      </c>
      <c r="E3" s="2" t="s">
        <v>113</v>
      </c>
      <c r="F3" s="2" t="s">
        <v>114</v>
      </c>
      <c r="G3" s="2" t="s">
        <v>115</v>
      </c>
    </row>
    <row r="4" customFormat="false" ht="15" hidden="false" customHeight="false" outlineLevel="0" collapsed="false">
      <c r="A4" s="0" t="s">
        <v>116</v>
      </c>
      <c r="B4" s="5" t="n">
        <v>0</v>
      </c>
      <c r="C4" s="4" t="n">
        <f aca="false">ROUND(Exposition!$B$9*(1-B4),0)</f>
        <v>235913</v>
      </c>
      <c r="D4" s="4" t="n">
        <f aca="false">ROUND(C4*1.25,0)</f>
        <v>294891</v>
      </c>
      <c r="E4" s="4" t="n">
        <f aca="false">ROUND(Exposition!$B$3*(1-B4),0)</f>
        <v>213148</v>
      </c>
      <c r="F4" s="4" t="n">
        <f aca="false">ROUND(Exposition!$B$4*(1-B4),0)</f>
        <v>369648</v>
      </c>
      <c r="G4" s="4" t="n">
        <f aca="false">E4+F4</f>
        <v>582796</v>
      </c>
    </row>
    <row r="5" customFormat="false" ht="15" hidden="false" customHeight="false" outlineLevel="0" collapsed="false">
      <c r="A5" s="0" t="s">
        <v>117</v>
      </c>
      <c r="B5" s="5" t="n">
        <v>0.25</v>
      </c>
      <c r="C5" s="4" t="n">
        <f aca="false">ROUND(Exposition!$B$9*(1-B5),0)</f>
        <v>176935</v>
      </c>
      <c r="D5" s="4" t="n">
        <f aca="false">ROUND(C5*1.25,0)</f>
        <v>221169</v>
      </c>
      <c r="E5" s="4" t="n">
        <f aca="false">ROUND(Exposition!$B$3*(1-B5),0)</f>
        <v>159861</v>
      </c>
      <c r="F5" s="4" t="n">
        <f aca="false">ROUND(Exposition!$B$4*(1-B5),0)</f>
        <v>277236</v>
      </c>
      <c r="G5" s="4" t="n">
        <f aca="false">E5+F5</f>
        <v>437097</v>
      </c>
    </row>
    <row r="6" customFormat="false" ht="15" hidden="false" customHeight="false" outlineLevel="0" collapsed="false">
      <c r="A6" s="0" t="s">
        <v>118</v>
      </c>
      <c r="B6" s="5" t="n">
        <v>0.5</v>
      </c>
      <c r="C6" s="4" t="n">
        <f aca="false">ROUND(Exposition!$B$9*(1-B6),0)</f>
        <v>117957</v>
      </c>
      <c r="D6" s="4" t="n">
        <f aca="false">ROUND(C6*1.25,0)</f>
        <v>147446</v>
      </c>
      <c r="E6" s="4" t="n">
        <f aca="false">ROUND(Exposition!$B$3*(1-B6),0)</f>
        <v>106574</v>
      </c>
      <c r="F6" s="4" t="n">
        <f aca="false">ROUND(Exposition!$B$4*(1-B6),0)</f>
        <v>184824</v>
      </c>
      <c r="G6" s="4" t="n">
        <f aca="false">E6+F6</f>
        <v>291398</v>
      </c>
    </row>
    <row r="7" customFormat="false" ht="15" hidden="false" customHeight="false" outlineLevel="0" collapsed="false">
      <c r="A7" s="0" t="s">
        <v>119</v>
      </c>
      <c r="B7" s="5" t="n">
        <v>0.75</v>
      </c>
      <c r="C7" s="4" t="n">
        <f aca="false">ROUND(Exposition!$B$9*(1-B7),0)</f>
        <v>58978</v>
      </c>
      <c r="D7" s="4" t="n">
        <f aca="false">ROUND(C7*1.25,0)</f>
        <v>73723</v>
      </c>
      <c r="E7" s="4" t="n">
        <f aca="false">ROUND(Exposition!$B$3*(1-B7),0)</f>
        <v>53287</v>
      </c>
      <c r="F7" s="4" t="n">
        <f aca="false">ROUND(Exposition!$B$4*(1-B7),0)</f>
        <v>92412</v>
      </c>
      <c r="G7" s="4" t="n">
        <f aca="false">E7+F7</f>
        <v>145699</v>
      </c>
    </row>
    <row r="8" customFormat="false" ht="15" hidden="false" customHeight="false" outlineLevel="0" collapsed="false">
      <c r="A8" s="0" t="s">
        <v>120</v>
      </c>
      <c r="B8" s="5" t="n">
        <v>1</v>
      </c>
      <c r="C8" s="4" t="n">
        <f aca="false">ROUND(Exposition!$B$9*(1-B8),0)</f>
        <v>0</v>
      </c>
      <c r="D8" s="4" t="n">
        <f aca="false">ROUND(C8*1.25,0)</f>
        <v>0</v>
      </c>
      <c r="E8" s="4" t="n">
        <f aca="false">ROUND(Exposition!$B$3*(1-B8),0)</f>
        <v>0</v>
      </c>
      <c r="F8" s="4" t="n">
        <f aca="false">ROUND(Exposition!$B$4*(1-B8),0)</f>
        <v>0</v>
      </c>
      <c r="G8" s="4" t="n">
        <f aca="false">E8+F8</f>
        <v>0</v>
      </c>
    </row>
    <row r="10" customFormat="false" ht="15" hidden="false" customHeight="false" outlineLevel="0" collapsed="false">
      <c r="A10" s="0" t="s">
        <v>121</v>
      </c>
    </row>
    <row r="12" customFormat="false" ht="15" hidden="false" customHeight="false" outlineLevel="0" collapsed="false">
      <c r="A12" s="1" t="s">
        <v>122</v>
      </c>
    </row>
    <row r="13" customFormat="false" ht="15" hidden="false" customHeight="false" outlineLevel="0" collapsed="false">
      <c r="A13" s="0" t="s">
        <v>123</v>
      </c>
      <c r="B13" s="0" t="n">
        <f aca="false">Exposition!B14</f>
        <v>162532</v>
      </c>
    </row>
    <row r="14" customFormat="false" ht="15" hidden="false" customHeight="false" outlineLevel="0" collapsed="false">
      <c r="A14" s="0" t="s">
        <v>124</v>
      </c>
      <c r="B14" s="0" t="n">
        <f aca="false">Exposition!B5-B13</f>
        <v>420264</v>
      </c>
    </row>
    <row r="15" customFormat="false" ht="15" hidden="false" customHeight="false" outlineLevel="0" collapsed="false">
      <c r="A15" s="0" t="s">
        <v>125</v>
      </c>
      <c r="B15" s="0" t="n">
        <f aca="false">Exposition!B19</f>
        <v>49926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</cols>
  <sheetData>
    <row r="1" customFormat="false" ht="1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0" t="s">
        <v>127</v>
      </c>
    </row>
    <row r="4" customFormat="false" ht="15" hidden="false" customHeight="false" outlineLevel="0" collapsed="false">
      <c r="A4" s="0" t="s">
        <v>128</v>
      </c>
    </row>
    <row r="5" customFormat="false" ht="15" hidden="false" customHeight="false" outlineLevel="0" collapsed="false">
      <c r="A5" s="0" t="s">
        <v>129</v>
      </c>
    </row>
    <row r="6" customFormat="false" ht="15" hidden="false" customHeight="false" outlineLevel="0" collapsed="false">
      <c r="A6" s="0" t="s">
        <v>130</v>
      </c>
    </row>
    <row r="7" customFormat="false" ht="15" hidden="false" customHeight="false" outlineLevel="0" collapsed="false">
      <c r="A7" s="0" t="s">
        <v>131</v>
      </c>
    </row>
    <row r="8" customFormat="false" ht="15" hidden="false" customHeight="false" outlineLevel="0" collapsed="false">
      <c r="A8" s="0" t="s">
        <v>132</v>
      </c>
    </row>
    <row r="9" customFormat="false" ht="15" hidden="false" customHeight="false" outlineLevel="0" collapsed="false">
      <c r="A9" s="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2026-10-27T09:39:59Z</dcterms:created>
  <dc:creator>openpyxl</dc:creator>
  <dc:description/>
  <dc:language>en-US</dc:language>
  <cp:lastModifiedBy/>
  <dcterms:modified xsi:type="dcterms:W3CDTF">2026-10-27T09:39:59Z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