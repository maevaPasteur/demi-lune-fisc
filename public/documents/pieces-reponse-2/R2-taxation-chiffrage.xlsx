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alcul" sheetId="2" state="visible" r:id="rId2"/>
    <sheet xmlns:r="http://schemas.openxmlformats.org/officeDocument/2006/relationships" name="Méthod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2"/>
    </font>
    <font>
      <b val="1"/>
    </font>
    <font>
      <b val="1"/>
      <color rgb="00FFFFFF"/>
    </font>
    <font>
      <b val="1"/>
      <sz val="14"/>
    </font>
    <font>
      <sz val="10"/>
    </font>
  </fonts>
  <fills count="3">
    <fill>
      <patternFill/>
    </fill>
    <fill>
      <patternFill patternType="gray125"/>
    </fill>
    <fill>
      <patternFill patternType="solid">
        <fgColor rgb="006a4d0f"/>
      </patternFill>
    </fill>
  </fills>
  <borders count="2">
    <border>
      <left/>
      <right/>
      <top/>
      <bottom/>
      <diagonal/>
    </border>
    <border>
      <left style="thin">
        <color rgb="00cbb98f"/>
      </left>
      <right style="thin">
        <color rgb="00cbb98f"/>
      </right>
      <top style="thin">
        <color rgb="00cbb98f"/>
      </top>
      <bottom style="thin">
        <color rgb="00cbb98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2" fillId="0" borderId="1" pivotButton="0" quotePrefix="0" xfId="0"/>
    <xf numFmtId="164" fontId="0" fillId="0"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2" customWidth="1" min="1" max="1"/>
    <col width="22" customWidth="1" min="2" max="2"/>
    <col width="22" customWidth="1" min="3" max="3"/>
    <col width="26" customWidth="1" min="4" max="4"/>
    <col width="26" customWidth="1" min="5" max="5"/>
  </cols>
  <sheetData>
    <row r="1">
      <c r="A1" s="1" t="inlineStr">
        <is>
          <t>SOURCES — données brutes (aucune n'est calculée ici)</t>
        </is>
      </c>
    </row>
    <row r="2">
      <c r="A2" s="2" t="inlineStr">
        <is>
          <t>Discordances TTC de la reconstitution société (proposition du 18/05/2026, p. 52 ; digest 07)</t>
        </is>
      </c>
    </row>
    <row r="4">
      <c r="A4" s="3" t="inlineStr">
        <is>
          <t>Exercice</t>
        </is>
      </c>
      <c r="B4" s="3" t="inlineStr">
        <is>
          <t>Discordance TTC société (€)</t>
        </is>
      </c>
    </row>
    <row r="5">
      <c r="A5" s="4" t="inlineStr">
        <is>
          <t>2023</t>
        </is>
      </c>
      <c r="B5" s="4" t="n">
        <v>193234.55</v>
      </c>
    </row>
    <row r="6">
      <c r="A6" s="4" t="inlineStr">
        <is>
          <t>2024</t>
        </is>
      </c>
      <c r="B6" s="4" t="n">
        <v>138863.57</v>
      </c>
    </row>
    <row r="7">
      <c r="A7" s="4" t="inlineStr">
        <is>
          <t>2025</t>
        </is>
      </c>
      <c r="B7" s="4" t="n">
        <v>139727.76</v>
      </c>
    </row>
    <row r="8">
      <c r="A8" s="5" t="inlineStr">
        <is>
          <t>Total</t>
        </is>
      </c>
      <c r="B8" s="5">
        <f>SUM(B5:B7)</f>
        <v/>
      </c>
    </row>
    <row r="10">
      <c r="A10" s="2" t="inlineStr">
        <is>
          <t>Suppléments d'impôt NOTIFIÉS par le service (propositions personnelles du 19/10/2026, PDF scannés)</t>
        </is>
      </c>
    </row>
    <row r="11">
      <c r="A11" s="3" t="inlineStr">
        <is>
          <t>Exercice</t>
        </is>
      </c>
      <c r="B11" s="3" t="inlineStr">
        <is>
          <t>PASTEUR notifié (€)</t>
        </is>
      </c>
      <c r="C11" s="3" t="inlineStr">
        <is>
          <t>BEHEM notifié (€)</t>
        </is>
      </c>
      <c r="D11" s="3" t="inlineStr">
        <is>
          <t>dont majoration 40% PASTEUR (€)</t>
        </is>
      </c>
      <c r="E11" s="3" t="inlineStr">
        <is>
          <t>dont majoration 40% BEHEM (€)</t>
        </is>
      </c>
    </row>
    <row r="12">
      <c r="A12" s="4" t="inlineStr">
        <is>
          <t>2023</t>
        </is>
      </c>
      <c r="B12" s="4" t="n">
        <v>83391</v>
      </c>
      <c r="C12" s="4" t="n">
        <v>73859</v>
      </c>
      <c r="D12" s="4" t="n">
        <v>16277</v>
      </c>
      <c r="E12" s="4" t="n">
        <v>14356</v>
      </c>
    </row>
    <row r="13">
      <c r="A13" s="4" t="inlineStr">
        <is>
          <t>2024</t>
        </is>
      </c>
      <c r="B13" s="4" t="n">
        <v>56724</v>
      </c>
      <c r="C13" s="4" t="n">
        <v>48124</v>
      </c>
      <c r="D13" s="4" t="n">
        <v>11068</v>
      </c>
      <c r="E13" s="4" t="n">
        <v>9820</v>
      </c>
    </row>
    <row r="14">
      <c r="A14" s="4" t="inlineStr">
        <is>
          <t>2025</t>
        </is>
      </c>
      <c r="B14" s="4" t="n">
        <v>56830</v>
      </c>
      <c r="C14" s="4" t="n">
        <v>50720</v>
      </c>
      <c r="D14" s="4" t="n">
        <v>10947</v>
      </c>
      <c r="E14" s="4" t="n">
        <v>9756</v>
      </c>
    </row>
    <row r="15">
      <c r="A15" s="5" t="inlineStr">
        <is>
          <t>Total</t>
        </is>
      </c>
      <c r="B15" s="5">
        <f>SUM(B12:B14)</f>
        <v/>
      </c>
      <c r="C15" s="5">
        <f>SUM(C12:C14)</f>
        <v/>
      </c>
      <c r="D15" s="5">
        <f>SUM(D12:D14)</f>
        <v/>
      </c>
      <c r="E15" s="5">
        <f>SUM(E12:E14)</f>
        <v/>
      </c>
    </row>
    <row r="17">
      <c r="A17" t="inlineStr">
        <is>
          <t>Note : les suppléments notifiés (196 945 € PASTEUR, 172 703 € BEHEM) et les majorations sont les chiffres du SERVICE, lus sur les propositions scannées. Ils ne sont PAS recalculés ici (l'IR au barème dépend du revenu propre de chaque foyer, non communiqué).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6" customWidth="1" min="1" max="1"/>
    <col width="24" customWidth="1" min="2" max="2"/>
    <col width="20" customWidth="1" min="3" max="3"/>
    <col width="20" customWidth="1" min="4" max="4"/>
    <col width="26" customWidth="1" min="5" max="5"/>
    <col width="22" customWidth="1" min="6" max="6"/>
  </cols>
  <sheetData>
    <row r="1">
      <c r="A1" s="1" t="inlineStr">
        <is>
          <t>CALCUL — chaque résultat est une FORMULE (base RCM, ×1,25, supplément d'assiette, taux effectif)</t>
        </is>
      </c>
    </row>
    <row r="3">
      <c r="A3" s="3" t="inlineStr">
        <is>
          <t>Exercice</t>
        </is>
      </c>
      <c r="B3" s="3" t="inlineStr">
        <is>
          <t>Base RCM / foyer = TTC ÷ 2</t>
        </is>
      </c>
      <c r="C3" s="3" t="inlineStr">
        <is>
          <t>Assiette IR = base × 1,25</t>
        </is>
      </c>
      <c r="D3" s="3" t="inlineStr">
        <is>
          <t>Supplément d'assiette (+25%) = assiette − base</t>
        </is>
      </c>
    </row>
    <row r="4">
      <c r="A4" s="4" t="inlineStr">
        <is>
          <t>2023</t>
        </is>
      </c>
      <c r="B4" s="4">
        <f>ROUND(Sources!B5/2,0)</f>
        <v/>
      </c>
      <c r="C4" s="4">
        <f>ROUND(B4*1.25,0)</f>
        <v/>
      </c>
      <c r="D4" s="4">
        <f>C4-B4</f>
        <v/>
      </c>
    </row>
    <row r="5">
      <c r="A5" s="4" t="inlineStr">
        <is>
          <t>2024</t>
        </is>
      </c>
      <c r="B5" s="4">
        <f>ROUND(Sources!B6/2,0)</f>
        <v/>
      </c>
      <c r="C5" s="4">
        <f>ROUND(B5*1.25,0)</f>
        <v/>
      </c>
      <c r="D5" s="4">
        <f>C5-B5</f>
        <v/>
      </c>
    </row>
    <row r="6">
      <c r="A6" s="4" t="inlineStr">
        <is>
          <t>2025</t>
        </is>
      </c>
      <c r="B6" s="4">
        <f>ROUND(Sources!B7/2,0)</f>
        <v/>
      </c>
      <c r="C6" s="4">
        <f>ROUND(B6*1.25,0)</f>
        <v/>
      </c>
      <c r="D6" s="4">
        <f>C6-B6</f>
        <v/>
      </c>
    </row>
    <row r="7">
      <c r="A7" s="5" t="inlineStr">
        <is>
          <t>Total</t>
        </is>
      </c>
      <c r="B7" s="5">
        <f>SUM(B4:B6)</f>
        <v/>
      </c>
      <c r="C7" s="5">
        <f>SUM(C4:C6)</f>
        <v/>
      </c>
      <c r="D7" s="5">
        <f>SUM(D4:D6)</f>
        <v/>
      </c>
    </row>
    <row r="9">
      <c r="A9" s="2" t="inlineStr">
        <is>
          <t>Taux effectif du prélèvement = supplément notifié par le service ÷ base RCM distribuée</t>
        </is>
      </c>
    </row>
    <row r="10">
      <c r="A10" s="3" t="inlineStr">
        <is>
          <t>Foyer</t>
        </is>
      </c>
      <c r="B10" s="3" t="inlineStr">
        <is>
          <t>Supplément notifié (3 ans)</t>
        </is>
      </c>
      <c r="C10" s="3" t="inlineStr">
        <is>
          <t>Base RCM (3 ans)</t>
        </is>
      </c>
      <c r="D10" s="3" t="inlineStr">
        <is>
          <t>Taux effectif global</t>
        </is>
      </c>
      <c r="E10" s="3" t="inlineStr">
        <is>
          <t>Majoration 40% notifiée (3 ans)</t>
        </is>
      </c>
      <c r="F10" s="3" t="inlineStr">
        <is>
          <t>Taux HORS majoration 40%</t>
        </is>
      </c>
    </row>
    <row r="11">
      <c r="A11" s="4" t="inlineStr">
        <is>
          <t>PASTEUR</t>
        </is>
      </c>
      <c r="B11" s="4">
        <f>Sources!B15</f>
        <v/>
      </c>
      <c r="C11" s="4">
        <f>B7</f>
        <v/>
      </c>
      <c r="D11" s="6">
        <f>B11/C11</f>
        <v/>
      </c>
      <c r="E11" s="4">
        <f>Sources!D15</f>
        <v/>
      </c>
      <c r="F11" s="6">
        <f>(B11-E11)/C11</f>
        <v/>
      </c>
    </row>
    <row r="12">
      <c r="A12" s="4" t="inlineStr">
        <is>
          <t>BEHEM</t>
        </is>
      </c>
      <c r="B12" s="4">
        <f>Sources!C15</f>
        <v/>
      </c>
      <c r="C12" s="4">
        <f>B7</f>
        <v/>
      </c>
      <c r="D12" s="6">
        <f>B12/C12</f>
        <v/>
      </c>
      <c r="E12" s="4">
        <f>Sources!E15</f>
        <v/>
      </c>
      <c r="F12" s="6">
        <f>(B12-E12)/C12</f>
        <v/>
      </c>
    </row>
    <row r="14">
      <c r="A14" t="inlineStr">
        <is>
          <t>Écart PASTEUR − BEHEM (à base identique)</t>
        </is>
      </c>
      <c r="D14">
        <f>B11-B12</f>
        <v/>
      </c>
    </row>
    <row r="15">
      <c r="A15" t="inlineStr">
        <is>
          <t>→ Cet écart (24 242 €) ne vient QUE de l'IR au barème : à base distribuée identique (235 913 €), le ×1,25, la majoration de 40 % et les prélèvements sociaux sont des multiplicateurs identiques pour les deux foyers. Seul l'IR progressif diffère, selon les autres revenus et le quotient familial de chaque foyer — données non communiquées (voir Méthode).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7" t="inlineStr">
        <is>
          <t>MÉTHODE — d'où vient chaque chiffre</t>
        </is>
      </c>
    </row>
    <row r="2">
      <c r="A2" s="8" t="inlineStr"/>
    </row>
    <row r="3">
      <c r="A3" s="8" t="inlineStr">
        <is>
          <t>1. Base RCM par foyer. Le service part des discordances TTC de sa reconstitution société (onglet Sources, B5:B7 : 193 234,55 / 138 863,57 / 139 727,76 €, proposition du 18/05/2026). La distribution réputée est répartie par moitié entre les deux co-gérants : base RCM/foyer = TTC ÷ 2 (onglet Calcul, colonne B, formule =Sources!B/2).</t>
        </is>
      </c>
    </row>
    <row r="4">
      <c r="A4" s="8" t="inlineStr">
        <is>
          <t>2. Assiette IR. L'assiette ajoutée au revenu imposable est la base RCM majorée du coefficient de 1,25 (art. 158-7-2° CGI) : assiette = base × 1,25 (colonne C, formule =ROUND(B*1,25;0)).</t>
        </is>
      </c>
    </row>
    <row r="5">
      <c r="A5" s="8" t="inlineStr">
        <is>
          <t>3. Supplément d'assiette (+25%). = assiette − base (colonne D). Total 3 ans et 2 foyers : 58 978 € par foyer.</t>
        </is>
      </c>
    </row>
    <row r="6">
      <c r="A6" s="8" t="inlineStr">
        <is>
          <t>4. Suppléments d'impôt. Les montants 196 945 € (PASTEUR) et 172 703 € (BEHEM) sont ceux NOTIFIÉS par le service dans les deux propositions personnelles du 19/10/2026 (PDF scannés, onglet Sources B12:C14). Ils ne sont pas recalculés ici : l'impôt sur le revenu au barème dépend des AUTRES revenus de chaque foyer et de son quotient familial, qui ne figurent sur aucune pièce communiquée (pas de déclaration 2042 au dossier).</t>
        </is>
      </c>
    </row>
    <row r="7">
      <c r="A7" s="8" t="inlineStr">
        <is>
          <t>5. Taux effectif. = supplément notifié ÷ base RCM distribuée (onglet Calcul, colonne D). PASTEUR 83,5 %, BEHEM 73,2 %.</t>
        </is>
      </c>
    </row>
    <row r="8">
      <c r="A8" s="8" t="inlineStr">
        <is>
          <t>6. Taux hors pénalité. = (supplément − majoration de 40 %) ÷ base (colonne F). PASTEUR 67,3 %, BEHEM 58,8 %. C'est ce taux, débarrassé de la sanction de 40 % que la défense conteste, qui doit servir toute discussion sur le caractère confiscatoire (sinon l'argument présuppose le maintien de ce que l'on conteste).</t>
        </is>
      </c>
    </row>
    <row r="9">
      <c r="A9" s="8" t="inlineStr">
        <is>
          <t>7. Écart PASTEUR / BEHEM. À base distribuée identique (235 913 €), le ×1,25, la majoration de 40 % et les prélèvements sociaux 17,2 % sont des multiplicateurs plats identiques pour les deux foyers. Le seul facteur qui diffère est l'IR au barème (progressif). L'écart de 24 242 € s'explique donc intégralement par la position de chaque foyer dans le barème — non reconstituable sans le revenu global de chaque foyer.</t>
        </is>
      </c>
    </row>
    <row r="10">
      <c r="A10" s="8" t="inlineStr">
        <is>
          <t>LIMITE. La ventilation interne du service (IR au barème / majoration 40 % / intérêts / prélèvements sociaux) portée sur les propositions scannées ne se reconstitue pas : la majoration de 40 % affichée n'égale pas 40 % de l'IR indiqué (sa base est le droit éludé net), et le poste « prélèvements sociaux » n'égale pas 17,2 % de la base (16 618 € attendus en 2023). Seuls les totaux notifiés et la cascade base→×1,25 sont certains. Le détail de liquidation foyer par foyer doit être réclamé au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2026-10-25T19:11:23Z</dcterms:created>
  <dcterms:modified xmlns:dcterms="http://purl.org/dc/terms/" xmlns:xsi="http://www.w3.org/2001/XMLSchema-instance" xsi:type="dcterms:W3CDTF">2026-10-25T19:11:54Z</dcterms:modified>
</cp:coreProperties>
</file>