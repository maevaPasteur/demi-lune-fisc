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s" sheetId="1" state="visible" r:id="rId3"/>
    <sheet name="Calcul" sheetId="2" state="visible" r:id="rId4"/>
    <sheet name="Méthod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<sst xmlns="http://schemas.openxmlformats.org/spreadsheetml/2006/main" count="173" uniqueCount="130">
  <si>
    <t xml:space="preserve">Sources brutes — données réellement tracées et bases énoncées par le service</t>
  </si>
  <si>
    <t xml:space="preserve">Seules les lignes enregistrées en caisse à prix nul constituent une trace directe d'une mise à disposition gratuite. Les annexes de détail des trois exercices (C1, C2, C3) sont au dossier : le balayage des sept lignes de vin nommé au verre/pichet à 0 € a été refait directement sur chacune. La dose de 2 cl, le nombre de 6 292 couples note x vin nommé et la partition verre/pichet proviennent du décompte note par note, reproductible sur les mêmes annexes.</t>
  </si>
  <si>
    <t xml:space="preserve">A. Lignes de vin nommé (verre/pichet) enregistrées à prix nul sur les 3 exercices</t>
  </si>
  <si>
    <t xml:space="preserve">Exercice</t>
  </si>
  <si>
    <t xml:space="preserve">Date</t>
  </si>
  <si>
    <t xml:space="preserve">N° note</t>
  </si>
  <si>
    <t xml:space="preserve">Libellé caisse</t>
  </si>
  <si>
    <t xml:space="preserve">Vin nommé</t>
  </si>
  <si>
    <t xml:space="preserve">Quantité</t>
  </si>
  <si>
    <t xml:space="preserve">Volume (L)</t>
  </si>
  <si>
    <t xml:space="preserve">Par exercice (lignes tracées à 0 €)</t>
  </si>
  <si>
    <t xml:space="preserve">Lignes</t>
  </si>
  <si>
    <t xml:space="preserve">Exercice 2 (2023-2024)</t>
  </si>
  <si>
    <t xml:space="preserve">2023-04-20</t>
  </si>
  <si>
    <t xml:space="preserve">27</t>
  </si>
  <si>
    <t xml:space="preserve">Saint Véran Verre</t>
  </si>
  <si>
    <t xml:space="preserve">Saint Véran</t>
  </si>
  <si>
    <t xml:space="preserve">Exercice 1 (2022-2023)</t>
  </si>
  <si>
    <t xml:space="preserve">2023-05-19</t>
  </si>
  <si>
    <t xml:space="preserve">28</t>
  </si>
  <si>
    <t xml:space="preserve">Savagnin verre</t>
  </si>
  <si>
    <t xml:space="preserve">Savagnin</t>
  </si>
  <si>
    <t xml:space="preserve">2023-08-05</t>
  </si>
  <si>
    <t xml:space="preserve">32</t>
  </si>
  <si>
    <t xml:space="preserve">PICHET ALIGOTE 50cL</t>
  </si>
  <si>
    <t xml:space="preserve">Aligoté</t>
  </si>
  <si>
    <t xml:space="preserve">Exercice 3 (2024-2025)</t>
  </si>
  <si>
    <t xml:space="preserve">2023-08-10</t>
  </si>
  <si>
    <t xml:space="preserve">Arbois Trousseau Le</t>
  </si>
  <si>
    <t xml:space="preserve">Arbois Trousseau</t>
  </si>
  <si>
    <t xml:space="preserve">Cumul 3 exercices</t>
  </si>
  <si>
    <t xml:space="preserve">2024-03-07</t>
  </si>
  <si>
    <t xml:space="preserve">7</t>
  </si>
  <si>
    <t xml:space="preserve">2024-05-10</t>
  </si>
  <si>
    <t xml:space="preserve">2024-10-30</t>
  </si>
  <si>
    <t xml:space="preserve">15</t>
  </si>
  <si>
    <t xml:space="preserve">TOTAL tracé</t>
  </si>
  <si>
    <t xml:space="preserve">7 lignes</t>
  </si>
  <si>
    <t xml:space="preserve">Nature : verres et pichets entiers portés à 0 €, et non des larmes de 2 cl. Balayage direct des trois annexes C : exercice 1 (C1), aucune ligne de vin nommé au verre/pichet à 0 € (la seule ligne de vin nommé à 0 € y est une bouteille, ref 2025 « H.C.B BEAUNE BTL », exclue) ; exercice 2 (C2), 5 lignes pour 1,10 L ; exercice 3 (C3), 2 lignes pour 0,75 L.</t>
  </si>
  <si>
    <t xml:space="preserve">B. Bases énoncées par le service pour ses abattements de 15 % (p. 86)</t>
  </si>
  <si>
    <t xml:space="preserve">Catégorie</t>
  </si>
  <si>
    <t xml:space="preserve">Base énoncée</t>
  </si>
  <si>
    <t xml:space="preserve">Unité</t>
  </si>
  <si>
    <t xml:space="preserve">Résultat annoncé (L)</t>
  </si>
  <si>
    <t xml:space="preserve">Vins au BIB</t>
  </si>
  <si>
    <t xml:space="preserve">Exercice 1</t>
  </si>
  <si>
    <t xml:space="preserve">cl</t>
  </si>
  <si>
    <t xml:space="preserve">Exercice 2</t>
  </si>
  <si>
    <t xml:space="preserve">Exercice 3</t>
  </si>
  <si>
    <t xml:space="preserve">Bouteilles bouchées</t>
  </si>
  <si>
    <t xml:space="preserve">L</t>
  </si>
  <si>
    <t xml:space="preserve">C. Paramètres du décompte R1 (hypothèse de dose + comptage note par note)</t>
  </si>
  <si>
    <t xml:space="preserve">Paramètre</t>
  </si>
  <si>
    <t xml:space="preserve">Valeur</t>
  </si>
  <si>
    <t xml:space="preserve">Statut / source</t>
  </si>
  <si>
    <t xml:space="preserve">Dose de dégustation</t>
  </si>
  <si>
    <t xml:space="preserve">Convention déclarée par la société, jamais mesurée (L/geste)</t>
  </si>
  <si>
    <t xml:space="preserve">Couples note x vin nommé comptés (3 ex.)</t>
  </si>
  <si>
    <t xml:space="preserve">Décompte note par note sur annexes C1/C2/C3 (97 775 lignes lues, re-vérifié) — lignes de VENTE, non des offerts</t>
  </si>
  <si>
    <t xml:space="preserve">dont vins au BIB (Aligoté, Chusclan)</t>
  </si>
  <si>
    <t xml:space="preserve">Décompte R1 — périmètre couvert par l'abattement BIB</t>
  </si>
  <si>
    <t xml:space="preserve">dont vin vendu seulement en bouteille entière</t>
  </si>
  <si>
    <t xml:space="preserve">Décompte — refs 2019 et 1831, prix bouteille (vérifié sur C1/C2/C3)</t>
  </si>
  <si>
    <t xml:space="preserve">dont vendu au verre</t>
  </si>
  <si>
    <t xml:space="preserve">Décompte R1 — part exposée à l'objection p. 64</t>
  </si>
  <si>
    <t xml:space="preserve">dont vendu au pichet</t>
  </si>
  <si>
    <t xml:space="preserve">Décompte R1 — volume vendu = contenance du récipient</t>
  </si>
  <si>
    <t xml:space="preserve">Calculs — tous les résultats ci-dessous sont obtenus par formule</t>
  </si>
  <si>
    <t xml:space="preserve">Chaque cellule « Résultat » renvoie à une base de l'onglet Sources ; aucun résultat n'est saisi en dur. Les volumes hypothétiques dépendent de la dose conventionnelle de 2 cl (Sources, bloc C).</t>
  </si>
  <si>
    <t xml:space="preserve">1. Volume de vin nommé réellement tracé à prix nul (verres/pichets entiers)</t>
  </si>
  <si>
    <t xml:space="preserve">Grandeur</t>
  </si>
  <si>
    <t xml:space="preserve">Formule renvoyant aux sources</t>
  </si>
  <si>
    <t xml:space="preserve">Résultat (L)</t>
  </si>
  <si>
    <t xml:space="preserve">Volume tracé sur 3 exercices (7 lignes)</t>
  </si>
  <si>
    <t xml:space="preserve">Somme des 7 volumes (Sources)</t>
  </si>
  <si>
    <t xml:space="preserve">2. Recontrôle de l'abattement « vins au BIB » (base cl x 15 %)</t>
  </si>
  <si>
    <t xml:space="preserve">Base (cl) -&gt; Sources</t>
  </si>
  <si>
    <t xml:space="preserve">Recalcul 15 % (L)</t>
  </si>
  <si>
    <t xml:space="preserve">Annoncé (L)</t>
  </si>
  <si>
    <t xml:space="preserve">Écart (L)</t>
  </si>
  <si>
    <t xml:space="preserve">Cumul 3 exercices (valeur retenue)</t>
  </si>
  <si>
    <t xml:space="preserve">Note : la valeur exacte du cumul BIB est de 198,31 L (et non 198,15 L, qui est la somme des seuls chiffres arrondis annoncés par le service). Le service l'arrondit lui-même à « 198 L ».</t>
  </si>
  <si>
    <t xml:space="preserve">3. Recontrôle de l'abattement « bouteilles bouchées » (base L x 15 %)</t>
  </si>
  <si>
    <t xml:space="preserve">Base (L) -&gt; Sources</t>
  </si>
  <si>
    <t xml:space="preserve">4. Volume hypothétique de la demande (dose 2 cl x comptage R1) — chaîne unique</t>
  </si>
  <si>
    <t xml:space="preserve">Étape</t>
  </si>
  <si>
    <t xml:space="preserve">Couples -&gt; Sources</t>
  </si>
  <si>
    <t xml:space="preserve">Volume (L) = couples x dose</t>
  </si>
  <si>
    <t xml:space="preserve">Couples note x vin nommé comptés</t>
  </si>
  <si>
    <t xml:space="preserve">moins vins au BIB (couverts par l'abattement BIB)</t>
  </si>
  <si>
    <t xml:space="preserve">Sous-total bouteilles (intermédiaire)</t>
  </si>
  <si>
    <t xml:space="preserve">moins vin vendu seulement en bouteille entière (refs 2019, 1831)</t>
  </si>
  <si>
    <t xml:space="preserve">Volume hypothétique de la demande</t>
  </si>
  <si>
    <t xml:space="preserve">5. Partition du volume hypothétique : verre (objection p. 64) vs pichet (hors objection)</t>
  </si>
  <si>
    <t xml:space="preserve">Contenant vendu</t>
  </si>
  <si>
    <t xml:space="preserve">Statut de preuve</t>
  </si>
  <si>
    <t xml:space="preserve">Vendu au verre</t>
  </si>
  <si>
    <t xml:space="preserve">À ÉTAYER : suspendu à une attestation de salle non produite</t>
  </si>
  <si>
    <t xml:space="preserve">Vendu au pichet</t>
  </si>
  <si>
    <t xml:space="preserve">Volume vendu = contenance du récipient (50 cl) ; objection p. 64 sans objet</t>
  </si>
  <si>
    <t xml:space="preserve">Total (contrôle = demande)</t>
  </si>
  <si>
    <t xml:space="preserve">6. Synthèse — ce qui est prouvé aujourd'hui vs ce qui est hypothétique</t>
  </si>
  <si>
    <t xml:space="preserve">Niveau de preuve</t>
  </si>
  <si>
    <t xml:space="preserve">Ce dont il dépend</t>
  </si>
  <si>
    <t xml:space="preserve">Tracé en caisse (lignes à 0 €)</t>
  </si>
  <si>
    <t xml:space="preserve">7 lignes enregistrées à 0 € ; verres/pichets entiers, non des larmes</t>
  </si>
  <si>
    <t xml:space="preserve">Hypothétique, au verre (à étayer)</t>
  </si>
  <si>
    <t xml:space="preserve">Attestation de salle décrivant le geste (verre distinct vs verre complété)</t>
  </si>
  <si>
    <t xml:space="preserve">Hypothétique, au pichet</t>
  </si>
  <si>
    <t xml:space="preserve">Dose 2 cl conventionnelle ; contenant pichet non atteint par l'objection</t>
  </si>
  <si>
    <t xml:space="preserve">Total hypothétique de la demande</t>
  </si>
  <si>
    <t xml:space="preserve">Méthode — d'où vient chaque chiffre</t>
  </si>
  <si>
    <t xml:space="preserve">1. Le poste « dégustation offerte » n'est pas lu dans la caisse.</t>
  </si>
  <si>
    <t xml:space="preserve">La caisse enregistre des VENTES. Qu'un vin nommé figure sur une note prouve qu'il a été facturé, pas qu'une larme de 2 cl a été offerte. La seule trace directe d'une mise à disposition gratuite est une ligne portée à prix nul : sur 3 exercices, l'onglet « Vin nommé à prix zéro » de la pièce R1 (verre-et-pichet) n'en recense que 7 (10 unités, 1,85 L), et précise qu'il s'agit de verres/pichets ENTIERS à 0 €, non de larmes.</t>
  </si>
  <si>
    <t xml:space="preserve">2. Vérification directe sur les trois annexes de détail (C1, C2, C3).</t>
  </si>
  <si>
    <t xml:space="preserve">Les annexes de détail des trois exercices sont au dossier. Balayage direct des lignes de vin nommé au verre/pichet enregistrées à 0 € : exercice 1 (C1, 33 222 lignes), aucune (la seule ligne de vin nommé à 0 € est une bouteille, ref 2025 « H.C.B BEAUNE BTL », exclue) ; exercice 2 (C2), 5 lignes pour 1,10 L ; exercice 3 (C3), 2 lignes pour 0,75 L. Soit 7 lignes et 1,85 L sur les trois exercices, chacune re-vérifiable à sa date et son numéro de note.</t>
  </si>
  <si>
    <t xml:space="preserve">3. La dose de 2 cl est une hypothèse, pas une mesure.</t>
  </si>
  <si>
    <t xml:space="preserve">Elle est déclarée par la société et n'a fait l'objet d'aucun relevé ni d'aucune constatation. À 1 cl le volume tombe de moitié, à 3 cl il croît de 50 %. Tout volume calculé « couples x 2 cl » est donc indexé sur un paramètre non établi : il est présenté comme hypothèse, non comme fait.</t>
  </si>
  <si>
    <t xml:space="preserve">4. Le comptage de 6 292 couples et la partition verre/pichet viennent de R1.</t>
  </si>
  <si>
    <t xml:space="preserve">Décompte note par note sur C1/C2/C3 (97 775 lignes lues ; 6 326 lignes de vin nommé au verre/pichet ; 16 613 notes dont 5 457 retenues), reproductible sur les annexes au dossier. Ils comptent des lignes de vente, pas des gestes gratuits, et servent uniquement à borner le volume HYPOTHÉTIQUE que la demande atteindrait SI le geste était attesté.</t>
  </si>
  <si>
    <t xml:space="preserve">5. Chaîne de la demande, valeur unique.</t>
  </si>
  <si>
    <t xml:space="preserve">125,84 L (6 292 x 2 cl) moins 21,84 L de vins au BIB (1 092 x 2 cl, couverts par l'abattement BIB) = 104,00 L ; moins 6,58 L de vin vendu seulement en bouteille entière (329 x 2 cl, refs 2019 et 1831 au prix bouteille, vérifié sur C1) = 97,42 L. Le 104,00 L n'est qu'un intermédiaire : la seule valeur de demande est 97,42 L. La pièce R1 « par note » qui affichait 104,00 L comme « volume demandé » est corrigée ici.</t>
  </si>
  <si>
    <t xml:space="preserve">6. Correction de l'erreur arithmétique BIB.</t>
  </si>
  <si>
    <t xml:space="preserve">Le cumul exact de l'abattement BIB recalculé est 68,1495 + 66,1185 + 64,044 = 198,31 L. La valeur 198,15 L qui figurait dans la pièce R1 « par note » est la somme des seuls chiffres arrondis annoncés par le service (67,99 + 66,12 + 64,04) : c'est une incohérence interne, corrigée. Le service lui-même arrondit à « 198 L ».</t>
  </si>
  <si>
    <t xml:space="preserve">7. Partition verre / pichet et statut de preuve.</t>
  </si>
  <si>
    <t xml:space="preserve">Sur les 97,42 L hypothétiques : 21,46 L (1 073 couples) portent sur un vin vendu au pichet, dont le volume vendu est la contenance du récipient (50 cl) ; l'objection de la page 64 (verre rempli à hauteur du solde de la dose) y est sans objet. 75,96 L (3 798 couples, soit 78 %) portent sur un vin vendu au verre : cette part dépend entièrement d'une attestation de salle décrivant le geste, qui n'est pas produite. Statut : à étayer.</t>
  </si>
  <si>
    <t xml:space="preserve">8. Pas de double compte avec le sur-versement.</t>
  </si>
  <si>
    <t xml:space="preserve">Sur les lignes vendues au verre, la part « dégustation » (75,96 L) et le poste « sur-versement » (grief distinct) portent sur les mêmes verres. Ils ne peuvent être additionnés que si la larme est versée dans un verre distinct. Tant que la pratique n'est pas attestée, on ne cumule pas les deux pertes sur la même dose : aucun volume de sur-versement n'est repris dans cette pièce.</t>
  </si>
  <si>
    <t xml:space="preserve">9. Conversion en euros.</t>
  </si>
  <si>
    <t xml:space="preserve">Le grief porte sur un chiffre d'affaires. Ici la dégustation retranche un VOLUME du vin réputé vendable en amont de l'abattement de 15 % et du coefficient d'extrapolation (environ x3) appliqués par le service. L'incidence exacte en euros n'est pas isolable des pièces produites (ni le prix moyen au litre retenu dans la reconstitution, ni le coefficient par poste ne sont sourçables ligne à ligne) : elle n'est donc pas chiffrée en euros, par honnêteté.</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</si>
</sst>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3"/>
      <color rgb="FF0F766E"/>
      <name val="Cambria"/>
      <family val="0"/>
      <charset val="1"/>
    </font>
    <font>
      <i val="true"/>
      <sz val="9"/>
      <color rgb="FF555555"/>
      <name val="Cambria"/>
      <family val="0"/>
      <charset val="1"/>
    </font>
    <font>
      <b val="true"/>
      <sz val="11"/>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0F766E"/>
        <bgColor rgb="FF00808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right"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3"/>
    <col collapsed="false" customWidth="true" hidden="false" outlineLevel="0" max="3" min="3" style="0" width="9"/>
    <col collapsed="false" customWidth="true" hidden="false" outlineLevel="0" max="4" min="4" style="0" width="22"/>
    <col collapsed="false" customWidth="true" hidden="false" outlineLevel="0" max="5" min="5" style="0" width="16"/>
    <col collapsed="false" customWidth="true" hidden="false" outlineLevel="0" max="7" min="6" style="0" width="11"/>
  </cols>
  <sheetData>
    <row r="1" customFormat="false" ht="16.15" hidden="false" customHeight="false" outlineLevel="0" collapsed="false">
      <c r="A1" s="1" t="s">
        <v>0</v>
      </c>
    </row>
    <row r="2" customFormat="false" ht="45.75" hidden="false" customHeight="true" outlineLevel="0" collapsed="false">
      <c r="A2" s="2" t="s">
        <v>1</v>
      </c>
      <c r="B2" s="2"/>
      <c r="C2" s="2"/>
      <c r="D2" s="2"/>
      <c r="E2" s="2"/>
      <c r="F2" s="2"/>
      <c r="G2" s="2"/>
    </row>
    <row r="4" customFormat="false" ht="15" hidden="false" customHeight="false" outlineLevel="0" collapsed="false">
      <c r="A4" s="3" t="s">
        <v>2</v>
      </c>
    </row>
    <row r="5" customFormat="false" ht="15" hidden="false" customHeight="false" outlineLevel="0" collapsed="false">
      <c r="A5" s="4" t="s">
        <v>3</v>
      </c>
      <c r="B5" s="4" t="s">
        <v>4</v>
      </c>
      <c r="C5" s="4" t="s">
        <v>5</v>
      </c>
      <c r="D5" s="4" t="s">
        <v>6</v>
      </c>
      <c r="E5" s="4" t="s">
        <v>7</v>
      </c>
      <c r="F5" s="4" t="s">
        <v>8</v>
      </c>
      <c r="G5" s="4" t="s">
        <v>9</v>
      </c>
      <c r="I5" s="3" t="s">
        <v>10</v>
      </c>
      <c r="J5" s="5" t="s">
        <v>11</v>
      </c>
      <c r="K5" s="5" t="s">
        <v>9</v>
      </c>
    </row>
    <row r="6" customFormat="false" ht="15" hidden="false" customHeight="false" outlineLevel="0" collapsed="false">
      <c r="A6" s="6" t="s">
        <v>12</v>
      </c>
      <c r="B6" s="6" t="s">
        <v>13</v>
      </c>
      <c r="C6" s="6" t="s">
        <v>14</v>
      </c>
      <c r="D6" s="6" t="s">
        <v>15</v>
      </c>
      <c r="E6" s="6" t="s">
        <v>16</v>
      </c>
      <c r="F6" s="7" t="n">
        <v>1</v>
      </c>
      <c r="G6" s="7" t="n">
        <v>0.15</v>
      </c>
      <c r="I6" s="5" t="s">
        <v>17</v>
      </c>
      <c r="J6" s="5" t="n">
        <f aca="false">COUNTIF($A$6:$A$12,I6)</f>
        <v>0</v>
      </c>
      <c r="K6" s="5" t="n">
        <f aca="false">SUMIF($A$6:$A$12,I6,$G$6:$G$12)</f>
        <v>0</v>
      </c>
    </row>
    <row r="7" customFormat="false" ht="15" hidden="false" customHeight="false" outlineLevel="0" collapsed="false">
      <c r="A7" s="6" t="s">
        <v>12</v>
      </c>
      <c r="B7" s="6" t="s">
        <v>18</v>
      </c>
      <c r="C7" s="6" t="s">
        <v>19</v>
      </c>
      <c r="D7" s="6" t="s">
        <v>20</v>
      </c>
      <c r="E7" s="6" t="s">
        <v>21</v>
      </c>
      <c r="F7" s="7" t="n">
        <v>1</v>
      </c>
      <c r="G7" s="7" t="n">
        <v>0.15</v>
      </c>
      <c r="I7" s="5" t="s">
        <v>12</v>
      </c>
      <c r="J7" s="5" t="n">
        <f aca="false">COUNTIF($A$6:$A$12,I7)</f>
        <v>5</v>
      </c>
      <c r="K7" s="5" t="n">
        <f aca="false">SUMIF($A$6:$A$12,I7,$G$6:$G$12)</f>
        <v>1.1</v>
      </c>
    </row>
    <row r="8" customFormat="false" ht="15" hidden="false" customHeight="false" outlineLevel="0" collapsed="false">
      <c r="A8" s="6" t="s">
        <v>12</v>
      </c>
      <c r="B8" s="6" t="s">
        <v>22</v>
      </c>
      <c r="C8" s="6" t="s">
        <v>23</v>
      </c>
      <c r="D8" s="6" t="s">
        <v>24</v>
      </c>
      <c r="E8" s="6" t="s">
        <v>25</v>
      </c>
      <c r="F8" s="7" t="n">
        <v>1</v>
      </c>
      <c r="G8" s="7" t="n">
        <v>0.5</v>
      </c>
      <c r="I8" s="5" t="s">
        <v>26</v>
      </c>
      <c r="J8" s="5" t="n">
        <f aca="false">COUNTIF($A$6:$A$12,I8)</f>
        <v>2</v>
      </c>
      <c r="K8" s="5" t="n">
        <f aca="false">SUMIF($A$6:$A$12,I8,$G$6:$G$12)</f>
        <v>0.75</v>
      </c>
    </row>
    <row r="9" customFormat="false" ht="15" hidden="false" customHeight="false" outlineLevel="0" collapsed="false">
      <c r="A9" s="6" t="s">
        <v>12</v>
      </c>
      <c r="B9" s="6" t="s">
        <v>27</v>
      </c>
      <c r="C9" s="6" t="s">
        <v>23</v>
      </c>
      <c r="D9" s="6" t="s">
        <v>28</v>
      </c>
      <c r="E9" s="6" t="s">
        <v>29</v>
      </c>
      <c r="F9" s="7" t="n">
        <v>1</v>
      </c>
      <c r="G9" s="7" t="n">
        <v>0.15</v>
      </c>
      <c r="I9" s="3" t="s">
        <v>30</v>
      </c>
      <c r="J9" s="5" t="n">
        <f aca="false">SUM(J6:J8)</f>
        <v>7</v>
      </c>
      <c r="K9" s="5" t="n">
        <f aca="false">SUM(K6:K8)</f>
        <v>1.85</v>
      </c>
    </row>
    <row r="10" customFormat="false" ht="15" hidden="false" customHeight="false" outlineLevel="0" collapsed="false">
      <c r="A10" s="6" t="s">
        <v>12</v>
      </c>
      <c r="B10" s="6" t="s">
        <v>31</v>
      </c>
      <c r="C10" s="6" t="s">
        <v>32</v>
      </c>
      <c r="D10" s="6" t="s">
        <v>20</v>
      </c>
      <c r="E10" s="6" t="s">
        <v>21</v>
      </c>
      <c r="F10" s="7" t="n">
        <v>1</v>
      </c>
      <c r="G10" s="7" t="n">
        <v>0.15</v>
      </c>
    </row>
    <row r="11" customFormat="false" ht="15" hidden="false" customHeight="false" outlineLevel="0" collapsed="false">
      <c r="A11" s="6" t="s">
        <v>26</v>
      </c>
      <c r="B11" s="6" t="s">
        <v>33</v>
      </c>
      <c r="C11" s="6" t="s">
        <v>14</v>
      </c>
      <c r="D11" s="6" t="s">
        <v>15</v>
      </c>
      <c r="E11" s="6" t="s">
        <v>16</v>
      </c>
      <c r="F11" s="7" t="n">
        <v>2</v>
      </c>
      <c r="G11" s="7" t="n">
        <v>0.3</v>
      </c>
    </row>
    <row r="12" customFormat="false" ht="15" hidden="false" customHeight="false" outlineLevel="0" collapsed="false">
      <c r="A12" s="6" t="s">
        <v>26</v>
      </c>
      <c r="B12" s="6" t="s">
        <v>34</v>
      </c>
      <c r="C12" s="6" t="s">
        <v>35</v>
      </c>
      <c r="D12" s="6" t="s">
        <v>20</v>
      </c>
      <c r="E12" s="6" t="s">
        <v>21</v>
      </c>
      <c r="F12" s="7" t="n">
        <v>3</v>
      </c>
      <c r="G12" s="7" t="n">
        <v>0.45</v>
      </c>
    </row>
    <row r="13" customFormat="false" ht="15" hidden="false" customHeight="false" outlineLevel="0" collapsed="false">
      <c r="A13" s="8" t="s">
        <v>36</v>
      </c>
      <c r="E13" s="3" t="s">
        <v>37</v>
      </c>
      <c r="F13" s="9" t="n">
        <f aca="false">SUM(F6:F12)</f>
        <v>10</v>
      </c>
      <c r="G13" s="9" t="n">
        <f aca="false">SUM(G6:G12)</f>
        <v>1.85</v>
      </c>
    </row>
    <row r="14" customFormat="false" ht="43.5" hidden="false" customHeight="true" outlineLevel="0" collapsed="false">
      <c r="A14" s="2" t="s">
        <v>38</v>
      </c>
      <c r="B14" s="2"/>
      <c r="C14" s="2"/>
      <c r="D14" s="2"/>
      <c r="E14" s="2"/>
      <c r="F14" s="2"/>
      <c r="G14" s="2"/>
    </row>
    <row r="16" customFormat="false" ht="15" hidden="false" customHeight="false" outlineLevel="0" collapsed="false">
      <c r="A16" s="3" t="s">
        <v>39</v>
      </c>
    </row>
    <row r="17" customFormat="false" ht="28.35" hidden="false" customHeight="false" outlineLevel="0" collapsed="false">
      <c r="A17" s="4" t="s">
        <v>40</v>
      </c>
      <c r="B17" s="4" t="s">
        <v>3</v>
      </c>
      <c r="C17" s="4" t="s">
        <v>41</v>
      </c>
      <c r="D17" s="4" t="s">
        <v>42</v>
      </c>
      <c r="E17" s="4" t="s">
        <v>43</v>
      </c>
      <c r="F17" s="4"/>
      <c r="G17" s="4"/>
    </row>
    <row r="18" customFormat="false" ht="15" hidden="false" customHeight="false" outlineLevel="0" collapsed="false">
      <c r="A18" s="6" t="s">
        <v>44</v>
      </c>
      <c r="B18" s="6" t="s">
        <v>45</v>
      </c>
      <c r="C18" s="7" t="n">
        <v>45433</v>
      </c>
      <c r="D18" s="6" t="s">
        <v>46</v>
      </c>
      <c r="E18" s="7" t="n">
        <v>67.99</v>
      </c>
    </row>
    <row r="19" customFormat="false" ht="15" hidden="false" customHeight="false" outlineLevel="0" collapsed="false">
      <c r="A19" s="6" t="s">
        <v>44</v>
      </c>
      <c r="B19" s="6" t="s">
        <v>47</v>
      </c>
      <c r="C19" s="7" t="n">
        <v>44079</v>
      </c>
      <c r="D19" s="6" t="s">
        <v>46</v>
      </c>
      <c r="E19" s="7" t="n">
        <v>66.12</v>
      </c>
    </row>
    <row r="20" customFormat="false" ht="15" hidden="false" customHeight="false" outlineLevel="0" collapsed="false">
      <c r="A20" s="6" t="s">
        <v>44</v>
      </c>
      <c r="B20" s="6" t="s">
        <v>48</v>
      </c>
      <c r="C20" s="7" t="n">
        <v>42696</v>
      </c>
      <c r="D20" s="6" t="s">
        <v>46</v>
      </c>
      <c r="E20" s="7" t="n">
        <v>64.04</v>
      </c>
    </row>
    <row r="21" customFormat="false" ht="15" hidden="false" customHeight="false" outlineLevel="0" collapsed="false">
      <c r="A21" s="6" t="s">
        <v>49</v>
      </c>
      <c r="B21" s="6" t="s">
        <v>45</v>
      </c>
      <c r="C21" s="7" t="n">
        <v>1169</v>
      </c>
      <c r="D21" s="6" t="s">
        <v>50</v>
      </c>
      <c r="E21" s="7" t="n">
        <v>175.35</v>
      </c>
    </row>
    <row r="22" customFormat="false" ht="15" hidden="false" customHeight="false" outlineLevel="0" collapsed="false">
      <c r="A22" s="6" t="s">
        <v>49</v>
      </c>
      <c r="B22" s="6" t="s">
        <v>47</v>
      </c>
      <c r="C22" s="7" t="n">
        <v>1153.87</v>
      </c>
      <c r="D22" s="6" t="s">
        <v>50</v>
      </c>
      <c r="E22" s="7" t="n">
        <v>173.08</v>
      </c>
    </row>
    <row r="23" customFormat="false" ht="15" hidden="false" customHeight="false" outlineLevel="0" collapsed="false">
      <c r="A23" s="6" t="s">
        <v>49</v>
      </c>
      <c r="B23" s="6" t="s">
        <v>48</v>
      </c>
      <c r="C23" s="7" t="n">
        <v>1020.75</v>
      </c>
      <c r="D23" s="6" t="s">
        <v>50</v>
      </c>
      <c r="E23" s="7" t="n">
        <v>153.11</v>
      </c>
    </row>
    <row r="25" customFormat="false" ht="15" hidden="false" customHeight="false" outlineLevel="0" collapsed="false">
      <c r="A25" s="3" t="s">
        <v>51</v>
      </c>
    </row>
    <row r="26" customFormat="false" ht="28.35" hidden="false" customHeight="false" outlineLevel="0" collapsed="false">
      <c r="A26" s="4" t="s">
        <v>52</v>
      </c>
      <c r="B26" s="4" t="s">
        <v>53</v>
      </c>
      <c r="C26" s="4" t="s">
        <v>54</v>
      </c>
      <c r="D26" s="4"/>
      <c r="E26" s="4"/>
      <c r="F26" s="4"/>
      <c r="G26" s="4"/>
    </row>
    <row r="27" customFormat="false" ht="15" hidden="false" customHeight="false" outlineLevel="0" collapsed="false">
      <c r="A27" s="6" t="s">
        <v>55</v>
      </c>
      <c r="B27" s="7" t="n">
        <v>0.02</v>
      </c>
      <c r="C27" s="6" t="s">
        <v>56</v>
      </c>
    </row>
    <row r="28" customFormat="false" ht="15" hidden="false" customHeight="false" outlineLevel="0" collapsed="false">
      <c r="A28" s="6" t="s">
        <v>57</v>
      </c>
      <c r="B28" s="7" t="n">
        <v>6292</v>
      </c>
      <c r="C28" s="6" t="s">
        <v>58</v>
      </c>
    </row>
    <row r="29" customFormat="false" ht="15" hidden="false" customHeight="false" outlineLevel="0" collapsed="false">
      <c r="A29" s="6" t="s">
        <v>59</v>
      </c>
      <c r="B29" s="7" t="n">
        <v>1092</v>
      </c>
      <c r="C29" s="6" t="s">
        <v>60</v>
      </c>
    </row>
    <row r="30" customFormat="false" ht="15" hidden="false" customHeight="false" outlineLevel="0" collapsed="false">
      <c r="A30" s="6" t="s">
        <v>61</v>
      </c>
      <c r="B30" s="7" t="n">
        <v>329</v>
      </c>
      <c r="C30" s="6" t="s">
        <v>62</v>
      </c>
    </row>
    <row r="31" customFormat="false" ht="15" hidden="false" customHeight="false" outlineLevel="0" collapsed="false">
      <c r="A31" s="6" t="s">
        <v>63</v>
      </c>
      <c r="B31" s="7" t="n">
        <v>3798</v>
      </c>
      <c r="C31" s="6" t="s">
        <v>64</v>
      </c>
    </row>
    <row r="32" customFormat="false" ht="15" hidden="false" customHeight="false" outlineLevel="0" collapsed="false">
      <c r="A32" s="6" t="s">
        <v>65</v>
      </c>
      <c r="B32" s="7" t="n">
        <v>1073</v>
      </c>
      <c r="C32" s="6" t="s">
        <v>66</v>
      </c>
    </row>
  </sheetData>
  <mergeCells count="2">
    <mergeCell ref="A2:G2"/>
    <mergeCell ref="A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42"/>
    <col collapsed="false" customWidth="true" hidden="false" outlineLevel="0" max="4" min="4" style="0" width="16"/>
    <col collapsed="false" customWidth="true" hidden="false" outlineLevel="0" max="5" min="5" style="0" width="10"/>
  </cols>
  <sheetData>
    <row r="1" customFormat="false" ht="16.15" hidden="false" customHeight="false" outlineLevel="0" collapsed="false">
      <c r="A1" s="1" t="s">
        <v>67</v>
      </c>
    </row>
    <row r="2" customFormat="false" ht="30" hidden="false" customHeight="true" outlineLevel="0" collapsed="false">
      <c r="A2" s="2" t="s">
        <v>68</v>
      </c>
      <c r="B2" s="2"/>
      <c r="C2" s="2"/>
      <c r="D2" s="2"/>
      <c r="E2" s="2"/>
    </row>
    <row r="4" customFormat="false" ht="15" hidden="false" customHeight="false" outlineLevel="0" collapsed="false">
      <c r="A4" s="3" t="s">
        <v>69</v>
      </c>
    </row>
    <row r="5" customFormat="false" ht="28.35" hidden="false" customHeight="false" outlineLevel="0" collapsed="false">
      <c r="A5" s="4" t="s">
        <v>70</v>
      </c>
      <c r="B5" s="4" t="s">
        <v>71</v>
      </c>
      <c r="C5" s="4" t="s">
        <v>72</v>
      </c>
      <c r="D5" s="4"/>
      <c r="E5" s="4"/>
    </row>
    <row r="6" customFormat="false" ht="15" hidden="false" customHeight="false" outlineLevel="0" collapsed="false">
      <c r="A6" s="6" t="s">
        <v>73</v>
      </c>
      <c r="B6" s="6" t="s">
        <v>74</v>
      </c>
      <c r="C6" s="10" t="n">
        <f aca="false">Sources!G13</f>
        <v>1.85</v>
      </c>
    </row>
    <row r="8" customFormat="false" ht="15" hidden="false" customHeight="false" outlineLevel="0" collapsed="false">
      <c r="A8" s="3" t="s">
        <v>75</v>
      </c>
    </row>
    <row r="9" customFormat="false" ht="15" hidden="false" customHeight="false" outlineLevel="0" collapsed="false">
      <c r="A9" s="4" t="s">
        <v>3</v>
      </c>
      <c r="B9" s="4" t="s">
        <v>76</v>
      </c>
      <c r="C9" s="4" t="s">
        <v>77</v>
      </c>
      <c r="D9" s="4" t="s">
        <v>78</v>
      </c>
      <c r="E9" s="4" t="s">
        <v>79</v>
      </c>
    </row>
    <row r="10" customFormat="false" ht="15" hidden="false" customHeight="false" outlineLevel="0" collapsed="false">
      <c r="A10" s="6" t="s">
        <v>45</v>
      </c>
      <c r="B10" s="7" t="n">
        <f aca="false">Sources!C18</f>
        <v>45433</v>
      </c>
      <c r="C10" s="7" t="n">
        <f aca="false">Sources!C18*0.15/100</f>
        <v>68.1495</v>
      </c>
      <c r="D10" s="7" t="n">
        <f aca="false">Sources!E18</f>
        <v>67.99</v>
      </c>
      <c r="E10" s="7" t="n">
        <f aca="false">C10-D10</f>
        <v>0.159500000000008</v>
      </c>
    </row>
    <row r="11" customFormat="false" ht="15" hidden="false" customHeight="false" outlineLevel="0" collapsed="false">
      <c r="A11" s="6" t="s">
        <v>47</v>
      </c>
      <c r="B11" s="7" t="n">
        <f aca="false">Sources!C19</f>
        <v>44079</v>
      </c>
      <c r="C11" s="7" t="n">
        <f aca="false">Sources!C19*0.15/100</f>
        <v>66.1185</v>
      </c>
      <c r="D11" s="7" t="n">
        <f aca="false">Sources!E19</f>
        <v>66.12</v>
      </c>
      <c r="E11" s="7" t="n">
        <f aca="false">C11-D11</f>
        <v>-0.00150000000000716</v>
      </c>
    </row>
    <row r="12" customFormat="false" ht="15" hidden="false" customHeight="false" outlineLevel="0" collapsed="false">
      <c r="A12" s="6" t="s">
        <v>48</v>
      </c>
      <c r="B12" s="7" t="n">
        <f aca="false">Sources!C20</f>
        <v>42696</v>
      </c>
      <c r="C12" s="7" t="n">
        <f aca="false">Sources!C20*0.15/100</f>
        <v>64.044</v>
      </c>
      <c r="D12" s="7" t="n">
        <f aca="false">Sources!E20</f>
        <v>64.04</v>
      </c>
      <c r="E12" s="7" t="n">
        <f aca="false">C12-D12</f>
        <v>0.00399999999999068</v>
      </c>
    </row>
    <row r="13" customFormat="false" ht="15" hidden="false" customHeight="false" outlineLevel="0" collapsed="false">
      <c r="A13" s="8" t="s">
        <v>80</v>
      </c>
      <c r="C13" s="10" t="n">
        <f aca="false">SUM(C10:C12)</f>
        <v>198.312</v>
      </c>
      <c r="D13" s="7" t="n">
        <f aca="false">SUM(D10:D12)</f>
        <v>198.15</v>
      </c>
      <c r="E13" s="7" t="n">
        <f aca="false">C13-D13</f>
        <v>0.161999999999978</v>
      </c>
    </row>
    <row r="14" customFormat="false" ht="30" hidden="false" customHeight="true" outlineLevel="0" collapsed="false">
      <c r="A14" s="2" t="s">
        <v>81</v>
      </c>
      <c r="B14" s="2"/>
      <c r="C14" s="2"/>
      <c r="D14" s="2"/>
      <c r="E14" s="2"/>
    </row>
    <row r="16" customFormat="false" ht="15" hidden="false" customHeight="false" outlineLevel="0" collapsed="false">
      <c r="A16" s="3" t="s">
        <v>82</v>
      </c>
    </row>
    <row r="17" customFormat="false" ht="15" hidden="false" customHeight="false" outlineLevel="0" collapsed="false">
      <c r="A17" s="4" t="s">
        <v>3</v>
      </c>
      <c r="B17" s="4" t="s">
        <v>83</v>
      </c>
      <c r="C17" s="4" t="s">
        <v>77</v>
      </c>
      <c r="D17" s="4" t="s">
        <v>78</v>
      </c>
      <c r="E17" s="4" t="s">
        <v>79</v>
      </c>
    </row>
    <row r="18" customFormat="false" ht="15" hidden="false" customHeight="false" outlineLevel="0" collapsed="false">
      <c r="A18" s="6" t="s">
        <v>45</v>
      </c>
      <c r="B18" s="7" t="n">
        <f aca="false">Sources!C21</f>
        <v>1169</v>
      </c>
      <c r="C18" s="7" t="n">
        <f aca="false">Sources!C21*0.15</f>
        <v>175.35</v>
      </c>
      <c r="D18" s="7" t="n">
        <f aca="false">Sources!E21</f>
        <v>175.35</v>
      </c>
      <c r="E18" s="7" t="n">
        <f aca="false">C18-D18</f>
        <v>0</v>
      </c>
    </row>
    <row r="19" customFormat="false" ht="15" hidden="false" customHeight="false" outlineLevel="0" collapsed="false">
      <c r="A19" s="6" t="s">
        <v>47</v>
      </c>
      <c r="B19" s="7" t="n">
        <f aca="false">Sources!C22</f>
        <v>1153.87</v>
      </c>
      <c r="C19" s="7" t="n">
        <f aca="false">Sources!C22*0.15</f>
        <v>173.0805</v>
      </c>
      <c r="D19" s="7" t="n">
        <f aca="false">Sources!E22</f>
        <v>173.08</v>
      </c>
      <c r="E19" s="7" t="n">
        <f aca="false">C19-D19</f>
        <v>0.000499999999959755</v>
      </c>
    </row>
    <row r="20" customFormat="false" ht="15" hidden="false" customHeight="false" outlineLevel="0" collapsed="false">
      <c r="A20" s="6" t="s">
        <v>48</v>
      </c>
      <c r="B20" s="7" t="n">
        <f aca="false">Sources!C23</f>
        <v>1020.75</v>
      </c>
      <c r="C20" s="7" t="n">
        <f aca="false">Sources!C23*0.15</f>
        <v>153.1125</v>
      </c>
      <c r="D20" s="7" t="n">
        <f aca="false">Sources!E23</f>
        <v>153.11</v>
      </c>
      <c r="E20" s="7" t="n">
        <f aca="false">C20-D20</f>
        <v>0.0024999999999693</v>
      </c>
    </row>
    <row r="21" customFormat="false" ht="15" hidden="false" customHeight="false" outlineLevel="0" collapsed="false">
      <c r="A21" s="8" t="s">
        <v>80</v>
      </c>
      <c r="C21" s="10" t="n">
        <f aca="false">SUM(C18:C20)</f>
        <v>501.543</v>
      </c>
      <c r="D21" s="7" t="n">
        <f aca="false">SUM(D18:D20)</f>
        <v>501.54</v>
      </c>
      <c r="E21" s="7" t="n">
        <f aca="false">C21-D21</f>
        <v>0.00299999999987222</v>
      </c>
    </row>
    <row r="23" customFormat="false" ht="15" hidden="false" customHeight="false" outlineLevel="0" collapsed="false">
      <c r="A23" s="3" t="s">
        <v>84</v>
      </c>
    </row>
    <row r="24" customFormat="false" ht="15" hidden="false" customHeight="false" outlineLevel="0" collapsed="false">
      <c r="A24" s="4" t="s">
        <v>85</v>
      </c>
      <c r="B24" s="4" t="s">
        <v>86</v>
      </c>
      <c r="C24" s="4" t="s">
        <v>87</v>
      </c>
      <c r="D24" s="4"/>
      <c r="E24" s="4"/>
    </row>
    <row r="25" customFormat="false" ht="15" hidden="false" customHeight="false" outlineLevel="0" collapsed="false">
      <c r="A25" s="6" t="s">
        <v>88</v>
      </c>
      <c r="B25" s="7" t="n">
        <f aca="false">Sources!B28</f>
        <v>6292</v>
      </c>
      <c r="C25" s="7" t="n">
        <f aca="false">Sources!B28*Sources!B27</f>
        <v>125.84</v>
      </c>
    </row>
    <row r="26" customFormat="false" ht="15" hidden="false" customHeight="false" outlineLevel="0" collapsed="false">
      <c r="A26" s="6" t="s">
        <v>89</v>
      </c>
      <c r="B26" s="7" t="n">
        <f aca="false">-Sources!B29</f>
        <v>-1092</v>
      </c>
      <c r="C26" s="7" t="n">
        <f aca="false">-Sources!B29*Sources!B27</f>
        <v>-21.84</v>
      </c>
    </row>
    <row r="27" customFormat="false" ht="15" hidden="false" customHeight="false" outlineLevel="0" collapsed="false">
      <c r="A27" s="6" t="s">
        <v>90</v>
      </c>
      <c r="B27" s="7" t="n">
        <f aca="false">B25+B26</f>
        <v>5200</v>
      </c>
      <c r="C27" s="10" t="n">
        <f aca="false">C25+C26</f>
        <v>104</v>
      </c>
    </row>
    <row r="28" customFormat="false" ht="15" hidden="false" customHeight="false" outlineLevel="0" collapsed="false">
      <c r="A28" s="6" t="s">
        <v>91</v>
      </c>
      <c r="B28" s="7" t="n">
        <f aca="false">-Sources!B30</f>
        <v>-329</v>
      </c>
      <c r="C28" s="7" t="n">
        <f aca="false">-Sources!B30*Sources!B27</f>
        <v>-6.58</v>
      </c>
    </row>
    <row r="29" customFormat="false" ht="15" hidden="false" customHeight="false" outlineLevel="0" collapsed="false">
      <c r="A29" s="8" t="s">
        <v>92</v>
      </c>
      <c r="B29" s="10" t="n">
        <f aca="false">B27+B28</f>
        <v>4871</v>
      </c>
      <c r="C29" s="10" t="n">
        <f aca="false">C27+C28</f>
        <v>97.42</v>
      </c>
    </row>
    <row r="31" customFormat="false" ht="15" hidden="false" customHeight="false" outlineLevel="0" collapsed="false">
      <c r="A31" s="3" t="s">
        <v>93</v>
      </c>
    </row>
    <row r="32" customFormat="false" ht="15" hidden="false" customHeight="false" outlineLevel="0" collapsed="false">
      <c r="A32" s="4" t="s">
        <v>94</v>
      </c>
      <c r="B32" s="4" t="s">
        <v>86</v>
      </c>
      <c r="C32" s="4" t="s">
        <v>9</v>
      </c>
      <c r="D32" s="4" t="s">
        <v>95</v>
      </c>
      <c r="E32" s="4"/>
    </row>
    <row r="33" customFormat="false" ht="15" hidden="false" customHeight="false" outlineLevel="0" collapsed="false">
      <c r="A33" s="6" t="s">
        <v>96</v>
      </c>
      <c r="B33" s="7" t="n">
        <f aca="false">Sources!B31</f>
        <v>3798</v>
      </c>
      <c r="C33" s="7" t="n">
        <f aca="false">Sources!B31*Sources!B27</f>
        <v>75.96</v>
      </c>
      <c r="D33" s="6" t="s">
        <v>97</v>
      </c>
    </row>
    <row r="34" customFormat="false" ht="15" hidden="false" customHeight="false" outlineLevel="0" collapsed="false">
      <c r="A34" s="6" t="s">
        <v>98</v>
      </c>
      <c r="B34" s="7" t="n">
        <f aca="false">Sources!B32</f>
        <v>1073</v>
      </c>
      <c r="C34" s="7" t="n">
        <f aca="false">Sources!B32*Sources!B27</f>
        <v>21.46</v>
      </c>
      <c r="D34" s="6" t="s">
        <v>99</v>
      </c>
    </row>
    <row r="35" customFormat="false" ht="15" hidden="false" customHeight="false" outlineLevel="0" collapsed="false">
      <c r="A35" s="8" t="s">
        <v>100</v>
      </c>
      <c r="C35" s="10" t="n">
        <f aca="false">C33+C34</f>
        <v>97.42</v>
      </c>
    </row>
    <row r="37" customFormat="false" ht="15" hidden="false" customHeight="false" outlineLevel="0" collapsed="false">
      <c r="A37" s="3" t="s">
        <v>101</v>
      </c>
    </row>
    <row r="38" customFormat="false" ht="15" hidden="false" customHeight="false" outlineLevel="0" collapsed="false">
      <c r="A38" s="4" t="s">
        <v>102</v>
      </c>
      <c r="B38" s="4" t="s">
        <v>9</v>
      </c>
      <c r="C38" s="4" t="s">
        <v>103</v>
      </c>
      <c r="D38" s="4"/>
      <c r="E38" s="4"/>
    </row>
    <row r="39" customFormat="false" ht="15" hidden="false" customHeight="false" outlineLevel="0" collapsed="false">
      <c r="A39" s="6" t="s">
        <v>104</v>
      </c>
      <c r="B39" s="10" t="n">
        <f aca="false">Calcul!C6</f>
        <v>1.85</v>
      </c>
      <c r="C39" s="6" t="s">
        <v>105</v>
      </c>
    </row>
    <row r="40" customFormat="false" ht="15" hidden="false" customHeight="false" outlineLevel="0" collapsed="false">
      <c r="A40" s="6" t="s">
        <v>106</v>
      </c>
      <c r="B40" s="7" t="n">
        <f aca="false">Calcul!C33</f>
        <v>75.96</v>
      </c>
      <c r="C40" s="6" t="s">
        <v>107</v>
      </c>
    </row>
    <row r="41" customFormat="false" ht="15" hidden="false" customHeight="false" outlineLevel="0" collapsed="false">
      <c r="A41" s="6" t="s">
        <v>108</v>
      </c>
      <c r="B41" s="7" t="n">
        <f aca="false">Calcul!C34</f>
        <v>21.46</v>
      </c>
      <c r="C41" s="6" t="s">
        <v>109</v>
      </c>
    </row>
    <row r="42" customFormat="false" ht="15" hidden="false" customHeight="false" outlineLevel="0" collapsed="false">
      <c r="A42" s="8" t="s">
        <v>110</v>
      </c>
      <c r="B42" s="10" t="n">
        <f aca="false">Calcul!C29</f>
        <v>97.42</v>
      </c>
    </row>
  </sheetData>
  <mergeCells count="2">
    <mergeCell ref="A2:E2"/>
    <mergeCell ref="A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6.15" hidden="false" customHeight="false" outlineLevel="0" collapsed="false">
      <c r="A1" s="1" t="s">
        <v>111</v>
      </c>
    </row>
    <row r="3" customFormat="false" ht="15" hidden="false" customHeight="false" outlineLevel="0" collapsed="false">
      <c r="A3" s="3" t="s">
        <v>112</v>
      </c>
    </row>
    <row r="4" customFormat="false" ht="105" hidden="false" customHeight="true" outlineLevel="0" collapsed="false">
      <c r="A4" s="11" t="s">
        <v>113</v>
      </c>
    </row>
    <row r="6" customFormat="false" ht="15" hidden="false" customHeight="false" outlineLevel="0" collapsed="false">
      <c r="A6" s="3" t="s">
        <v>114</v>
      </c>
    </row>
    <row r="7" customFormat="false" ht="90" hidden="false" customHeight="true" outlineLevel="0" collapsed="false">
      <c r="A7" s="11" t="s">
        <v>115</v>
      </c>
    </row>
    <row r="9" customFormat="false" ht="15" hidden="false" customHeight="false" outlineLevel="0" collapsed="false">
      <c r="A9" s="3" t="s">
        <v>116</v>
      </c>
    </row>
    <row r="10" customFormat="false" ht="75" hidden="false" customHeight="true" outlineLevel="0" collapsed="false">
      <c r="A10" s="11" t="s">
        <v>117</v>
      </c>
    </row>
    <row r="12" customFormat="false" ht="15" hidden="false" customHeight="false" outlineLevel="0" collapsed="false">
      <c r="A12" s="3" t="s">
        <v>118</v>
      </c>
    </row>
    <row r="13" customFormat="false" ht="60" hidden="false" customHeight="true" outlineLevel="0" collapsed="false">
      <c r="A13" s="11" t="s">
        <v>119</v>
      </c>
    </row>
    <row r="15" customFormat="false" ht="15" hidden="false" customHeight="false" outlineLevel="0" collapsed="false">
      <c r="A15" s="3" t="s">
        <v>120</v>
      </c>
    </row>
    <row r="16" customFormat="false" ht="90" hidden="false" customHeight="true" outlineLevel="0" collapsed="false">
      <c r="A16" s="11" t="s">
        <v>121</v>
      </c>
    </row>
    <row r="18" customFormat="false" ht="15" hidden="false" customHeight="false" outlineLevel="0" collapsed="false">
      <c r="A18" s="3" t="s">
        <v>122</v>
      </c>
    </row>
    <row r="19" customFormat="false" ht="75" hidden="false" customHeight="true" outlineLevel="0" collapsed="false">
      <c r="A19" s="11" t="s">
        <v>123</v>
      </c>
    </row>
    <row r="21" customFormat="false" ht="15" hidden="false" customHeight="false" outlineLevel="0" collapsed="false">
      <c r="A21" s="3" t="s">
        <v>124</v>
      </c>
    </row>
    <row r="22" customFormat="false" ht="105" hidden="false" customHeight="true" outlineLevel="0" collapsed="false">
      <c r="A22" s="11" t="s">
        <v>125</v>
      </c>
    </row>
    <row r="24" customFormat="false" ht="15" hidden="false" customHeight="false" outlineLevel="0" collapsed="false">
      <c r="A24" s="3" t="s">
        <v>126</v>
      </c>
    </row>
    <row r="25" customFormat="false" ht="90" hidden="false" customHeight="true" outlineLevel="0" collapsed="false">
      <c r="A25" s="11" t="s">
        <v>127</v>
      </c>
    </row>
    <row r="27" customFormat="false" ht="15" hidden="false" customHeight="false" outlineLevel="0" collapsed="false">
      <c r="A27" s="3" t="s">
        <v>128</v>
      </c>
    </row>
    <row r="28" customFormat="false" ht="105" hidden="false" customHeight="true" outlineLevel="0" collapsed="false">
      <c r="A28" s="11"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2026-10-25T19:08:58Z</dcterms:created>
  <dc:creator>openpyxl</dc:creator>
  <dc:description/>
  <dc:language>en-US</dc:language>
  <cp:lastModifiedBy/>
  <dcterms:modified xsi:type="dcterms:W3CDTF">2026-10-25T21:14:58Z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