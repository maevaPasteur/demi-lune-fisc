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s" sheetId="1" state="visible" r:id="rId3"/>
    <sheet name="Barèmes" sheetId="2" state="visible" r:id="rId4"/>
    <sheet name="Controle ligne a ligne" sheetId="3" state="visible" r:id="rId5"/>
    <sheet name="Decomposition" sheetId="4" state="visible" r:id="rId6"/>
    <sheet name="Scenarios CANON" sheetId="5" state="visible" r:id="rId7"/>
    <sheet name="Métho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<sst xmlns="http://schemas.openxmlformats.org/spreadsheetml/2006/main" count="205" uniqueCount="182">
  <si>
    <t xml:space="preserve">SOURCES : lignes LUES sur la proposition personnelle de M. Thierry PASTEUR du 19/10/2026 (PDF scanné, OCR + lecture visuelle). Aucune formule ici.</t>
  </si>
  <si>
    <t xml:space="preserve">Ligne (libellé du service)</t>
  </si>
  <si>
    <t xml:space="preserve">2023</t>
  </si>
  <si>
    <t xml:space="preserve">2024</t>
  </si>
  <si>
    <t xml:space="preserve">2025</t>
  </si>
  <si>
    <t xml:space="preserve">Page(s)</t>
  </si>
  <si>
    <t xml:space="preserve">Discordance TTC société (proposition du 18/05/2026 p. 52 ; rappel p. 59 arrondi)</t>
  </si>
  <si>
    <t xml:space="preserve">p. 59 ; prop. 18/05 p. 52</t>
  </si>
  <si>
    <t xml:space="preserve">TVA incluse (minoration de TVA, prop. 18/05/2026)</t>
  </si>
  <si>
    <t xml:space="preserve">prop. 18/05 p. 52-53</t>
  </si>
  <si>
    <t xml:space="preserve">Distributions occultes arrondies (part HT ÷ 2)</t>
  </si>
  <si>
    <t xml:space="preserve">p. 62</t>
  </si>
  <si>
    <t xml:space="preserve">Part TVA ÷ 2 (« désinvestissements », art. 109-1-2°)</t>
  </si>
  <si>
    <t xml:space="preserve">p. 60, p. 62</t>
  </si>
  <si>
    <t xml:space="preserve">Base RCM du foyer</t>
  </si>
  <si>
    <t xml:space="preserve">Assiette IR après × 1,25 (art. 158-7-2°)</t>
  </si>
  <si>
    <t xml:space="preserve">p. 63</t>
  </si>
  <si>
    <t xml:space="preserve">Revenu net imposable AVANT contrôle</t>
  </si>
  <si>
    <t xml:space="preserve">p. 67, 71, 75</t>
  </si>
  <si>
    <t xml:space="preserve">Revenu net imposable APRÈS contrôle</t>
  </si>
  <si>
    <t xml:space="preserve">Nombre de parts</t>
  </si>
  <si>
    <t xml:space="preserve">p. 67, 71, 75 ; détail p. 69, 73, 77</t>
  </si>
  <si>
    <t xml:space="preserve">Revenus des associés et gérants (déclarés)</t>
  </si>
  <si>
    <t xml:space="preserve">p. 69, 73, 77</t>
  </si>
  <si>
    <t xml:space="preserve">RCM déjà déclarés (dividendes) avant contrôle</t>
  </si>
  <si>
    <t xml:space="preserve">p. 70, 74, 78 (« RCM déjà soumis aux PS »)</t>
  </si>
  <si>
    <t xml:space="preserve">Impôt sur le revenu AVANT contrôle</t>
  </si>
  <si>
    <t xml:space="preserve">Impôt sur le revenu APRÈS contrôle</t>
  </si>
  <si>
    <t xml:space="preserve">IR sur les revenus soumis au barème (détail)</t>
  </si>
  <si>
    <t xml:space="preserve">IR : variation (droits rappelés)</t>
  </si>
  <si>
    <t xml:space="preserve">Intérêts de retard IR (taux affiché 5,60 % / 3,20 % / 0,80 %)</t>
  </si>
  <si>
    <t xml:space="preserve">Mois d'intérêt retenus par le service (28 / 16 / 4)</t>
  </si>
  <si>
    <t xml:space="preserve">p. 67, 71, 75 (« 28*0.20 », « 16*0.20 », « 4*0.20 »)</t>
  </si>
  <si>
    <t xml:space="preserve">Majoration 40 % sur IR, code (03) manquement délibéré</t>
  </si>
  <si>
    <t xml:space="preserve">TOTAL IR (droits + intérêts + majoration)</t>
  </si>
  <si>
    <t xml:space="preserve">Base des prélèvements sociaux</t>
  </si>
  <si>
    <t xml:space="preserve">p. 67 (CSG-CRDS 9,7 %), p. 77 (base 69 865)</t>
  </si>
  <si>
    <t xml:space="preserve">Taux de prélèvements sociaux appliqué</t>
  </si>
  <si>
    <t xml:space="preserve">p. 70 (17,2 %), p. 74 (17,2 %), p. 75-77 (CSG-CRDS 11,1 % + PSOL 7,5 %)</t>
  </si>
  <si>
    <t xml:space="preserve">Prélèvements sociaux (droits)</t>
  </si>
  <si>
    <t xml:space="preserve">p. 68, 72, 76</t>
  </si>
  <si>
    <t xml:space="preserve">Intérêts de retard PS</t>
  </si>
  <si>
    <t xml:space="preserve">Majoration 40 % sur PS</t>
  </si>
  <si>
    <t xml:space="preserve">TOTAL PS</t>
  </si>
  <si>
    <t xml:space="preserve">Montant total des rappels (TOTAL IR + TOTAL PS) = supplément notifié</t>
  </si>
  <si>
    <t xml:space="preserve">p. 68, 72, 76 ; p. 70, 74, 78</t>
  </si>
  <si>
    <t xml:space="preserve">CSG déductible supplémentaire annoncée (à déclarer sur les revenus 2026)</t>
  </si>
  <si>
    <t xml:space="preserve">p. 70, 74 (2025 : non imprimé)</t>
  </si>
  <si>
    <t xml:space="preserve">Revenu fiscal de référence après contrôle</t>
  </si>
  <si>
    <t xml:space="preserve">p. 70, 74, 78</t>
  </si>
  <si>
    <t xml:space="preserve">Lecture : les nombres ci-dessus sont ceux du service. Les feuilles suivantes les recalculent par formule et affichent l'écart.</t>
  </si>
  <si>
    <t xml:space="preserve">PARAMÈTRES DE DROIT (vérifiés) : barème art. 197 CGI par année de revenus, plafonnement du quotient familial (art. 197 I-2), prélèvements sociaux, intérêt de retard.</t>
  </si>
  <si>
    <t xml:space="preserve">Seuil (€) / année</t>
  </si>
  <si>
    <t xml:space="preserve">2023 (LF 2024)</t>
  </si>
  <si>
    <t xml:space="preserve">2024 (LF 2025)</t>
  </si>
  <si>
    <t xml:space="preserve">2025 (LF 2026)</t>
  </si>
  <si>
    <t xml:space="preserve">Taux marginal</t>
  </si>
  <si>
    <t xml:space="preserve">Incrément de taux (pour SUMPRODUCT)</t>
  </si>
  <si>
    <t xml:space="preserve">Tranche 1</t>
  </si>
  <si>
    <t xml:space="preserve">Tranche 2</t>
  </si>
  <si>
    <t xml:space="preserve">Tranche 3</t>
  </si>
  <si>
    <t xml:space="preserve">Tranche 4</t>
  </si>
  <si>
    <t xml:space="preserve">Tranche 5</t>
  </si>
  <si>
    <t xml:space="preserve">Paramètre</t>
  </si>
  <si>
    <t xml:space="preserve">Source</t>
  </si>
  <si>
    <t xml:space="preserve">Plafond de l'avantage par demi-part (art. 197 I-2)</t>
  </si>
  <si>
    <t xml:space="preserve">BOI-IR-LIQ-20-20-20 § 40 (1 807 € revenus 2025) ; 1 791 € (rev. 2024) ; 1 759 € (rev. 2023)</t>
  </si>
  <si>
    <t xml:space="preserve">Taux PS appliqué par le service</t>
  </si>
  <si>
    <t xml:space="preserve">p. 70, 74 ; p. 75-77 (11,1 % + 7,5 %)</t>
  </si>
  <si>
    <t xml:space="preserve">Taux PS de droit commun 17,2 % (CSG 9,2 + CRDS 0,5 + PSOL 7,5)</t>
  </si>
  <si>
    <t xml:space="preserve">L. 136-6 CSS ; art. 235 ter CGI ; LFSS 2026 art. 12 : CSG 10,6 % sur revenus du patrimoine 2025 (à vérifier pour les RCM par rôle)</t>
  </si>
  <si>
    <t xml:space="preserve">Intérêt de retard mensuel (art. 1727 III)</t>
  </si>
  <si>
    <t xml:space="preserve">0,20 % par mois depuis le 01/01/2018</t>
  </si>
  <si>
    <t xml:space="preserve">Point de départ (1er juillet N+1) et arrêt (31/10/2026, mois de la proposition)</t>
  </si>
  <si>
    <t xml:space="preserve">01/07/2024</t>
  </si>
  <si>
    <t xml:space="preserve">01/07/2025</t>
  </si>
  <si>
    <t xml:space="preserve">01/07/2026</t>
  </si>
  <si>
    <t xml:space="preserve">BOI-CF-INF-10-10-20 § 70 et § 130</t>
  </si>
  <si>
    <t xml:space="preserve">Mois courus jusqu'au 31/10/2026</t>
  </si>
  <si>
    <t xml:space="preserve">recalcul : juil. 2024 → oct. 2026 = 28 ; juil. 2025 → oct. 2026 = 16 ; juil. 2026 → oct. 2026 = 4</t>
  </si>
  <si>
    <t xml:space="preserve">Majoration manquement délibéré (art. 1729 a)</t>
  </si>
  <si>
    <t xml:space="preserve">BOI-CF-INF-10-20-20 § 20</t>
  </si>
  <si>
    <t xml:space="preserve">Coefficient d'assiette (art. 158-7-2°)</t>
  </si>
  <si>
    <t xml:space="preserve">BOI-RPPM-RCM-20-10-20-10 § 120-150 ; exclu des PS : CC 2017-643/650 QPC § 17</t>
  </si>
  <si>
    <t xml:space="preserve">PFU (art. 200 A 1 A 1°) si pas d'option barème</t>
  </si>
  <si>
    <t xml:space="preserve">RM Klinkert n° 3778, JO AN 24/10/2023 ; LF 2021 art. 39 : × 1,25 même au PFU</t>
  </si>
  <si>
    <t xml:space="preserve">CONTRÔLE LIGNE À LIGNE : chaque ligne du service est recalculée par formule (colonnes B-D), comparée (E-G = recalcul − service).</t>
  </si>
  <si>
    <t xml:space="preserve">Ligne</t>
  </si>
  <si>
    <t xml:space="preserve">Recalcul 2023</t>
  </si>
  <si>
    <t xml:space="preserve">Recalcul 2024</t>
  </si>
  <si>
    <t xml:space="preserve">Recalcul 2025</t>
  </si>
  <si>
    <t xml:space="preserve">Écart 2023</t>
  </si>
  <si>
    <t xml:space="preserve">Écart 2024</t>
  </si>
  <si>
    <t xml:space="preserve">Écart 2025</t>
  </si>
  <si>
    <t xml:space="preserve">Formule / règle</t>
  </si>
  <si>
    <t xml:space="preserve">Part HT ÷ 2 = ROUND((TTC − TVA)/2)</t>
  </si>
  <si>
    <t xml:space="preserve">arrondi du service</t>
  </si>
  <si>
    <t xml:space="preserve">Part TVA ÷ 2 = ROUND(TVA/2)</t>
  </si>
  <si>
    <t xml:space="preserve">2023 : 10 210,55 arrondi à 10 210 par le service (1 € de moins)</t>
  </si>
  <si>
    <t xml:space="preserve">Base RCM = ROUND(TTC/2)</t>
  </si>
  <si>
    <t xml:space="preserve">CANON : 96 617 / 69 432 / 69 864</t>
  </si>
  <si>
    <t xml:space="preserve">Assiette IR = ROUND(base × 1,25)</t>
  </si>
  <si>
    <t xml:space="preserve">art. 158-7-2°</t>
  </si>
  <si>
    <t xml:space="preserve">Variation du revenu imposable = après − avant</t>
  </si>
  <si>
    <t xml:space="preserve">doit égaler l'assiette × 1,25</t>
  </si>
  <si>
    <t xml:space="preserve">IR barème APRÈS contrôle (1,5 part, plafonnement QF)</t>
  </si>
  <si>
    <t xml:space="preserve">art. 197 I-1 et I-2 ; = ligne « IR sur les revenus soumis au barème »</t>
  </si>
  <si>
    <t xml:space="preserve">IR barème AVANT contrôle (même formule)</t>
  </si>
  <si>
    <t xml:space="preserve">avant décote/réductions : non comparable au « −964 / 36 / 77 » du service (crédits, PFU restitué)</t>
  </si>
  <si>
    <t xml:space="preserve">Majoration 40 % IR = ROUND(0,4 × droits IR)</t>
  </si>
  <si>
    <t xml:space="preserve">art. 1729 a ; base = variation d'IR</t>
  </si>
  <si>
    <t xml:space="preserve">Intérêts IR sur la VARIATION = ROUND(droits × 0,2 % × mois)</t>
  </si>
  <si>
    <t xml:space="preserve">2023 : le service a retenu 39 729 (IR après contrôle) : 2 225 au lieu de 2 279, 54 € en faveur du contribuable</t>
  </si>
  <si>
    <t xml:space="preserve">Intérêts IR sur l'IR APRÈS contrôle</t>
  </si>
  <si>
    <t xml:space="preserve">base effectivement utilisée en 2023</t>
  </si>
  <si>
    <t xml:space="preserve">TOTAL IR = droits + intérêts + majoration</t>
  </si>
  <si>
    <t xml:space="preserve">PS = ROUND(base PS × taux appliqué)</t>
  </si>
  <si>
    <t xml:space="preserve">base SANS le 1,25 : réserve CC 2017-643/650 respectée</t>
  </si>
  <si>
    <t xml:space="preserve">PS au taux de droit commun 17,2 %</t>
  </si>
  <si>
    <t xml:space="preserve">2025 : écart = effet du passage à 18,6 % (LFSS 2026 art. 12)</t>
  </si>
  <si>
    <t xml:space="preserve">Intérêts PS = ROUND(PS × 0,2 % × mois)</t>
  </si>
  <si>
    <t xml:space="preserve">2024 : 383 = arrondis séparés CSG / PSOL</t>
  </si>
  <si>
    <t xml:space="preserve">Majoration 40 % PS = ROUND(0,4 × PS)</t>
  </si>
  <si>
    <t xml:space="preserve">TOTAL PS = PS + intérêts + majoration</t>
  </si>
  <si>
    <t xml:space="preserve">Supplément = TOTAL IR + TOTAL PS</t>
  </si>
  <si>
    <t xml:space="preserve">soit 83 391 / 56 724 / 56 830 ; 3 ans 196 945</t>
  </si>
  <si>
    <t xml:space="preserve">Base PS vs base RCM (0 attendu ; 2025 : +1 €)</t>
  </si>
  <si>
    <t xml:space="preserve">69 865 au lieu de 69 864 : 0,19 € de PS</t>
  </si>
  <si>
    <t xml:space="preserve">Total 3 ans du supplément recalculé</t>
  </si>
  <si>
    <t xml:space="preserve">attendu 196 945, écart 0</t>
  </si>
  <si>
    <t xml:space="preserve">DÉCOMPOSITION PAR NATURE (droits / majorations 40 % / intérêts) et taux effectifs sur la base distribuée.</t>
  </si>
  <si>
    <t xml:space="preserve">Nature</t>
  </si>
  <si>
    <t xml:space="preserve">3 ans</t>
  </si>
  <si>
    <t xml:space="preserve">Règle</t>
  </si>
  <si>
    <t xml:space="preserve">IR (droits)</t>
  </si>
  <si>
    <t xml:space="preserve">variation d'IR</t>
  </si>
  <si>
    <t xml:space="preserve">Droits (IR + PS) =</t>
  </si>
  <si>
    <t xml:space="preserve">Majoration 40 % sur IR</t>
  </si>
  <si>
    <t xml:space="preserve">art. 1729</t>
  </si>
  <si>
    <t xml:space="preserve">art. 1729 (L. 136-6 III CSS : recouvrement comme en IR)</t>
  </si>
  <si>
    <t xml:space="preserve">Majorations 40 % (IR + PS) =</t>
  </si>
  <si>
    <t xml:space="preserve">enjeu de la décharge de la majoration au niveau du foyer</t>
  </si>
  <si>
    <t xml:space="preserve">Intérêts IR</t>
  </si>
  <si>
    <t xml:space="preserve">art. 1727</t>
  </si>
  <si>
    <t xml:space="preserve">Intérêts PS</t>
  </si>
  <si>
    <t xml:space="preserve">Intérêts (IR + PS) =</t>
  </si>
  <si>
    <t xml:space="preserve">Supplément notifié = droits + majorations + intérêts</t>
  </si>
  <si>
    <t xml:space="preserve">contrôle : = Sources ligne 29</t>
  </si>
  <si>
    <t xml:space="preserve">Base RCM distribuée</t>
  </si>
  <si>
    <t xml:space="preserve">Taux effectif total = supplément ÷ base</t>
  </si>
  <si>
    <t xml:space="preserve">CANON 83,5 % (3 ans)</t>
  </si>
  <si>
    <t xml:space="preserve">Taux hors majoration portée sur l'IR = (supplément − maj. IR) ÷ base</t>
  </si>
  <si>
    <t xml:space="preserve">CANON 67,3 % (3 ans) : ne retire que la majoration IR</t>
  </si>
  <si>
    <t xml:space="preserve">Taux hors TOUTES majorations (IR + PS) = (supplément − maj. IR − maj. PS) ÷ base</t>
  </si>
  <si>
    <t xml:space="preserve">60,2 % (3 ans) : la majoration PS était cachée dans le « solde »</t>
  </si>
  <si>
    <t xml:space="preserve">Taux des droits seuls = (IR + PS) ÷ base</t>
  </si>
  <si>
    <t xml:space="preserve">58,2 % (3 ans) : ce qui subsiste si la majoration tombe, hors intérêts</t>
  </si>
  <si>
    <t xml:space="preserve">IR ÷ base (taux marginal effectif de l'IR sur la distribution)</t>
  </si>
  <si>
    <t xml:space="preserve">42,1 % / 39,9 % / 39,2 % : tranche à 41 % atteinte, QF plafonné</t>
  </si>
  <si>
    <t xml:space="preserve">Multiplication du revenu imposable (après ÷ avant)</t>
  </si>
  <si>
    <t xml:space="preserve">× 6,7 / × 4,5 / × 4,7</t>
  </si>
  <si>
    <t xml:space="preserve">SCÉNARIOS CANON : la base distribuée tombe de 25 / 50 / 75 % (176 935 / 117 957 / 58 978 € sur 3 ans). Recalcul complet par formule, revenu hors distribution inchangé, 1,5 part, barème et plafonnement de l'année.</t>
  </si>
  <si>
    <t xml:space="preserve">Réduction de la reconstitution</t>
  </si>
  <si>
    <t xml:space="preserve">Année</t>
  </si>
  <si>
    <t xml:space="preserve">Base RCM</t>
  </si>
  <si>
    <t xml:space="preserve">Assiette × 1,25</t>
  </si>
  <si>
    <t xml:space="preserve">IR (après − avant)</t>
  </si>
  <si>
    <t xml:space="preserve">PS (taux du service)</t>
  </si>
  <si>
    <t xml:space="preserve">Intérêts (IR + PS)</t>
  </si>
  <si>
    <t xml:space="preserve">Majorations 40 % (IR + PS)</t>
  </si>
  <si>
    <t xml:space="preserve">Supplément recalculé</t>
  </si>
  <si>
    <t xml:space="preserve">Supplément hors majoration 40 %</t>
  </si>
  <si>
    <t xml:space="preserve">Total 3 ans</t>
  </si>
  <si>
    <t xml:space="preserve">Lecture : la ligne « 0 % » reproduit le service (196 945 € ; écart 54 € sur les intérêts IR 2023 assis ici sur la variation). Les trois autres lignes sont le chiffrage du foyer si la reconstitution société est réduite ; l'IR est recalculé au barème sur (revenu avant contrôle + assiette réduite), diminué de l'écart constant entre l'IR barème et la variation retenue par le service (0 / 370 / 83 € : réductions et crédits inchangés) ; effet de tranche : la baisse est plus que proportionnelle.</t>
  </si>
  <si>
    <t xml:space="preserve">MÉTHODE</t>
  </si>
  <si>
    <t xml:space="preserve">1. Onglet Sources : chaque ligne est lue sur la proposition personnelle du 19/10/2026 (pages indiquées). Rien n'y est calculé.</t>
  </si>
  <si>
    <t xml:space="preserve">2. Onglet Barèmes : paramètres de droit vérifiés (barème art. 197 par année de revenus, plafond de la demi-part, PS, intérêt 0,20 %/mois, 1,25, 40 %).</t>
  </si>
  <si>
    <t xml:space="preserve">3. Onglet Controle : recalcul de chaque ligne du service par formule et écart. Résultat : toutes les lignes se recalculent à l'euro, sauf (a) intérêts IR 2023 assis sur 39 729 au lieu de 40 693 (54 € en faveur du contribuable), (b) base PS 2025 = 69 865 au lieu de 69 864 (0,19 €), (c) arrondis séparés CSG/PSOL sur les intérêts PS 2024 (1 €).</t>
  </si>
  <si>
    <t xml:space="preserve">4. IR au barème : formule SUMPRODUCT sur les tranches (revenu ÷ parts, × parts), puis plafonnement du quotient familial : IR = MAX(IR avec QF ; IR 1 part − plafond × nombre de demi-parts). Avec 142 008 € de revenu et 1,5 part, le plafonnement joue : IR = 42 452 − 1 759 = 40 693 € (2023).</t>
  </si>
  <si>
    <t xml:space="preserve">5. Onglet Decomposition : le supplément est éclaté en droits / majorations / intérêts. La majoration de 40 % frappe AUSSI les prélèvements sociaux (16 622 € sur 3 ans), ce que la lecture précédente (« solde ») ne montrait pas : majorations totales 54 914 €.</t>
  </si>
  <si>
    <t xml:space="preserve">6. Onglet Scenarios : la base tombe de 25/50/75 % ; IR recalculé au barème à partir du revenu avant contrôle (effet de tranche), PS au taux appliqué par le service, intérêts et majorations recalculés.</t>
  </si>
  <si>
    <t xml:space="preserve">7. Limites : le revenu « avant contrôle » est celui imprimé par le service (déclarations 2042 non au dossier) ; les réductions/crédits d'impôt (forfait scolarité 183 € en 2024, emploi à domicile) ne sont pas modélisés, ils n'affectent pas la variation.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</si>
</sst>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7EFD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EF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0" t="s">
        <v>6</v>
      </c>
      <c r="B4" s="0" t="n">
        <v>193234.55</v>
      </c>
      <c r="C4" s="0" t="n">
        <v>138863.57</v>
      </c>
      <c r="D4" s="0" t="n">
        <v>139727.76</v>
      </c>
      <c r="E4" s="0" t="s">
        <v>7</v>
      </c>
    </row>
    <row r="5" customFormat="false" ht="15" hidden="false" customHeight="false" outlineLevel="0" collapsed="false">
      <c r="A5" s="0" t="s">
        <v>8</v>
      </c>
      <c r="B5" s="0" t="n">
        <v>20421.1</v>
      </c>
      <c r="C5" s="0" t="n">
        <v>14854.01</v>
      </c>
      <c r="D5" s="0" t="n">
        <v>14651.59</v>
      </c>
      <c r="E5" s="0" t="s">
        <v>9</v>
      </c>
    </row>
    <row r="6" customFormat="false" ht="15" hidden="false" customHeight="false" outlineLevel="0" collapsed="false">
      <c r="A6" s="0" t="s">
        <v>10</v>
      </c>
      <c r="B6" s="0" t="n">
        <v>86407</v>
      </c>
      <c r="C6" s="0" t="n">
        <v>62005</v>
      </c>
      <c r="D6" s="0" t="n">
        <v>62538</v>
      </c>
      <c r="E6" s="0" t="s">
        <v>11</v>
      </c>
    </row>
    <row r="7" customFormat="false" ht="15" hidden="false" customHeight="false" outlineLevel="0" collapsed="false">
      <c r="A7" s="0" t="s">
        <v>12</v>
      </c>
      <c r="B7" s="0" t="n">
        <v>10210</v>
      </c>
      <c r="C7" s="0" t="n">
        <v>7427</v>
      </c>
      <c r="D7" s="0" t="n">
        <v>7326</v>
      </c>
      <c r="E7" s="0" t="s">
        <v>13</v>
      </c>
    </row>
    <row r="8" customFormat="false" ht="15" hidden="false" customHeight="false" outlineLevel="0" collapsed="false">
      <c r="A8" s="0" t="s">
        <v>14</v>
      </c>
      <c r="B8" s="0" t="n">
        <v>96617</v>
      </c>
      <c r="C8" s="0" t="n">
        <v>69432</v>
      </c>
      <c r="D8" s="0" t="n">
        <v>69864</v>
      </c>
      <c r="E8" s="0" t="s">
        <v>11</v>
      </c>
    </row>
    <row r="9" customFormat="false" ht="15" hidden="false" customHeight="false" outlineLevel="0" collapsed="false">
      <c r="A9" s="0" t="s">
        <v>15</v>
      </c>
      <c r="B9" s="0" t="n">
        <v>120771</v>
      </c>
      <c r="C9" s="0" t="n">
        <v>86790</v>
      </c>
      <c r="D9" s="0" t="n">
        <v>87330</v>
      </c>
      <c r="E9" s="0" t="s">
        <v>16</v>
      </c>
    </row>
    <row r="10" customFormat="false" ht="15" hidden="false" customHeight="false" outlineLevel="0" collapsed="false">
      <c r="A10" s="0" t="s">
        <v>17</v>
      </c>
      <c r="B10" s="0" t="n">
        <v>21237</v>
      </c>
      <c r="C10" s="0" t="n">
        <v>25125</v>
      </c>
      <c r="D10" s="0" t="n">
        <v>23540</v>
      </c>
      <c r="E10" s="0" t="s">
        <v>18</v>
      </c>
    </row>
    <row r="11" customFormat="false" ht="15" hidden="false" customHeight="false" outlineLevel="0" collapsed="false">
      <c r="A11" s="0" t="s">
        <v>19</v>
      </c>
      <c r="B11" s="0" t="n">
        <v>142008</v>
      </c>
      <c r="C11" s="0" t="n">
        <v>111915</v>
      </c>
      <c r="D11" s="0" t="n">
        <v>110870</v>
      </c>
      <c r="E11" s="0" t="s">
        <v>18</v>
      </c>
    </row>
    <row r="12" customFormat="false" ht="15" hidden="false" customHeight="false" outlineLevel="0" collapsed="false">
      <c r="A12" s="0" t="s">
        <v>20</v>
      </c>
      <c r="B12" s="0" t="n">
        <v>1.5</v>
      </c>
      <c r="C12" s="0" t="n">
        <v>1.5</v>
      </c>
      <c r="D12" s="0" t="n">
        <v>1.5</v>
      </c>
      <c r="E12" s="0" t="s">
        <v>21</v>
      </c>
    </row>
    <row r="13" customFormat="false" ht="15" hidden="false" customHeight="false" outlineLevel="0" collapsed="false">
      <c r="A13" s="0" t="s">
        <v>22</v>
      </c>
      <c r="B13" s="0" t="n">
        <v>18123</v>
      </c>
      <c r="C13" s="0" t="n">
        <v>22151</v>
      </c>
      <c r="D13" s="0" t="n">
        <v>21360</v>
      </c>
      <c r="E13" s="0" t="s">
        <v>23</v>
      </c>
    </row>
    <row r="14" customFormat="false" ht="15" hidden="false" customHeight="false" outlineLevel="0" collapsed="false">
      <c r="A14" s="0" t="s">
        <v>24</v>
      </c>
      <c r="B14" s="0" t="n">
        <v>7534</v>
      </c>
      <c r="C14" s="0" t="n">
        <v>7543</v>
      </c>
      <c r="D14" s="0" t="n">
        <v>7549</v>
      </c>
      <c r="E14" s="0" t="s">
        <v>25</v>
      </c>
    </row>
    <row r="15" customFormat="false" ht="15" hidden="false" customHeight="false" outlineLevel="0" collapsed="false">
      <c r="A15" s="0" t="s">
        <v>26</v>
      </c>
      <c r="B15" s="0" t="n">
        <v>-964</v>
      </c>
      <c r="C15" s="0" t="n">
        <v>36</v>
      </c>
      <c r="D15" s="0" t="n">
        <v>77</v>
      </c>
      <c r="E15" s="0" t="s">
        <v>18</v>
      </c>
    </row>
    <row r="16" customFormat="false" ht="15" hidden="false" customHeight="false" outlineLevel="0" collapsed="false">
      <c r="A16" s="0" t="s">
        <v>27</v>
      </c>
      <c r="B16" s="0" t="n">
        <v>39729</v>
      </c>
      <c r="C16" s="0" t="n">
        <v>27705</v>
      </c>
      <c r="D16" s="0" t="n">
        <v>27444</v>
      </c>
      <c r="E16" s="0" t="s">
        <v>18</v>
      </c>
    </row>
    <row r="17" customFormat="false" ht="15" hidden="false" customHeight="false" outlineLevel="0" collapsed="false">
      <c r="A17" s="0" t="s">
        <v>28</v>
      </c>
      <c r="B17" s="0" t="n">
        <v>40693</v>
      </c>
      <c r="C17" s="0" t="n">
        <v>28039</v>
      </c>
      <c r="D17" s="0" t="n">
        <v>27450</v>
      </c>
      <c r="E17" s="0" t="s">
        <v>23</v>
      </c>
    </row>
    <row r="18" customFormat="false" ht="15" hidden="false" customHeight="false" outlineLevel="0" collapsed="false">
      <c r="A18" s="0" t="s">
        <v>29</v>
      </c>
      <c r="B18" s="0" t="n">
        <v>40693</v>
      </c>
      <c r="C18" s="0" t="n">
        <v>27669</v>
      </c>
      <c r="D18" s="0" t="n">
        <v>27367</v>
      </c>
      <c r="E18" s="0" t="s">
        <v>18</v>
      </c>
    </row>
    <row r="19" customFormat="false" ht="15" hidden="false" customHeight="false" outlineLevel="0" collapsed="false">
      <c r="A19" s="0" t="s">
        <v>30</v>
      </c>
      <c r="B19" s="0" t="n">
        <v>2225</v>
      </c>
      <c r="C19" s="0" t="n">
        <v>885</v>
      </c>
      <c r="D19" s="0" t="n">
        <v>219</v>
      </c>
      <c r="E19" s="0" t="s">
        <v>18</v>
      </c>
    </row>
    <row r="20" customFormat="false" ht="15" hidden="false" customHeight="false" outlineLevel="0" collapsed="false">
      <c r="A20" s="0" t="s">
        <v>31</v>
      </c>
      <c r="B20" s="0" t="n">
        <v>28</v>
      </c>
      <c r="C20" s="0" t="n">
        <v>16</v>
      </c>
      <c r="D20" s="0" t="n">
        <v>4</v>
      </c>
      <c r="E20" s="0" t="s">
        <v>32</v>
      </c>
    </row>
    <row r="21" customFormat="false" ht="15" hidden="false" customHeight="false" outlineLevel="0" collapsed="false">
      <c r="A21" s="0" t="s">
        <v>33</v>
      </c>
      <c r="B21" s="0" t="n">
        <v>16277</v>
      </c>
      <c r="C21" s="0" t="n">
        <v>11068</v>
      </c>
      <c r="D21" s="0" t="n">
        <v>10947</v>
      </c>
      <c r="E21" s="0" t="s">
        <v>18</v>
      </c>
    </row>
    <row r="22" customFormat="false" ht="15" hidden="false" customHeight="false" outlineLevel="0" collapsed="false">
      <c r="A22" s="0" t="s">
        <v>34</v>
      </c>
      <c r="B22" s="0" t="n">
        <v>59195</v>
      </c>
      <c r="C22" s="0" t="n">
        <v>39622</v>
      </c>
      <c r="D22" s="0" t="n">
        <v>38533</v>
      </c>
      <c r="E22" s="0" t="s">
        <v>18</v>
      </c>
    </row>
    <row r="23" customFormat="false" ht="15" hidden="false" customHeight="false" outlineLevel="0" collapsed="false">
      <c r="A23" s="0" t="s">
        <v>35</v>
      </c>
      <c r="B23" s="0" t="n">
        <v>96617</v>
      </c>
      <c r="C23" s="0" t="n">
        <v>69432</v>
      </c>
      <c r="D23" s="0" t="n">
        <v>69865</v>
      </c>
      <c r="E23" s="0" t="s">
        <v>36</v>
      </c>
    </row>
    <row r="24" customFormat="false" ht="15" hidden="false" customHeight="false" outlineLevel="0" collapsed="false">
      <c r="A24" s="0" t="s">
        <v>37</v>
      </c>
      <c r="B24" s="0" t="n">
        <v>0.172</v>
      </c>
      <c r="C24" s="0" t="n">
        <v>0.172</v>
      </c>
      <c r="D24" s="0" t="n">
        <v>0.186</v>
      </c>
      <c r="E24" s="0" t="s">
        <v>38</v>
      </c>
    </row>
    <row r="25" customFormat="false" ht="15" hidden="false" customHeight="false" outlineLevel="0" collapsed="false">
      <c r="A25" s="0" t="s">
        <v>39</v>
      </c>
      <c r="B25" s="0" t="n">
        <v>16618</v>
      </c>
      <c r="C25" s="0" t="n">
        <v>11942</v>
      </c>
      <c r="D25" s="0" t="n">
        <v>12995</v>
      </c>
      <c r="E25" s="0" t="s">
        <v>40</v>
      </c>
    </row>
    <row r="26" customFormat="false" ht="15" hidden="false" customHeight="false" outlineLevel="0" collapsed="false">
      <c r="A26" s="0" t="s">
        <v>41</v>
      </c>
      <c r="B26" s="0" t="n">
        <v>931</v>
      </c>
      <c r="C26" s="0" t="n">
        <v>383</v>
      </c>
      <c r="D26" s="0" t="n">
        <v>104</v>
      </c>
      <c r="E26" s="0" t="s">
        <v>40</v>
      </c>
    </row>
    <row r="27" customFormat="false" ht="15" hidden="false" customHeight="false" outlineLevel="0" collapsed="false">
      <c r="A27" s="0" t="s">
        <v>42</v>
      </c>
      <c r="B27" s="0" t="n">
        <v>6647</v>
      </c>
      <c r="C27" s="0" t="n">
        <v>4777</v>
      </c>
      <c r="D27" s="0" t="n">
        <v>5198</v>
      </c>
      <c r="E27" s="0" t="s">
        <v>40</v>
      </c>
    </row>
    <row r="28" customFormat="false" ht="15" hidden="false" customHeight="false" outlineLevel="0" collapsed="false">
      <c r="A28" s="0" t="s">
        <v>43</v>
      </c>
      <c r="B28" s="0" t="n">
        <v>24196</v>
      </c>
      <c r="C28" s="0" t="n">
        <v>17102</v>
      </c>
      <c r="D28" s="0" t="n">
        <v>18297</v>
      </c>
      <c r="E28" s="0" t="s">
        <v>40</v>
      </c>
    </row>
    <row r="29" customFormat="false" ht="15" hidden="false" customHeight="false" outlineLevel="0" collapsed="false">
      <c r="A29" s="0" t="s">
        <v>44</v>
      </c>
      <c r="B29" s="0" t="n">
        <v>83391</v>
      </c>
      <c r="C29" s="0" t="n">
        <v>56724</v>
      </c>
      <c r="D29" s="0" t="n">
        <v>56830</v>
      </c>
      <c r="E29" s="0" t="s">
        <v>45</v>
      </c>
    </row>
    <row r="30" customFormat="false" ht="15" hidden="false" customHeight="false" outlineLevel="0" collapsed="false">
      <c r="A30" s="0" t="s">
        <v>46</v>
      </c>
      <c r="B30" s="0" t="n">
        <v>6570</v>
      </c>
      <c r="C30" s="0" t="n">
        <v>4721</v>
      </c>
      <c r="E30" s="0" t="s">
        <v>47</v>
      </c>
    </row>
    <row r="31" customFormat="false" ht="15" hidden="false" customHeight="false" outlineLevel="0" collapsed="false">
      <c r="A31" s="0" t="s">
        <v>48</v>
      </c>
      <c r="B31" s="0" t="n">
        <v>145010</v>
      </c>
      <c r="C31" s="0" t="n">
        <v>114917</v>
      </c>
      <c r="D31" s="0" t="n">
        <v>113872</v>
      </c>
      <c r="E31" s="0" t="s">
        <v>49</v>
      </c>
    </row>
    <row r="33" customFormat="false" ht="15" hidden="false" customHeight="false" outlineLevel="0" collapsed="false">
      <c r="A33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1" t="s">
        <v>51</v>
      </c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</row>
    <row r="4" customFormat="false" ht="15" hidden="false" customHeight="false" outlineLevel="0" collapsed="false">
      <c r="A4" s="0" t="s">
        <v>58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59</v>
      </c>
      <c r="B5" s="0" t="n">
        <v>11294</v>
      </c>
      <c r="C5" s="0" t="n">
        <v>11497</v>
      </c>
      <c r="D5" s="0" t="n">
        <v>11600</v>
      </c>
      <c r="E5" s="0" t="n">
        <v>0.11</v>
      </c>
      <c r="F5" s="0" t="n">
        <v>0.11</v>
      </c>
    </row>
    <row r="6" customFormat="false" ht="15" hidden="false" customHeight="false" outlineLevel="0" collapsed="false">
      <c r="A6" s="0" t="s">
        <v>60</v>
      </c>
      <c r="B6" s="0" t="n">
        <v>28797</v>
      </c>
      <c r="C6" s="0" t="n">
        <v>29315</v>
      </c>
      <c r="D6" s="0" t="n">
        <v>29579</v>
      </c>
      <c r="E6" s="0" t="n">
        <v>0.3</v>
      </c>
      <c r="F6" s="0" t="n">
        <v>0.19</v>
      </c>
    </row>
    <row r="7" customFormat="false" ht="15" hidden="false" customHeight="false" outlineLevel="0" collapsed="false">
      <c r="A7" s="0" t="s">
        <v>61</v>
      </c>
      <c r="B7" s="0" t="n">
        <v>82341</v>
      </c>
      <c r="C7" s="0" t="n">
        <v>83823</v>
      </c>
      <c r="D7" s="0" t="n">
        <v>84577</v>
      </c>
      <c r="E7" s="0" t="n">
        <v>0.41</v>
      </c>
      <c r="F7" s="0" t="n">
        <v>0.11</v>
      </c>
    </row>
    <row r="8" customFormat="false" ht="15" hidden="false" customHeight="false" outlineLevel="0" collapsed="false">
      <c r="A8" s="0" t="s">
        <v>62</v>
      </c>
      <c r="B8" s="0" t="n">
        <v>177106</v>
      </c>
      <c r="C8" s="0" t="n">
        <v>180294</v>
      </c>
      <c r="D8" s="0" t="n">
        <v>181917</v>
      </c>
      <c r="E8" s="0" t="n">
        <v>0.45</v>
      </c>
      <c r="F8" s="0" t="n">
        <v>0.04</v>
      </c>
    </row>
    <row r="10" customFormat="false" ht="15" hidden="false" customHeight="false" outlineLevel="0" collapsed="false">
      <c r="A10" s="2" t="s">
        <v>63</v>
      </c>
      <c r="B10" s="2" t="s">
        <v>2</v>
      </c>
      <c r="C10" s="2" t="s">
        <v>3</v>
      </c>
      <c r="D10" s="2" t="s">
        <v>4</v>
      </c>
      <c r="E10" s="2" t="s">
        <v>64</v>
      </c>
    </row>
    <row r="11" customFormat="false" ht="15" hidden="false" customHeight="false" outlineLevel="0" collapsed="false">
      <c r="A11" s="0" t="s">
        <v>65</v>
      </c>
      <c r="B11" s="0" t="n">
        <v>1759</v>
      </c>
      <c r="C11" s="0" t="n">
        <v>1791</v>
      </c>
      <c r="D11" s="0" t="n">
        <v>1807</v>
      </c>
      <c r="E11" s="0" t="s">
        <v>66</v>
      </c>
    </row>
    <row r="12" customFormat="false" ht="15" hidden="false" customHeight="false" outlineLevel="0" collapsed="false">
      <c r="A12" s="0" t="s">
        <v>67</v>
      </c>
      <c r="B12" s="0" t="n">
        <v>0.172</v>
      </c>
      <c r="C12" s="0" t="n">
        <v>0.172</v>
      </c>
      <c r="D12" s="0" t="n">
        <v>0.186</v>
      </c>
      <c r="E12" s="0" t="s">
        <v>68</v>
      </c>
    </row>
    <row r="13" customFormat="false" ht="15" hidden="false" customHeight="false" outlineLevel="0" collapsed="false">
      <c r="A13" s="0" t="s">
        <v>69</v>
      </c>
      <c r="B13" s="0" t="n">
        <v>0.172</v>
      </c>
      <c r="C13" s="0" t="n">
        <v>0.172</v>
      </c>
      <c r="D13" s="0" t="n">
        <v>0.172</v>
      </c>
      <c r="E13" s="0" t="s">
        <v>70</v>
      </c>
    </row>
    <row r="14" customFormat="false" ht="15" hidden="false" customHeight="false" outlineLevel="0" collapsed="false">
      <c r="A14" s="0" t="s">
        <v>71</v>
      </c>
      <c r="B14" s="0" t="n">
        <v>0.002</v>
      </c>
      <c r="C14" s="0" t="n">
        <v>0.002</v>
      </c>
      <c r="D14" s="0" t="n">
        <v>0.002</v>
      </c>
      <c r="E14" s="0" t="s">
        <v>72</v>
      </c>
    </row>
    <row r="15" customFormat="false" ht="15" hidden="false" customHeight="false" outlineLevel="0" collapsed="false">
      <c r="A15" s="0" t="s">
        <v>73</v>
      </c>
      <c r="B15" s="0" t="s">
        <v>74</v>
      </c>
      <c r="C15" s="0" t="s">
        <v>75</v>
      </c>
      <c r="D15" s="0" t="s">
        <v>76</v>
      </c>
      <c r="E15" s="0" t="s">
        <v>77</v>
      </c>
    </row>
    <row r="16" customFormat="false" ht="15" hidden="false" customHeight="false" outlineLevel="0" collapsed="false">
      <c r="A16" s="0" t="s">
        <v>78</v>
      </c>
      <c r="B16" s="0" t="n">
        <v>28</v>
      </c>
      <c r="C16" s="0" t="n">
        <v>16</v>
      </c>
      <c r="D16" s="0" t="n">
        <v>4</v>
      </c>
      <c r="E16" s="0" t="s">
        <v>79</v>
      </c>
    </row>
    <row r="17" customFormat="false" ht="15" hidden="false" customHeight="false" outlineLevel="0" collapsed="false">
      <c r="A17" s="0" t="s">
        <v>80</v>
      </c>
      <c r="B17" s="0" t="n">
        <v>0.4</v>
      </c>
      <c r="C17" s="0" t="n">
        <v>0.4</v>
      </c>
      <c r="D17" s="0" t="n">
        <v>0.4</v>
      </c>
      <c r="E17" s="0" t="s">
        <v>81</v>
      </c>
    </row>
    <row r="18" customFormat="false" ht="15" hidden="false" customHeight="false" outlineLevel="0" collapsed="false">
      <c r="A18" s="0" t="s">
        <v>82</v>
      </c>
      <c r="B18" s="0" t="n">
        <v>1.25</v>
      </c>
      <c r="C18" s="0" t="n">
        <v>1.25</v>
      </c>
      <c r="D18" s="0" t="n">
        <v>1.25</v>
      </c>
      <c r="E18" s="0" t="s">
        <v>83</v>
      </c>
    </row>
    <row r="19" customFormat="false" ht="15" hidden="false" customHeight="false" outlineLevel="0" collapsed="false">
      <c r="A19" s="0" t="s">
        <v>84</v>
      </c>
      <c r="B19" s="0" t="n">
        <v>0.128</v>
      </c>
      <c r="C19" s="0" t="n">
        <v>0.128</v>
      </c>
      <c r="D19" s="0" t="n">
        <v>0.128</v>
      </c>
      <c r="E19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5"/>
    <col collapsed="false" customWidth="true" hidden="false" outlineLevel="0" max="7" min="5" style="0" width="12"/>
    <col collapsed="false" customWidth="true" hidden="false" outlineLevel="0" max="8" min="8" style="0" width="95"/>
  </cols>
  <sheetData>
    <row r="1" customFormat="false" ht="15" hidden="false" customHeight="false" outlineLevel="0" collapsed="false">
      <c r="A1" s="1" t="s">
        <v>86</v>
      </c>
    </row>
    <row r="3" customFormat="false" ht="15" hidden="false" customHeight="false" outlineLevel="0" collapsed="false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</row>
    <row r="4" customFormat="false" ht="15" hidden="false" customHeight="false" outlineLevel="0" collapsed="false">
      <c r="A4" s="0" t="s">
        <v>95</v>
      </c>
      <c r="B4" s="0" t="n">
        <f aca="false">ROUND((Sources!B4-Sources!B5)/2,0)</f>
        <v>86407</v>
      </c>
      <c r="C4" s="0" t="n">
        <f aca="false">ROUND((Sources!C4-Sources!C5)/2,0)</f>
        <v>62005</v>
      </c>
      <c r="D4" s="0" t="n">
        <f aca="false">ROUND((Sources!D4-Sources!D5)/2,0)</f>
        <v>62538</v>
      </c>
      <c r="E4" s="0" t="n">
        <f aca="false">B4-Sources!B6</f>
        <v>0</v>
      </c>
      <c r="F4" s="0" t="n">
        <f aca="false">C4-Sources!C6</f>
        <v>0</v>
      </c>
      <c r="G4" s="0" t="n">
        <f aca="false">D4-Sources!D6</f>
        <v>0</v>
      </c>
      <c r="H4" s="0" t="s">
        <v>96</v>
      </c>
    </row>
    <row r="5" customFormat="false" ht="15" hidden="false" customHeight="false" outlineLevel="0" collapsed="false">
      <c r="A5" s="0" t="s">
        <v>97</v>
      </c>
      <c r="B5" s="0" t="n">
        <f aca="false">ROUND(Sources!B5/2,0)</f>
        <v>10211</v>
      </c>
      <c r="C5" s="0" t="n">
        <f aca="false">ROUND(Sources!C5/2,0)</f>
        <v>7427</v>
      </c>
      <c r="D5" s="0" t="n">
        <f aca="false">ROUND(Sources!D5/2,0)</f>
        <v>7326</v>
      </c>
      <c r="E5" s="0" t="n">
        <f aca="false">B5-Sources!B7</f>
        <v>1</v>
      </c>
      <c r="F5" s="0" t="n">
        <f aca="false">C5-Sources!C7</f>
        <v>0</v>
      </c>
      <c r="G5" s="0" t="n">
        <f aca="false">D5-Sources!D7</f>
        <v>0</v>
      </c>
      <c r="H5" s="0" t="s">
        <v>98</v>
      </c>
    </row>
    <row r="6" customFormat="false" ht="15" hidden="false" customHeight="false" outlineLevel="0" collapsed="false">
      <c r="A6" s="0" t="s">
        <v>99</v>
      </c>
      <c r="B6" s="0" t="n">
        <f aca="false">ROUND(Sources!B4/2,0)</f>
        <v>96617</v>
      </c>
      <c r="C6" s="0" t="n">
        <f aca="false">ROUND(Sources!C4/2,0)</f>
        <v>69432</v>
      </c>
      <c r="D6" s="0" t="n">
        <f aca="false">ROUND(Sources!D4/2,0)</f>
        <v>69864</v>
      </c>
      <c r="E6" s="0" t="n">
        <f aca="false">B6-Sources!B8</f>
        <v>0</v>
      </c>
      <c r="F6" s="0" t="n">
        <f aca="false">C6-Sources!C8</f>
        <v>0</v>
      </c>
      <c r="G6" s="0" t="n">
        <f aca="false">D6-Sources!D8</f>
        <v>0</v>
      </c>
      <c r="H6" s="0" t="s">
        <v>100</v>
      </c>
    </row>
    <row r="7" customFormat="false" ht="15" hidden="false" customHeight="false" outlineLevel="0" collapsed="false">
      <c r="A7" s="0" t="s">
        <v>101</v>
      </c>
      <c r="B7" s="0" t="n">
        <f aca="false">ROUND(Sources!B8*1.25,0)</f>
        <v>120771</v>
      </c>
      <c r="C7" s="0" t="n">
        <f aca="false">ROUND(Sources!C8*1.25,0)</f>
        <v>86790</v>
      </c>
      <c r="D7" s="0" t="n">
        <f aca="false">ROUND(Sources!D8*1.25,0)</f>
        <v>87330</v>
      </c>
      <c r="E7" s="0" t="n">
        <f aca="false">B7-Sources!B9</f>
        <v>0</v>
      </c>
      <c r="F7" s="0" t="n">
        <f aca="false">C7-Sources!C9</f>
        <v>0</v>
      </c>
      <c r="G7" s="0" t="n">
        <f aca="false">D7-Sources!D9</f>
        <v>0</v>
      </c>
      <c r="H7" s="0" t="s">
        <v>102</v>
      </c>
    </row>
    <row r="8" customFormat="false" ht="15" hidden="false" customHeight="false" outlineLevel="0" collapsed="false">
      <c r="A8" s="0" t="s">
        <v>103</v>
      </c>
      <c r="B8" s="0" t="n">
        <f aca="false">Sources!B11-Sources!B10</f>
        <v>120771</v>
      </c>
      <c r="C8" s="0" t="n">
        <f aca="false">Sources!C11-Sources!C10</f>
        <v>86790</v>
      </c>
      <c r="D8" s="0" t="n">
        <f aca="false">Sources!D11-Sources!D10</f>
        <v>87330</v>
      </c>
      <c r="E8" s="0" t="n">
        <f aca="false">B8-Sources!B9</f>
        <v>0</v>
      </c>
      <c r="F8" s="0" t="n">
        <f aca="false">C8-Sources!C9</f>
        <v>0</v>
      </c>
      <c r="G8" s="0" t="n">
        <f aca="false">D8-Sources!D9</f>
        <v>0</v>
      </c>
      <c r="H8" s="0" t="s">
        <v>104</v>
      </c>
    </row>
    <row r="9" customFormat="false" ht="15" hidden="false" customHeight="false" outlineLevel="0" collapsed="false">
      <c r="A9" s="0" t="s">
        <v>105</v>
      </c>
      <c r="B9" s="0" t="n">
        <f aca="false">ROUND(MAX(SUMPRODUCT((Sources!B11/Sources!B12&gt;Barèmes!$B$4:$B$8)*(Sources!B11/Sources!B12-Barèmes!$B$4:$B$8)*Barèmes!$F$4:$F$8)*Sources!B12,SUMPRODUCT((Sources!B11&gt;Barèmes!$B$4:$B$8)*(Sources!B11-Barèmes!$B$4:$B$8)*Barèmes!$F$4:$F$8)-Barèmes!B11*(Sources!B12-1)*2),0)</f>
        <v>40693</v>
      </c>
      <c r="C9" s="0" t="n">
        <f aca="false">ROUND(MAX(SUMPRODUCT((Sources!C11/Sources!C12&gt;Barèmes!$C$4:$C$8)*(Sources!C11/Sources!C12-Barèmes!$C$4:$C$8)*Barèmes!$F$4:$F$8)*Sources!C12,SUMPRODUCT((Sources!C11&gt;Barèmes!$C$4:$C$8)*(Sources!C11-Barèmes!$C$4:$C$8)*Barèmes!$F$4:$F$8)-Barèmes!C11*(Sources!C12-1)*2),0)</f>
        <v>28039</v>
      </c>
      <c r="D9" s="0" t="n">
        <f aca="false">ROUND(MAX(SUMPRODUCT((Sources!D11/Sources!D12&gt;Barèmes!$D$4:$D$8)*(Sources!D11/Sources!D12-Barèmes!$D$4:$D$8)*Barèmes!$F$4:$F$8)*Sources!D12,SUMPRODUCT((Sources!D11&gt;Barèmes!$D$4:$D$8)*(Sources!D11-Barèmes!$D$4:$D$8)*Barèmes!$F$4:$F$8)-Barèmes!D11*(Sources!D12-1)*2),0)</f>
        <v>27450</v>
      </c>
      <c r="E9" s="0" t="n">
        <f aca="false">B9-Sources!B17</f>
        <v>0</v>
      </c>
      <c r="F9" s="0" t="n">
        <f aca="false">C9-Sources!C17</f>
        <v>0</v>
      </c>
      <c r="G9" s="0" t="n">
        <f aca="false">D9-Sources!D17</f>
        <v>0</v>
      </c>
      <c r="H9" s="0" t="s">
        <v>106</v>
      </c>
    </row>
    <row r="10" customFormat="false" ht="15" hidden="false" customHeight="false" outlineLevel="0" collapsed="false">
      <c r="A10" s="0" t="s">
        <v>107</v>
      </c>
      <c r="B10" s="0" t="n">
        <f aca="false">ROUND(MAX(SUMPRODUCT((Sources!B10/Sources!B12&gt;Barèmes!$B$4:$B$8)*(Sources!B10/Sources!B12-Barèmes!$B$4:$B$8)*Barèmes!$F$4:$F$8)*Sources!B12,SUMPRODUCT((Sources!B10&gt;Barèmes!$B$4:$B$8)*(Sources!B10-Barèmes!$B$4:$B$8)*Barèmes!$F$4:$F$8)-Barèmes!B11*(Sources!B12-1)*2),0)</f>
        <v>473</v>
      </c>
      <c r="C10" s="0" t="n">
        <f aca="false">ROUND(MAX(SUMPRODUCT((Sources!C10/Sources!C12&gt;Barèmes!$C$4:$C$8)*(Sources!C10/Sources!C12-Barèmes!$C$4:$C$8)*Barèmes!$F$4:$F$8)*Sources!C12,SUMPRODUCT((Sources!C10&gt;Barèmes!$C$4:$C$8)*(Sources!C10-Barèmes!$C$4:$C$8)*Barèmes!$F$4:$F$8)-Barèmes!C11*(Sources!C12-1)*2),0)</f>
        <v>867</v>
      </c>
      <c r="D10" s="0" t="n">
        <f aca="false">ROUND(MAX(SUMPRODUCT((Sources!D10/Sources!D12&gt;Barèmes!$D$4:$D$8)*(Sources!D10/Sources!D12-Barèmes!$D$4:$D$8)*Barèmes!$F$4:$F$8)*Sources!D12,SUMPRODUCT((Sources!D10&gt;Barèmes!$D$4:$D$8)*(Sources!D10-Barèmes!$D$4:$D$8)*Barèmes!$F$4:$F$8)-Barèmes!D11*(Sources!D12-1)*2),0)</f>
        <v>675</v>
      </c>
      <c r="H10" s="0" t="s">
        <v>108</v>
      </c>
    </row>
    <row r="11" customFormat="false" ht="15" hidden="false" customHeight="false" outlineLevel="0" collapsed="false">
      <c r="A11" s="0" t="s">
        <v>109</v>
      </c>
      <c r="B11" s="0" t="n">
        <f aca="false">ROUND(0.4*Sources!B18,0)</f>
        <v>16277</v>
      </c>
      <c r="C11" s="0" t="n">
        <f aca="false">ROUND(0.4*Sources!C18,0)</f>
        <v>11068</v>
      </c>
      <c r="D11" s="0" t="n">
        <f aca="false">ROUND(0.4*Sources!D18,0)</f>
        <v>10947</v>
      </c>
      <c r="E11" s="0" t="n">
        <f aca="false">B11-Sources!B21</f>
        <v>0</v>
      </c>
      <c r="F11" s="0" t="n">
        <f aca="false">C11-Sources!C21</f>
        <v>0</v>
      </c>
      <c r="G11" s="0" t="n">
        <f aca="false">D11-Sources!D21</f>
        <v>0</v>
      </c>
      <c r="H11" s="0" t="s">
        <v>110</v>
      </c>
    </row>
    <row r="12" customFormat="false" ht="15" hidden="false" customHeight="false" outlineLevel="0" collapsed="false">
      <c r="A12" s="0" t="s">
        <v>111</v>
      </c>
      <c r="B12" s="0" t="n">
        <f aca="false">ROUND(Sources!B18*0.002*Sources!B20,0)</f>
        <v>2279</v>
      </c>
      <c r="C12" s="0" t="n">
        <f aca="false">ROUND(Sources!C18*0.002*Sources!C20,0)</f>
        <v>885</v>
      </c>
      <c r="D12" s="0" t="n">
        <f aca="false">ROUND(Sources!D18*0.002*Sources!D20,0)</f>
        <v>219</v>
      </c>
      <c r="E12" s="0" t="n">
        <f aca="false">B12-Sources!B19</f>
        <v>54</v>
      </c>
      <c r="F12" s="0" t="n">
        <f aca="false">C12-Sources!C19</f>
        <v>0</v>
      </c>
      <c r="G12" s="0" t="n">
        <f aca="false">D12-Sources!D19</f>
        <v>0</v>
      </c>
      <c r="H12" s="0" t="s">
        <v>112</v>
      </c>
    </row>
    <row r="13" customFormat="false" ht="15" hidden="false" customHeight="false" outlineLevel="0" collapsed="false">
      <c r="A13" s="0" t="s">
        <v>113</v>
      </c>
      <c r="B13" s="0" t="n">
        <f aca="false">ROUND(Sources!B16*0.002*Sources!B20,0)</f>
        <v>2225</v>
      </c>
      <c r="C13" s="0" t="n">
        <f aca="false">ROUND(Sources!C16*0.002*Sources!C20,0)</f>
        <v>887</v>
      </c>
      <c r="D13" s="0" t="n">
        <f aca="false">ROUND(Sources!D16*0.002*Sources!D20,0)</f>
        <v>220</v>
      </c>
      <c r="E13" s="0" t="n">
        <f aca="false">B13-Sources!B19</f>
        <v>0</v>
      </c>
      <c r="F13" s="0" t="n">
        <f aca="false">C13-Sources!C19</f>
        <v>2</v>
      </c>
      <c r="G13" s="0" t="n">
        <f aca="false">D13-Sources!D19</f>
        <v>1</v>
      </c>
      <c r="H13" s="0" t="s">
        <v>114</v>
      </c>
    </row>
    <row r="14" customFormat="false" ht="15" hidden="false" customHeight="false" outlineLevel="0" collapsed="false">
      <c r="A14" s="0" t="s">
        <v>115</v>
      </c>
      <c r="B14" s="0" t="n">
        <f aca="false">Sources!B18+Sources!B19+Sources!B21</f>
        <v>59195</v>
      </c>
      <c r="C14" s="0" t="n">
        <f aca="false">Sources!C18+Sources!C19+Sources!C21</f>
        <v>39622</v>
      </c>
      <c r="D14" s="0" t="n">
        <f aca="false">Sources!D18+Sources!D19+Sources!D21</f>
        <v>38533</v>
      </c>
      <c r="E14" s="0" t="n">
        <f aca="false">B14-Sources!B22</f>
        <v>0</v>
      </c>
      <c r="F14" s="0" t="n">
        <f aca="false">C14-Sources!C22</f>
        <v>0</v>
      </c>
      <c r="G14" s="0" t="n">
        <f aca="false">D14-Sources!D22</f>
        <v>0</v>
      </c>
    </row>
    <row r="15" customFormat="false" ht="15" hidden="false" customHeight="false" outlineLevel="0" collapsed="false">
      <c r="A15" s="0" t="s">
        <v>116</v>
      </c>
      <c r="B15" s="0" t="n">
        <f aca="false">ROUND(Sources!B23*Sources!B24,0)</f>
        <v>16618</v>
      </c>
      <c r="C15" s="0" t="n">
        <f aca="false">ROUND(Sources!C23*Sources!C24,0)</f>
        <v>11942</v>
      </c>
      <c r="D15" s="0" t="n">
        <f aca="false">ROUND(Sources!D23*Sources!D24,0)</f>
        <v>12995</v>
      </c>
      <c r="E15" s="0" t="n">
        <f aca="false">B15-Sources!B25</f>
        <v>0</v>
      </c>
      <c r="F15" s="0" t="n">
        <f aca="false">C15-Sources!C25</f>
        <v>0</v>
      </c>
      <c r="G15" s="0" t="n">
        <f aca="false">D15-Sources!D25</f>
        <v>0</v>
      </c>
      <c r="H15" s="0" t="s">
        <v>117</v>
      </c>
    </row>
    <row r="16" customFormat="false" ht="15" hidden="false" customHeight="false" outlineLevel="0" collapsed="false">
      <c r="A16" s="0" t="s">
        <v>118</v>
      </c>
      <c r="B16" s="0" t="n">
        <f aca="false">ROUND(Sources!B23*Barèmes!B13,0)</f>
        <v>16618</v>
      </c>
      <c r="C16" s="0" t="n">
        <f aca="false">ROUND(Sources!C23*Barèmes!C13,0)</f>
        <v>11942</v>
      </c>
      <c r="D16" s="0" t="n">
        <f aca="false">ROUND(Sources!D23*Barèmes!D13,0)</f>
        <v>12017</v>
      </c>
      <c r="E16" s="0" t="n">
        <f aca="false">B16-Sources!B25</f>
        <v>0</v>
      </c>
      <c r="F16" s="0" t="n">
        <f aca="false">C16-Sources!C25</f>
        <v>0</v>
      </c>
      <c r="G16" s="0" t="n">
        <f aca="false">D16-Sources!D25</f>
        <v>-978</v>
      </c>
      <c r="H16" s="0" t="s">
        <v>119</v>
      </c>
    </row>
    <row r="17" customFormat="false" ht="15" hidden="false" customHeight="false" outlineLevel="0" collapsed="false">
      <c r="A17" s="0" t="s">
        <v>120</v>
      </c>
      <c r="B17" s="0" t="n">
        <f aca="false">ROUND(Sources!B25*0.002*Sources!B20,0)</f>
        <v>931</v>
      </c>
      <c r="C17" s="0" t="n">
        <f aca="false">ROUND(Sources!C25*0.002*Sources!C20,0)</f>
        <v>382</v>
      </c>
      <c r="D17" s="0" t="n">
        <f aca="false">ROUND(Sources!D25*0.002*Sources!D20,0)</f>
        <v>104</v>
      </c>
      <c r="E17" s="0" t="n">
        <f aca="false">B17-Sources!B26</f>
        <v>0</v>
      </c>
      <c r="F17" s="0" t="n">
        <f aca="false">C17-Sources!C26</f>
        <v>-1</v>
      </c>
      <c r="G17" s="0" t="n">
        <f aca="false">D17-Sources!D26</f>
        <v>0</v>
      </c>
      <c r="H17" s="0" t="s">
        <v>121</v>
      </c>
    </row>
    <row r="18" customFormat="false" ht="15" hidden="false" customHeight="false" outlineLevel="0" collapsed="false">
      <c r="A18" s="0" t="s">
        <v>122</v>
      </c>
      <c r="B18" s="0" t="n">
        <f aca="false">ROUND(0.4*Sources!B25,0)</f>
        <v>6647</v>
      </c>
      <c r="C18" s="0" t="n">
        <f aca="false">ROUND(0.4*Sources!C25,0)</f>
        <v>4777</v>
      </c>
      <c r="D18" s="0" t="n">
        <f aca="false">ROUND(0.4*Sources!D25,0)</f>
        <v>5198</v>
      </c>
      <c r="E18" s="0" t="n">
        <f aca="false">B18-Sources!B27</f>
        <v>0</v>
      </c>
      <c r="F18" s="0" t="n">
        <f aca="false">C18-Sources!C27</f>
        <v>0</v>
      </c>
      <c r="G18" s="0" t="n">
        <f aca="false">D18-Sources!D27</f>
        <v>0</v>
      </c>
    </row>
    <row r="19" customFormat="false" ht="15" hidden="false" customHeight="false" outlineLevel="0" collapsed="false">
      <c r="A19" s="0" t="s">
        <v>123</v>
      </c>
      <c r="B19" s="0" t="n">
        <f aca="false">Sources!B25+Sources!B26+Sources!B27</f>
        <v>24196</v>
      </c>
      <c r="C19" s="0" t="n">
        <f aca="false">Sources!C25+Sources!C26+Sources!C27</f>
        <v>17102</v>
      </c>
      <c r="D19" s="0" t="n">
        <f aca="false">Sources!D25+Sources!D26+Sources!D27</f>
        <v>18297</v>
      </c>
      <c r="E19" s="0" t="n">
        <f aca="false">B19-Sources!B28</f>
        <v>0</v>
      </c>
      <c r="F19" s="0" t="n">
        <f aca="false">C19-Sources!C28</f>
        <v>0</v>
      </c>
      <c r="G19" s="0" t="n">
        <f aca="false">D19-Sources!D28</f>
        <v>0</v>
      </c>
    </row>
    <row r="20" customFormat="false" ht="15" hidden="false" customHeight="false" outlineLevel="0" collapsed="false">
      <c r="A20" s="0" t="s">
        <v>124</v>
      </c>
      <c r="B20" s="0" t="n">
        <f aca="false">Sources!B22+Sources!B28</f>
        <v>83391</v>
      </c>
      <c r="C20" s="0" t="n">
        <f aca="false">Sources!C22+Sources!C28</f>
        <v>56724</v>
      </c>
      <c r="D20" s="0" t="n">
        <f aca="false">Sources!D22+Sources!D28</f>
        <v>56830</v>
      </c>
      <c r="E20" s="0" t="n">
        <f aca="false">B20-Sources!B29</f>
        <v>0</v>
      </c>
      <c r="F20" s="0" t="n">
        <f aca="false">C20-Sources!C29</f>
        <v>0</v>
      </c>
      <c r="G20" s="0" t="n">
        <f aca="false">D20-Sources!D29</f>
        <v>0</v>
      </c>
      <c r="H20" s="0" t="s">
        <v>125</v>
      </c>
    </row>
    <row r="21" customFormat="false" ht="15" hidden="false" customHeight="false" outlineLevel="0" collapsed="false">
      <c r="A21" s="0" t="s">
        <v>126</v>
      </c>
      <c r="B21" s="0" t="n">
        <f aca="false">Sources!B23-Sources!B8</f>
        <v>0</v>
      </c>
      <c r="C21" s="0" t="n">
        <f aca="false">Sources!C23-Sources!C8</f>
        <v>0</v>
      </c>
      <c r="D21" s="0" t="n">
        <f aca="false">Sources!D23-Sources!D8</f>
        <v>1</v>
      </c>
      <c r="H21" s="0" t="s">
        <v>127</v>
      </c>
    </row>
    <row r="23" customFormat="false" ht="15" hidden="false" customHeight="false" outlineLevel="0" collapsed="false">
      <c r="A23" s="1" t="s">
        <v>128</v>
      </c>
      <c r="B23" s="3" t="n">
        <f aca="false">SUM(B20:D20)</f>
        <v>196945</v>
      </c>
      <c r="E23" s="3" t="n">
        <f aca="false">B23-SUM(Sources!B29:D29)</f>
        <v>0</v>
      </c>
      <c r="H23" s="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5" min="2" style="0" width="14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1" t="s">
        <v>130</v>
      </c>
    </row>
    <row r="3" customFormat="false" ht="15" hidden="false" customHeight="false" outlineLevel="0" collapsed="false">
      <c r="A3" s="2" t="s">
        <v>131</v>
      </c>
      <c r="B3" s="2" t="s">
        <v>2</v>
      </c>
      <c r="C3" s="2" t="s">
        <v>3</v>
      </c>
      <c r="D3" s="2" t="s">
        <v>4</v>
      </c>
      <c r="E3" s="2" t="s">
        <v>132</v>
      </c>
      <c r="F3" s="2" t="s">
        <v>133</v>
      </c>
    </row>
    <row r="4" customFormat="false" ht="15" hidden="false" customHeight="false" outlineLevel="0" collapsed="false">
      <c r="A4" s="0" t="s">
        <v>134</v>
      </c>
      <c r="B4" s="0" t="n">
        <f aca="false">Sources!B18</f>
        <v>40693</v>
      </c>
      <c r="C4" s="0" t="n">
        <f aca="false">Sources!C18</f>
        <v>27669</v>
      </c>
      <c r="D4" s="0" t="n">
        <f aca="false">Sources!D18</f>
        <v>27367</v>
      </c>
      <c r="E4" s="0" t="n">
        <f aca="false">SUM(B4:D4)</f>
        <v>95729</v>
      </c>
      <c r="F4" s="0" t="s">
        <v>135</v>
      </c>
    </row>
    <row r="5" customFormat="false" ht="15" hidden="false" customHeight="false" outlineLevel="0" collapsed="false">
      <c r="A5" s="0" t="s">
        <v>39</v>
      </c>
      <c r="B5" s="0" t="n">
        <f aca="false">Sources!B25</f>
        <v>16618</v>
      </c>
      <c r="C5" s="0" t="n">
        <f aca="false">Sources!C25</f>
        <v>11942</v>
      </c>
      <c r="D5" s="0" t="n">
        <f aca="false">Sources!D25</f>
        <v>12995</v>
      </c>
      <c r="E5" s="0" t="n">
        <f aca="false">SUM(B5:D5)</f>
        <v>41555</v>
      </c>
    </row>
    <row r="6" customFormat="false" ht="15" hidden="false" customHeight="false" outlineLevel="0" collapsed="false">
      <c r="A6" s="0" t="s">
        <v>136</v>
      </c>
      <c r="B6" s="0" t="n">
        <f aca="false">B4+B5</f>
        <v>57311</v>
      </c>
      <c r="C6" s="0" t="n">
        <f aca="false">C4+C5</f>
        <v>39611</v>
      </c>
      <c r="D6" s="0" t="n">
        <f aca="false">D4+D5</f>
        <v>40362</v>
      </c>
      <c r="E6" s="0" t="n">
        <f aca="false">SUM(B6:D6)</f>
        <v>137284</v>
      </c>
    </row>
    <row r="7" customFormat="false" ht="15" hidden="false" customHeight="false" outlineLevel="0" collapsed="false">
      <c r="A7" s="0" t="s">
        <v>137</v>
      </c>
      <c r="B7" s="0" t="n">
        <f aca="false">Sources!B21</f>
        <v>16277</v>
      </c>
      <c r="C7" s="0" t="n">
        <f aca="false">Sources!C21</f>
        <v>11068</v>
      </c>
      <c r="D7" s="0" t="n">
        <f aca="false">Sources!D21</f>
        <v>10947</v>
      </c>
      <c r="E7" s="0" t="n">
        <f aca="false">SUM(B7:D7)</f>
        <v>38292</v>
      </c>
      <c r="F7" s="0" t="s">
        <v>138</v>
      </c>
    </row>
    <row r="8" customFormat="false" ht="15" hidden="false" customHeight="false" outlineLevel="0" collapsed="false">
      <c r="A8" s="0" t="s">
        <v>42</v>
      </c>
      <c r="B8" s="0" t="n">
        <f aca="false">Sources!B27</f>
        <v>6647</v>
      </c>
      <c r="C8" s="0" t="n">
        <f aca="false">Sources!C27</f>
        <v>4777</v>
      </c>
      <c r="D8" s="0" t="n">
        <f aca="false">Sources!D27</f>
        <v>5198</v>
      </c>
      <c r="E8" s="0" t="n">
        <f aca="false">SUM(B8:D8)</f>
        <v>16622</v>
      </c>
      <c r="F8" s="0" t="s">
        <v>139</v>
      </c>
    </row>
    <row r="9" customFormat="false" ht="15" hidden="false" customHeight="false" outlineLevel="0" collapsed="false">
      <c r="A9" s="0" t="s">
        <v>140</v>
      </c>
      <c r="B9" s="0" t="n">
        <f aca="false">B7+B8</f>
        <v>22924</v>
      </c>
      <c r="C9" s="0" t="n">
        <f aca="false">C7+C8</f>
        <v>15845</v>
      </c>
      <c r="D9" s="0" t="n">
        <f aca="false">D7+D8</f>
        <v>16145</v>
      </c>
      <c r="E9" s="0" t="n">
        <f aca="false">SUM(B9:D9)</f>
        <v>54914</v>
      </c>
      <c r="F9" s="0" t="s">
        <v>141</v>
      </c>
    </row>
    <row r="10" customFormat="false" ht="15" hidden="false" customHeight="false" outlineLevel="0" collapsed="false">
      <c r="A10" s="0" t="s">
        <v>142</v>
      </c>
      <c r="B10" s="0" t="n">
        <f aca="false">Sources!B19</f>
        <v>2225</v>
      </c>
      <c r="C10" s="0" t="n">
        <f aca="false">Sources!C19</f>
        <v>885</v>
      </c>
      <c r="D10" s="0" t="n">
        <f aca="false">Sources!D19</f>
        <v>219</v>
      </c>
      <c r="E10" s="0" t="n">
        <f aca="false">SUM(B10:D10)</f>
        <v>3329</v>
      </c>
      <c r="F10" s="0" t="s">
        <v>143</v>
      </c>
    </row>
    <row r="11" customFormat="false" ht="15" hidden="false" customHeight="false" outlineLevel="0" collapsed="false">
      <c r="A11" s="0" t="s">
        <v>144</v>
      </c>
      <c r="B11" s="0" t="n">
        <f aca="false">Sources!B26</f>
        <v>931</v>
      </c>
      <c r="C11" s="0" t="n">
        <f aca="false">Sources!C26</f>
        <v>383</v>
      </c>
      <c r="D11" s="0" t="n">
        <f aca="false">Sources!D26</f>
        <v>104</v>
      </c>
      <c r="E11" s="0" t="n">
        <f aca="false">SUM(B11:D11)</f>
        <v>1418</v>
      </c>
    </row>
    <row r="12" customFormat="false" ht="15" hidden="false" customHeight="false" outlineLevel="0" collapsed="false">
      <c r="A12" s="0" t="s">
        <v>145</v>
      </c>
      <c r="B12" s="0" t="n">
        <f aca="false">B10+B11</f>
        <v>3156</v>
      </c>
      <c r="C12" s="0" t="n">
        <f aca="false">C10+C11</f>
        <v>1268</v>
      </c>
      <c r="D12" s="0" t="n">
        <f aca="false">D10+D11</f>
        <v>323</v>
      </c>
      <c r="E12" s="0" t="n">
        <f aca="false">SUM(B12:D12)</f>
        <v>4747</v>
      </c>
    </row>
    <row r="13" customFormat="false" ht="15" hidden="false" customHeight="false" outlineLevel="0" collapsed="false">
      <c r="A13" s="0" t="s">
        <v>146</v>
      </c>
      <c r="B13" s="0" t="n">
        <f aca="false">B6+B9+B12</f>
        <v>83391</v>
      </c>
      <c r="C13" s="0" t="n">
        <f aca="false">C6+C9+C12</f>
        <v>56724</v>
      </c>
      <c r="D13" s="0" t="n">
        <f aca="false">D6+D9+D12</f>
        <v>56830</v>
      </c>
      <c r="E13" s="0" t="n">
        <f aca="false">SUM(B13:D13)</f>
        <v>196945</v>
      </c>
      <c r="F13" s="0" t="s">
        <v>147</v>
      </c>
    </row>
    <row r="14" customFormat="false" ht="15" hidden="false" customHeight="false" outlineLevel="0" collapsed="false">
      <c r="A14" s="0" t="s">
        <v>148</v>
      </c>
      <c r="B14" s="0" t="n">
        <f aca="false">Sources!B8</f>
        <v>96617</v>
      </c>
      <c r="C14" s="0" t="n">
        <f aca="false">Sources!C8</f>
        <v>69432</v>
      </c>
      <c r="D14" s="0" t="n">
        <f aca="false">Sources!D8</f>
        <v>69864</v>
      </c>
      <c r="E14" s="0" t="n">
        <f aca="false">SUM(B14:D14)</f>
        <v>235913</v>
      </c>
    </row>
    <row r="15" customFormat="false" ht="15" hidden="false" customHeight="false" outlineLevel="0" collapsed="false">
      <c r="A15" s="0" t="s">
        <v>149</v>
      </c>
      <c r="B15" s="4" t="n">
        <f aca="false">B13/B14</f>
        <v>0.863108976681122</v>
      </c>
      <c r="C15" s="4" t="n">
        <f aca="false">C13/C14</f>
        <v>0.816972001382648</v>
      </c>
      <c r="D15" s="4" t="n">
        <f aca="false">D13/D14</f>
        <v>0.813437535783809</v>
      </c>
      <c r="E15" s="4" t="n">
        <f aca="false">E13/E14</f>
        <v>0.834820463475942</v>
      </c>
      <c r="F15" s="3" t="s">
        <v>150</v>
      </c>
    </row>
    <row r="16" customFormat="false" ht="15" hidden="false" customHeight="false" outlineLevel="0" collapsed="false">
      <c r="A16" s="0" t="s">
        <v>151</v>
      </c>
      <c r="B16" s="4" t="n">
        <f aca="false">(B13-B7)/B14</f>
        <v>0.694639659687219</v>
      </c>
      <c r="C16" s="4" t="n">
        <f aca="false">(C13-C7)/C14</f>
        <v>0.657564235511004</v>
      </c>
      <c r="D16" s="4" t="n">
        <f aca="false">(D13-D7)/D14</f>
        <v>0.656747394938738</v>
      </c>
      <c r="E16" s="4" t="n">
        <f aca="false">(E13-E7)/E14</f>
        <v>0.672506390067525</v>
      </c>
      <c r="F16" s="3" t="s">
        <v>152</v>
      </c>
    </row>
    <row r="17" customFormat="false" ht="15" hidden="false" customHeight="false" outlineLevel="0" collapsed="false">
      <c r="A17" s="0" t="s">
        <v>153</v>
      </c>
      <c r="B17" s="4" t="n">
        <f aca="false">(B13-B9)/B14</f>
        <v>0.625842243083515</v>
      </c>
      <c r="C17" s="4" t="n">
        <f aca="false">(C13-C9)/C14</f>
        <v>0.588763106348658</v>
      </c>
      <c r="D17" s="4" t="n">
        <f aca="false">(D13-D9)/D14</f>
        <v>0.582345700217566</v>
      </c>
      <c r="E17" s="4" t="n">
        <f aca="false">(E13-E9)/E14</f>
        <v>0.602048212688576</v>
      </c>
      <c r="F17" s="3" t="s">
        <v>154</v>
      </c>
    </row>
    <row r="18" customFormat="false" ht="15" hidden="false" customHeight="false" outlineLevel="0" collapsed="false">
      <c r="A18" s="0" t="s">
        <v>155</v>
      </c>
      <c r="B18" s="4" t="n">
        <f aca="false">B6/B14</f>
        <v>0.593177184139437</v>
      </c>
      <c r="C18" s="4" t="n">
        <f aca="false">C6/C14</f>
        <v>0.570500633713562</v>
      </c>
      <c r="D18" s="4" t="n">
        <f aca="false">D6/D14</f>
        <v>0.577722432153899</v>
      </c>
      <c r="E18" s="4" t="n">
        <f aca="false">E6/E14</f>
        <v>0.581926388117654</v>
      </c>
      <c r="F18" s="3" t="s">
        <v>156</v>
      </c>
    </row>
    <row r="19" customFormat="false" ht="15" hidden="false" customHeight="false" outlineLevel="0" collapsed="false">
      <c r="A19" s="0" t="s">
        <v>157</v>
      </c>
      <c r="B19" s="4" t="n">
        <f aca="false">B4/B14</f>
        <v>0.421178467557469</v>
      </c>
      <c r="C19" s="4" t="n">
        <f aca="false">C4/C14</f>
        <v>0.398505012098168</v>
      </c>
      <c r="D19" s="4" t="n">
        <f aca="false">D4/D14</f>
        <v>0.391718195350968</v>
      </c>
      <c r="E19" s="4" t="n">
        <f aca="false">E4/E14</f>
        <v>0.405780944670281</v>
      </c>
      <c r="F19" s="3" t="s">
        <v>158</v>
      </c>
    </row>
    <row r="20" customFormat="false" ht="15" hidden="false" customHeight="false" outlineLevel="0" collapsed="false">
      <c r="A20" s="0" t="s">
        <v>159</v>
      </c>
      <c r="B20" s="0" t="n">
        <f aca="false">Sources!B11/Sources!B10</f>
        <v>6.68682017234073</v>
      </c>
      <c r="C20" s="0" t="n">
        <f aca="false">Sources!C11/Sources!C10</f>
        <v>4.45432835820896</v>
      </c>
      <c r="D20" s="0" t="n">
        <f aca="false">Sources!D11/Sources!D10</f>
        <v>4.70985556499575</v>
      </c>
      <c r="F20" s="0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18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" t="s">
        <v>161</v>
      </c>
    </row>
    <row r="3" customFormat="false" ht="15" hidden="false" customHeight="false" outlineLevel="0" collapsed="false">
      <c r="A3" s="2" t="s">
        <v>162</v>
      </c>
      <c r="B3" s="2" t="s">
        <v>163</v>
      </c>
      <c r="C3" s="2" t="s">
        <v>164</v>
      </c>
      <c r="D3" s="2" t="s">
        <v>165</v>
      </c>
      <c r="E3" s="2" t="s">
        <v>166</v>
      </c>
      <c r="F3" s="2" t="s">
        <v>167</v>
      </c>
      <c r="G3" s="2" t="s">
        <v>168</v>
      </c>
      <c r="H3" s="2" t="s">
        <v>169</v>
      </c>
      <c r="I3" s="2" t="s">
        <v>170</v>
      </c>
      <c r="J3" s="2" t="s">
        <v>171</v>
      </c>
    </row>
    <row r="4" customFormat="false" ht="15" hidden="false" customHeight="false" outlineLevel="0" collapsed="false">
      <c r="A4" s="5" t="n">
        <v>0</v>
      </c>
      <c r="B4" s="0" t="n">
        <v>2023</v>
      </c>
      <c r="C4" s="3" t="n">
        <f aca="false">ROUND(Sources!B4*(1-A4)/2,0)</f>
        <v>96617</v>
      </c>
      <c r="D4" s="3" t="n">
        <f aca="false">ROUND(C4*1.25,0)</f>
        <v>120771</v>
      </c>
      <c r="E4" s="3" t="n">
        <f aca="false">ROUND(MAX(SUMPRODUCT(((Sources!B10+D4)/Sources!B12&gt;Barèmes!$B$4:$B$8)*((Sources!B10+D4)/Sources!B12-Barèmes!$B$4:$B$8)*Barèmes!$F$4:$F$8)*Sources!B12,SUMPRODUCT(((Sources!B10+D4)&gt;Barèmes!$B$4:$B$8)*((Sources!B10+D4)-Barèmes!$B$4:$B$8)*Barèmes!$F$4:$F$8)-Barèmes!B11*(Sources!B12-1)*2),0)-(Sources!B17-Sources!B18)</f>
        <v>40693</v>
      </c>
      <c r="F4" s="3" t="n">
        <f aca="false">ROUND(C4*Sources!B24,0)</f>
        <v>16618</v>
      </c>
      <c r="G4" s="3" t="n">
        <f aca="false">ROUND(E4*0.002*Sources!B20,0)+ROUND(F4*0.002*Sources!B20,0)</f>
        <v>3210</v>
      </c>
      <c r="H4" s="3" t="n">
        <f aca="false">ROUND(0.4*E4,0)+ROUND(0.4*F4,0)</f>
        <v>22924</v>
      </c>
      <c r="I4" s="3" t="n">
        <f aca="false">E4+F4+G4+H4</f>
        <v>83445</v>
      </c>
      <c r="J4" s="3" t="n">
        <f aca="false">E4+F4+G4</f>
        <v>60521</v>
      </c>
    </row>
    <row r="5" customFormat="false" ht="15" hidden="false" customHeight="false" outlineLevel="0" collapsed="false">
      <c r="A5" s="5" t="n">
        <v>0</v>
      </c>
      <c r="B5" s="0" t="n">
        <v>2024</v>
      </c>
      <c r="C5" s="3" t="n">
        <f aca="false">ROUND(Sources!C4*(1-A5)/2,0)</f>
        <v>69432</v>
      </c>
      <c r="D5" s="3" t="n">
        <f aca="false">ROUND(C5*1.25,0)</f>
        <v>86790</v>
      </c>
      <c r="E5" s="3" t="n">
        <f aca="false">ROUND(MAX(SUMPRODUCT(((Sources!C10+D5)/Sources!C12&gt;Barèmes!$C$4:$C$8)*((Sources!C10+D5)/Sources!C12-Barèmes!$C$4:$C$8)*Barèmes!$F$4:$F$8)*Sources!C12,SUMPRODUCT(((Sources!C10+D5)&gt;Barèmes!$C$4:$C$8)*((Sources!C10+D5)-Barèmes!$C$4:$C$8)*Barèmes!$F$4:$F$8)-Barèmes!C11*(Sources!C12-1)*2),0)-(Sources!C17-Sources!C18)</f>
        <v>27669</v>
      </c>
      <c r="F5" s="3" t="n">
        <f aca="false">ROUND(C5*Sources!C24,0)</f>
        <v>11942</v>
      </c>
      <c r="G5" s="3" t="n">
        <f aca="false">ROUND(E5*0.002*Sources!C20,0)+ROUND(F5*0.002*Sources!C20,0)</f>
        <v>1267</v>
      </c>
      <c r="H5" s="3" t="n">
        <f aca="false">ROUND(0.4*E5,0)+ROUND(0.4*F5,0)</f>
        <v>15845</v>
      </c>
      <c r="I5" s="3" t="n">
        <f aca="false">E5+F5+G5+H5</f>
        <v>56723</v>
      </c>
      <c r="J5" s="3" t="n">
        <f aca="false">E5+F5+G5</f>
        <v>40878</v>
      </c>
    </row>
    <row r="6" customFormat="false" ht="15" hidden="false" customHeight="false" outlineLevel="0" collapsed="false">
      <c r="A6" s="5" t="n">
        <v>0</v>
      </c>
      <c r="B6" s="0" t="n">
        <v>2025</v>
      </c>
      <c r="C6" s="3" t="n">
        <f aca="false">ROUND(Sources!D4*(1-A6)/2,0)</f>
        <v>69864</v>
      </c>
      <c r="D6" s="3" t="n">
        <f aca="false">ROUND(C6*1.25,0)</f>
        <v>87330</v>
      </c>
      <c r="E6" s="3" t="n">
        <f aca="false">ROUND(MAX(SUMPRODUCT(((Sources!D10+D6)/Sources!D12&gt;Barèmes!$D$4:$D$8)*((Sources!D10+D6)/Sources!D12-Barèmes!$D$4:$D$8)*Barèmes!$F$4:$F$8)*Sources!D12,SUMPRODUCT(((Sources!D10+D6)&gt;Barèmes!$D$4:$D$8)*((Sources!D10+D6)-Barèmes!$D$4:$D$8)*Barèmes!$F$4:$F$8)-Barèmes!D11*(Sources!D12-1)*2),0)-(Sources!D17-Sources!D18)</f>
        <v>27367</v>
      </c>
      <c r="F6" s="3" t="n">
        <f aca="false">ROUND(C6*Sources!D24,0)</f>
        <v>12995</v>
      </c>
      <c r="G6" s="3" t="n">
        <f aca="false">ROUND(E6*0.002*Sources!D20,0)+ROUND(F6*0.002*Sources!D20,0)</f>
        <v>323</v>
      </c>
      <c r="H6" s="3" t="n">
        <f aca="false">ROUND(0.4*E6,0)+ROUND(0.4*F6,0)</f>
        <v>16145</v>
      </c>
      <c r="I6" s="3" t="n">
        <f aca="false">E6+F6+G6+H6</f>
        <v>56830</v>
      </c>
      <c r="J6" s="3" t="n">
        <f aca="false">E6+F6+G6</f>
        <v>40685</v>
      </c>
    </row>
    <row r="7" customFormat="false" ht="15" hidden="false" customHeight="false" outlineLevel="0" collapsed="false">
      <c r="A7" s="1" t="s">
        <v>172</v>
      </c>
      <c r="C7" s="1" t="n">
        <f aca="false">SUM(C4:C6)</f>
        <v>235913</v>
      </c>
      <c r="D7" s="1" t="n">
        <f aca="false">SUM(D4:D6)</f>
        <v>294891</v>
      </c>
      <c r="E7" s="1" t="n">
        <f aca="false">SUM(E4:E6)</f>
        <v>95729</v>
      </c>
      <c r="F7" s="1" t="n">
        <f aca="false">SUM(F4:F6)</f>
        <v>41555</v>
      </c>
      <c r="G7" s="1" t="n">
        <f aca="false">SUM(G4:G6)</f>
        <v>4800</v>
      </c>
      <c r="H7" s="1" t="n">
        <f aca="false">SUM(H4:H6)</f>
        <v>54914</v>
      </c>
      <c r="I7" s="1" t="n">
        <f aca="false">SUM(I4:I6)</f>
        <v>196998</v>
      </c>
      <c r="J7" s="1" t="n">
        <f aca="false">SUM(J4:J6)</f>
        <v>142084</v>
      </c>
    </row>
    <row r="8" customFormat="false" ht="15" hidden="false" customHeight="false" outlineLevel="0" collapsed="false">
      <c r="A8" s="5" t="n">
        <v>0.25</v>
      </c>
      <c r="B8" s="0" t="n">
        <v>2023</v>
      </c>
      <c r="C8" s="3" t="n">
        <f aca="false">ROUND(Sources!B4*(1-A8)/2,0)</f>
        <v>72463</v>
      </c>
      <c r="D8" s="3" t="n">
        <f aca="false">ROUND(C8*1.25,0)</f>
        <v>90579</v>
      </c>
      <c r="E8" s="3" t="n">
        <f aca="false">ROUND(MAX(SUMPRODUCT(((Sources!B10+D8)/Sources!B12&gt;Barèmes!$B$4:$B$8)*((Sources!B10+D8)/Sources!B12-Barèmes!$B$4:$B$8)*Barèmes!$F$4:$F$8)*Sources!B12,SUMPRODUCT(((Sources!B10+D8)&gt;Barèmes!$B$4:$B$8)*((Sources!B10+D8)-Barèmes!$B$4:$B$8)*Barèmes!$F$4:$F$8)-Barèmes!B11*(Sources!B12-1)*2),0)-(Sources!B17-Sources!B18)</f>
        <v>28314</v>
      </c>
      <c r="F8" s="3" t="n">
        <f aca="false">ROUND(C8*Sources!B24,0)</f>
        <v>12464</v>
      </c>
      <c r="G8" s="3" t="n">
        <f aca="false">ROUND(E8*0.002*Sources!B20,0)+ROUND(F8*0.002*Sources!B20,0)</f>
        <v>2284</v>
      </c>
      <c r="H8" s="3" t="n">
        <f aca="false">ROUND(0.4*E8,0)+ROUND(0.4*F8,0)</f>
        <v>16312</v>
      </c>
      <c r="I8" s="3" t="n">
        <f aca="false">E8+F8+G8+H8</f>
        <v>59374</v>
      </c>
      <c r="J8" s="3" t="n">
        <f aca="false">E8+F8+G8</f>
        <v>43062</v>
      </c>
    </row>
    <row r="9" customFormat="false" ht="15" hidden="false" customHeight="false" outlineLevel="0" collapsed="false">
      <c r="A9" s="5" t="n">
        <v>0.25</v>
      </c>
      <c r="B9" s="0" t="n">
        <v>2024</v>
      </c>
      <c r="C9" s="3" t="n">
        <f aca="false">ROUND(Sources!C4*(1-A9)/2,0)</f>
        <v>52074</v>
      </c>
      <c r="D9" s="3" t="n">
        <f aca="false">ROUND(C9*1.25,0)</f>
        <v>65093</v>
      </c>
      <c r="E9" s="3" t="n">
        <f aca="false">ROUND(MAX(SUMPRODUCT(((Sources!C10+D9)/Sources!C12&gt;Barèmes!$C$4:$C$8)*((Sources!C10+D9)/Sources!C12-Barèmes!$C$4:$C$8)*Barèmes!$F$4:$F$8)*Sources!C12,SUMPRODUCT(((Sources!C10+D9)&gt;Barèmes!$C$4:$C$8)*((Sources!C10+D9)-Barèmes!$C$4:$C$8)*Barèmes!$F$4:$F$8)-Barèmes!C11*(Sources!C12-1)*2),0)-(Sources!C17-Sources!C18)</f>
        <v>18773</v>
      </c>
      <c r="F9" s="3" t="n">
        <f aca="false">ROUND(C9*Sources!C24,0)</f>
        <v>8957</v>
      </c>
      <c r="G9" s="3" t="n">
        <f aca="false">ROUND(E9*0.002*Sources!C20,0)+ROUND(F9*0.002*Sources!C20,0)</f>
        <v>888</v>
      </c>
      <c r="H9" s="3" t="n">
        <f aca="false">ROUND(0.4*E9,0)+ROUND(0.4*F9,0)</f>
        <v>11092</v>
      </c>
      <c r="I9" s="3" t="n">
        <f aca="false">E9+F9+G9+H9</f>
        <v>39710</v>
      </c>
      <c r="J9" s="3" t="n">
        <f aca="false">E9+F9+G9</f>
        <v>28618</v>
      </c>
    </row>
    <row r="10" customFormat="false" ht="15" hidden="false" customHeight="false" outlineLevel="0" collapsed="false">
      <c r="A10" s="5" t="n">
        <v>0.25</v>
      </c>
      <c r="B10" s="0" t="n">
        <v>2025</v>
      </c>
      <c r="C10" s="3" t="n">
        <f aca="false">ROUND(Sources!D4*(1-A10)/2,0)</f>
        <v>52398</v>
      </c>
      <c r="D10" s="3" t="n">
        <f aca="false">ROUND(C10*1.25,0)</f>
        <v>65498</v>
      </c>
      <c r="E10" s="3" t="n">
        <f aca="false">ROUND(MAX(SUMPRODUCT(((Sources!D10+D10)/Sources!D12&gt;Barèmes!$D$4:$D$8)*((Sources!D10+D10)/Sources!D12-Barèmes!$D$4:$D$8)*Barèmes!$F$4:$F$8)*Sources!D12,SUMPRODUCT(((Sources!D10+D10)&gt;Barèmes!$D$4:$D$8)*((Sources!D10+D10)-Barèmes!$D$4:$D$8)*Barèmes!$F$4:$F$8)-Barèmes!D11*(Sources!D12-1)*2),0)-(Sources!D17-Sources!D18)</f>
        <v>18416</v>
      </c>
      <c r="F10" s="3" t="n">
        <f aca="false">ROUND(C10*Sources!D24,0)</f>
        <v>9746</v>
      </c>
      <c r="G10" s="3" t="n">
        <f aca="false">ROUND(E10*0.002*Sources!D20,0)+ROUND(F10*0.002*Sources!D20,0)</f>
        <v>225</v>
      </c>
      <c r="H10" s="3" t="n">
        <f aca="false">ROUND(0.4*E10,0)+ROUND(0.4*F10,0)</f>
        <v>11264</v>
      </c>
      <c r="I10" s="3" t="n">
        <f aca="false">E10+F10+G10+H10</f>
        <v>39651</v>
      </c>
      <c r="J10" s="3" t="n">
        <f aca="false">E10+F10+G10</f>
        <v>28387</v>
      </c>
    </row>
    <row r="11" customFormat="false" ht="15" hidden="false" customHeight="false" outlineLevel="0" collapsed="false">
      <c r="A11" s="1" t="s">
        <v>172</v>
      </c>
      <c r="C11" s="1" t="n">
        <f aca="false">SUM(C8:C10)</f>
        <v>176935</v>
      </c>
      <c r="D11" s="1" t="n">
        <f aca="false">SUM(D8:D10)</f>
        <v>221170</v>
      </c>
      <c r="E11" s="1" t="n">
        <f aca="false">SUM(E8:E10)</f>
        <v>65503</v>
      </c>
      <c r="F11" s="1" t="n">
        <f aca="false">SUM(F8:F10)</f>
        <v>31167</v>
      </c>
      <c r="G11" s="1" t="n">
        <f aca="false">SUM(G8:G10)</f>
        <v>3397</v>
      </c>
      <c r="H11" s="1" t="n">
        <f aca="false">SUM(H8:H10)</f>
        <v>38668</v>
      </c>
      <c r="I11" s="1" t="n">
        <f aca="false">SUM(I8:I10)</f>
        <v>138735</v>
      </c>
      <c r="J11" s="1" t="n">
        <f aca="false">SUM(J8:J10)</f>
        <v>100067</v>
      </c>
    </row>
    <row r="12" customFormat="false" ht="15" hidden="false" customHeight="false" outlineLevel="0" collapsed="false">
      <c r="A12" s="5" t="n">
        <v>0.5</v>
      </c>
      <c r="B12" s="0" t="n">
        <v>2023</v>
      </c>
      <c r="C12" s="3" t="n">
        <f aca="false">ROUND(Sources!B4*(1-A12)/2,0)</f>
        <v>48309</v>
      </c>
      <c r="D12" s="3" t="n">
        <f aca="false">ROUND(C12*1.25,0)</f>
        <v>60386</v>
      </c>
      <c r="E12" s="3" t="n">
        <f aca="false">ROUND(MAX(SUMPRODUCT(((Sources!B10+D12)/Sources!B12&gt;Barèmes!$B$4:$B$8)*((Sources!B10+D12)/Sources!B12-Barèmes!$B$4:$B$8)*Barèmes!$F$4:$F$8)*Sources!B12,SUMPRODUCT(((Sources!B10+D12)&gt;Barèmes!$B$4:$B$8)*((Sources!B10+D12)-Barèmes!$B$4:$B$8)*Barèmes!$F$4:$F$8)-Barèmes!B11*(Sources!B12-1)*2),0)-(Sources!B17-Sources!B18)</f>
        <v>16014</v>
      </c>
      <c r="F12" s="3" t="n">
        <f aca="false">ROUND(C12*Sources!B24,0)</f>
        <v>8309</v>
      </c>
      <c r="G12" s="3" t="n">
        <f aca="false">ROUND(E12*0.002*Sources!B20,0)+ROUND(F12*0.002*Sources!B20,0)</f>
        <v>1362</v>
      </c>
      <c r="H12" s="3" t="n">
        <f aca="false">ROUND(0.4*E12,0)+ROUND(0.4*F12,0)</f>
        <v>9730</v>
      </c>
      <c r="I12" s="3" t="n">
        <f aca="false">E12+F12+G12+H12</f>
        <v>35415</v>
      </c>
      <c r="J12" s="3" t="n">
        <f aca="false">E12+F12+G12</f>
        <v>25685</v>
      </c>
    </row>
    <row r="13" customFormat="false" ht="15" hidden="false" customHeight="false" outlineLevel="0" collapsed="false">
      <c r="A13" s="5" t="n">
        <v>0.5</v>
      </c>
      <c r="B13" s="0" t="n">
        <v>2024</v>
      </c>
      <c r="C13" s="3" t="n">
        <f aca="false">ROUND(Sources!C4*(1-A13)/2,0)</f>
        <v>34716</v>
      </c>
      <c r="D13" s="3" t="n">
        <f aca="false">ROUND(C13*1.25,0)</f>
        <v>43395</v>
      </c>
      <c r="E13" s="3" t="n">
        <f aca="false">ROUND(MAX(SUMPRODUCT(((Sources!C10+D13)/Sources!C12&gt;Barèmes!$C$4:$C$8)*((Sources!C10+D13)/Sources!C12-Barèmes!$C$4:$C$8)*Barèmes!$F$4:$F$8)*Sources!C12,SUMPRODUCT(((Sources!C10+D13)&gt;Barèmes!$C$4:$C$8)*((Sources!C10+D13)-Barèmes!$C$4:$C$8)*Barèmes!$F$4:$F$8)-Barèmes!C11*(Sources!C12-1)*2),0)-(Sources!C17-Sources!C18)</f>
        <v>11560</v>
      </c>
      <c r="F13" s="3" t="n">
        <f aca="false">ROUND(C13*Sources!C24,0)</f>
        <v>5971</v>
      </c>
      <c r="G13" s="3" t="n">
        <f aca="false">ROUND(E13*0.002*Sources!C20,0)+ROUND(F13*0.002*Sources!C20,0)</f>
        <v>561</v>
      </c>
      <c r="H13" s="3" t="n">
        <f aca="false">ROUND(0.4*E13,0)+ROUND(0.4*F13,0)</f>
        <v>7012</v>
      </c>
      <c r="I13" s="3" t="n">
        <f aca="false">E13+F13+G13+H13</f>
        <v>25104</v>
      </c>
      <c r="J13" s="3" t="n">
        <f aca="false">E13+F13+G13</f>
        <v>18092</v>
      </c>
    </row>
    <row r="14" customFormat="false" ht="15" hidden="false" customHeight="false" outlineLevel="0" collapsed="false">
      <c r="A14" s="5" t="n">
        <v>0.5</v>
      </c>
      <c r="B14" s="0" t="n">
        <v>2025</v>
      </c>
      <c r="C14" s="3" t="n">
        <f aca="false">ROUND(Sources!D4*(1-A14)/2,0)</f>
        <v>34932</v>
      </c>
      <c r="D14" s="3" t="n">
        <f aca="false">ROUND(C14*1.25,0)</f>
        <v>43665</v>
      </c>
      <c r="E14" s="3" t="n">
        <f aca="false">ROUND(MAX(SUMPRODUCT(((Sources!D10+D14)/Sources!D12&gt;Barèmes!$D$4:$D$8)*((Sources!D10+D14)/Sources!D12-Barèmes!$D$4:$D$8)*Barèmes!$F$4:$F$8)*Sources!D12,SUMPRODUCT(((Sources!D10+D14)&gt;Barèmes!$D$4:$D$8)*((Sources!D10+D14)-Barèmes!$D$4:$D$8)*Barèmes!$F$4:$F$8)-Barèmes!D11*(Sources!D12-1)*2),0)-(Sources!D17-Sources!D18)</f>
        <v>11375</v>
      </c>
      <c r="F14" s="3" t="n">
        <f aca="false">ROUND(C14*Sources!D24,0)</f>
        <v>6497</v>
      </c>
      <c r="G14" s="3" t="n">
        <f aca="false">ROUND(E14*0.002*Sources!D20,0)+ROUND(F14*0.002*Sources!D20,0)</f>
        <v>143</v>
      </c>
      <c r="H14" s="3" t="n">
        <f aca="false">ROUND(0.4*E14,0)+ROUND(0.4*F14,0)</f>
        <v>7149</v>
      </c>
      <c r="I14" s="3" t="n">
        <f aca="false">E14+F14+G14+H14</f>
        <v>25164</v>
      </c>
      <c r="J14" s="3" t="n">
        <f aca="false">E14+F14+G14</f>
        <v>18015</v>
      </c>
    </row>
    <row r="15" customFormat="false" ht="15" hidden="false" customHeight="false" outlineLevel="0" collapsed="false">
      <c r="A15" s="1" t="s">
        <v>172</v>
      </c>
      <c r="C15" s="1" t="n">
        <f aca="false">SUM(C12:C14)</f>
        <v>117957</v>
      </c>
      <c r="D15" s="1" t="n">
        <f aca="false">SUM(D12:D14)</f>
        <v>147446</v>
      </c>
      <c r="E15" s="1" t="n">
        <f aca="false">SUM(E12:E14)</f>
        <v>38949</v>
      </c>
      <c r="F15" s="1" t="n">
        <f aca="false">SUM(F12:F14)</f>
        <v>20777</v>
      </c>
      <c r="G15" s="1" t="n">
        <f aca="false">SUM(G12:G14)</f>
        <v>2066</v>
      </c>
      <c r="H15" s="1" t="n">
        <f aca="false">SUM(H12:H14)</f>
        <v>23891</v>
      </c>
      <c r="I15" s="1" t="n">
        <f aca="false">SUM(I12:I14)</f>
        <v>85683</v>
      </c>
      <c r="J15" s="1" t="n">
        <f aca="false">SUM(J12:J14)</f>
        <v>61792</v>
      </c>
    </row>
    <row r="16" customFormat="false" ht="15" hidden="false" customHeight="false" outlineLevel="0" collapsed="false">
      <c r="A16" s="5" t="n">
        <v>0.75</v>
      </c>
      <c r="B16" s="0" t="n">
        <v>2023</v>
      </c>
      <c r="C16" s="3" t="n">
        <f aca="false">ROUND(Sources!B4*(1-A16)/2,0)</f>
        <v>24154</v>
      </c>
      <c r="D16" s="3" t="n">
        <f aca="false">ROUND(C16*1.25,0)</f>
        <v>30193</v>
      </c>
      <c r="E16" s="3" t="n">
        <f aca="false">ROUND(MAX(SUMPRODUCT(((Sources!B10+D16)/Sources!B12&gt;Barèmes!$B$4:$B$8)*((Sources!B10+D16)/Sources!B12-Barèmes!$B$4:$B$8)*Barèmes!$F$4:$F$8)*Sources!B12,SUMPRODUCT(((Sources!B10+D16)&gt;Barèmes!$B$4:$B$8)*((Sources!B10+D16)-Barèmes!$B$4:$B$8)*Barèmes!$F$4:$F$8)-Barèmes!B11*(Sources!B12-1)*2),0)-(Sources!B17-Sources!B18)</f>
        <v>6956</v>
      </c>
      <c r="F16" s="3" t="n">
        <f aca="false">ROUND(C16*Sources!B24,0)</f>
        <v>4154</v>
      </c>
      <c r="G16" s="3" t="n">
        <f aca="false">ROUND(E16*0.002*Sources!B20,0)+ROUND(F16*0.002*Sources!B20,0)</f>
        <v>623</v>
      </c>
      <c r="H16" s="3" t="n">
        <f aca="false">ROUND(0.4*E16,0)+ROUND(0.4*F16,0)</f>
        <v>4444</v>
      </c>
      <c r="I16" s="3" t="n">
        <f aca="false">E16+F16+G16+H16</f>
        <v>16177</v>
      </c>
      <c r="J16" s="3" t="n">
        <f aca="false">E16+F16+G16</f>
        <v>11733</v>
      </c>
    </row>
    <row r="17" customFormat="false" ht="15" hidden="false" customHeight="false" outlineLevel="0" collapsed="false">
      <c r="A17" s="5" t="n">
        <v>0.75</v>
      </c>
      <c r="B17" s="0" t="n">
        <v>2024</v>
      </c>
      <c r="C17" s="3" t="n">
        <f aca="false">ROUND(Sources!C4*(1-A17)/2,0)</f>
        <v>17358</v>
      </c>
      <c r="D17" s="3" t="n">
        <f aca="false">ROUND(C17*1.25,0)</f>
        <v>21698</v>
      </c>
      <c r="E17" s="3" t="n">
        <f aca="false">ROUND(MAX(SUMPRODUCT(((Sources!C10+D17)/Sources!C12&gt;Barèmes!$C$4:$C$8)*((Sources!C10+D17)/Sources!C12-Barèmes!$C$4:$C$8)*Barèmes!$F$4:$F$8)*Sources!C12,SUMPRODUCT(((Sources!C10+D17)&gt;Barèmes!$C$4:$C$8)*((Sources!C10+D17)-Barèmes!$C$4:$C$8)*Barèmes!$F$4:$F$8)-Barèmes!C11*(Sources!C12-1)*2),0)-(Sources!C17-Sources!C18)</f>
        <v>5051</v>
      </c>
      <c r="F17" s="3" t="n">
        <f aca="false">ROUND(C17*Sources!C24,0)</f>
        <v>2986</v>
      </c>
      <c r="G17" s="3" t="n">
        <f aca="false">ROUND(E17*0.002*Sources!C20,0)+ROUND(F17*0.002*Sources!C20,0)</f>
        <v>258</v>
      </c>
      <c r="H17" s="3" t="n">
        <f aca="false">ROUND(0.4*E17,0)+ROUND(0.4*F17,0)</f>
        <v>3214</v>
      </c>
      <c r="I17" s="3" t="n">
        <f aca="false">E17+F17+G17+H17</f>
        <v>11509</v>
      </c>
      <c r="J17" s="3" t="n">
        <f aca="false">E17+F17+G17</f>
        <v>8295</v>
      </c>
    </row>
    <row r="18" customFormat="false" ht="15" hidden="false" customHeight="false" outlineLevel="0" collapsed="false">
      <c r="A18" s="5" t="n">
        <v>0.75</v>
      </c>
      <c r="B18" s="0" t="n">
        <v>2025</v>
      </c>
      <c r="C18" s="3" t="n">
        <f aca="false">ROUND(Sources!D4*(1-A18)/2,0)</f>
        <v>17466</v>
      </c>
      <c r="D18" s="3" t="n">
        <f aca="false">ROUND(C18*1.25,0)</f>
        <v>21833</v>
      </c>
      <c r="E18" s="3" t="n">
        <f aca="false">ROUND(MAX(SUMPRODUCT(((Sources!D10+D18)/Sources!D12&gt;Barèmes!$D$4:$D$8)*((Sources!D10+D18)/Sources!D12-Barèmes!$D$4:$D$8)*Barèmes!$F$4:$F$8)*Sources!D12,SUMPRODUCT(((Sources!D10+D18)&gt;Barèmes!$D$4:$D$8)*((Sources!D10+D18)-Barèmes!$D$4:$D$8)*Barèmes!$F$4:$F$8)-Barèmes!D11*(Sources!D12-1)*2),0)-(Sources!D17-Sources!D18)</f>
        <v>4826</v>
      </c>
      <c r="F18" s="3" t="n">
        <f aca="false">ROUND(C18*Sources!D24,0)</f>
        <v>3249</v>
      </c>
      <c r="G18" s="3" t="n">
        <f aca="false">ROUND(E18*0.002*Sources!D20,0)+ROUND(F18*0.002*Sources!D20,0)</f>
        <v>65</v>
      </c>
      <c r="H18" s="3" t="n">
        <f aca="false">ROUND(0.4*E18,0)+ROUND(0.4*F18,0)</f>
        <v>3230</v>
      </c>
      <c r="I18" s="3" t="n">
        <f aca="false">E18+F18+G18+H18</f>
        <v>11370</v>
      </c>
      <c r="J18" s="3" t="n">
        <f aca="false">E18+F18+G18</f>
        <v>8140</v>
      </c>
    </row>
    <row r="19" customFormat="false" ht="15" hidden="false" customHeight="false" outlineLevel="0" collapsed="false">
      <c r="A19" s="1" t="s">
        <v>172</v>
      </c>
      <c r="C19" s="1" t="n">
        <f aca="false">SUM(C16:C18)</f>
        <v>58978</v>
      </c>
      <c r="D19" s="1" t="n">
        <f aca="false">SUM(D16:D18)</f>
        <v>73724</v>
      </c>
      <c r="E19" s="1" t="n">
        <f aca="false">SUM(E16:E18)</f>
        <v>16833</v>
      </c>
      <c r="F19" s="1" t="n">
        <f aca="false">SUM(F16:F18)</f>
        <v>10389</v>
      </c>
      <c r="G19" s="1" t="n">
        <f aca="false">SUM(G16:G18)</f>
        <v>946</v>
      </c>
      <c r="H19" s="1" t="n">
        <f aca="false">SUM(H16:H18)</f>
        <v>10888</v>
      </c>
      <c r="I19" s="1" t="n">
        <f aca="false">SUM(I16:I18)</f>
        <v>39056</v>
      </c>
      <c r="J19" s="1" t="n">
        <f aca="false">SUM(J16:J18)</f>
        <v>28168</v>
      </c>
    </row>
    <row r="21" customFormat="false" ht="15" hidden="false" customHeight="false" outlineLevel="0" collapsed="false">
      <c r="A21" s="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0" t="s">
        <v>175</v>
      </c>
    </row>
    <row r="3" customFormat="false" ht="15" hidden="false" customHeight="false" outlineLevel="0" collapsed="false">
      <c r="A3" s="0" t="s">
        <v>176</v>
      </c>
    </row>
    <row r="4" customFormat="false" ht="15" hidden="false" customHeight="false" outlineLevel="0" collapsed="false">
      <c r="A4" s="0" t="s">
        <v>177</v>
      </c>
    </row>
    <row r="5" customFormat="false" ht="15" hidden="false" customHeight="false" outlineLevel="0" collapsed="false">
      <c r="A5" s="0" t="s">
        <v>178</v>
      </c>
    </row>
    <row r="6" customFormat="false" ht="15" hidden="false" customHeight="false" outlineLevel="0" collapsed="false">
      <c r="A6" s="0" t="s">
        <v>179</v>
      </c>
    </row>
    <row r="7" customFormat="false" ht="15" hidden="false" customHeight="false" outlineLevel="0" collapsed="false">
      <c r="A7" s="0" t="s">
        <v>180</v>
      </c>
    </row>
    <row r="8" customFormat="false" ht="15" hidden="false" customHeight="false" outlineLevel="0" collapsed="false">
      <c r="A8" s="0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2026-10-27T09:32:27Z</dcterms:created>
  <dc:creator>openpyxl</dc:creator>
  <dc:description/>
  <dc:language>en-US</dc:language>
  <cp:lastModifiedBy/>
  <dcterms:modified xsi:type="dcterms:W3CDTF">2026-10-27T09:32:27Z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